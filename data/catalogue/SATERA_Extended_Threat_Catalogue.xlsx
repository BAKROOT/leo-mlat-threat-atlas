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Catalogue" sheetId="2" r:id="rId6"/>
    <sheet state="visible" name="Rubric" sheetId="3" r:id="rId7"/>
    <sheet state="visible" name="Binding" sheetId="4" r:id="rId8"/>
    <sheet state="visible" name="CVE Register" sheetId="5" r:id="rId9"/>
    <sheet state="visible" name="Worked" sheetId="6" r:id="rId10"/>
    <sheet state="visible" name="Assets" sheetId="7" r:id="rId11"/>
    <sheet state="visible" name="SATERA" sheetId="8" r:id="rId12"/>
    <sheet state="visible" name="Checks" sheetId="9" r:id="rId13"/>
    <sheet state="visible" name="Review" sheetId="10" r:id="rId14"/>
    <sheet state="visible" name="Legends" sheetId="11" r:id="rId15"/>
  </sheets>
  <definedNames>
    <definedName hidden="1" localSheetId="1" name="_xlnm._FilterDatabase">Catalogue!$A$4:$AV$59</definedName>
    <definedName hidden="1" localSheetId="3" name="_xlnm._FilterDatabase">Binding!$A$4:$N$108</definedName>
    <definedName hidden="1" localSheetId="4" name="_xlnm._FilterDatabase">'CVE Register'!$A$4:$Z$61</definedName>
    <definedName hidden="1" localSheetId="7" name="_xlnm._FilterDatabase">SATERA!$A$4:$AC$21</definedName>
    <definedName hidden="1" localSheetId="8" name="_xlnm._FilterDatabase">Checks!$A$4:$F$116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V4">
      <text>
        <t xml:space="preserve">Reading guide
[A1.1] = asset the threat acts on.  Other IDs = assets the effect can reach by following the dependency graph of the paper (15 data, 5 timing, 7 control, 14 hosting edges).
† = reached only through an inferred dependency (S1: A1.6 to A1.4/A1.5; S2: A4.1 to A2.3).
Boundaries = layer steps to the first integrity check (A3.4/A3.5) and to the ATM picture (A4.6): the same values as rho_det and rho_root (columns Y and Z).
Disclosure-only threats are shown as contained; enablers add a note.</t>
      </text>
    </comment>
  </commentList>
</comments>
</file>

<file path=xl/sharedStrings.xml><?xml version="1.0" encoding="utf-8"?>
<sst xmlns="http://schemas.openxmlformats.org/spreadsheetml/2006/main" count="5507" uniqueCount="2147">
  <si>
    <t>SATERA Extended Threat Catalogue</t>
  </si>
  <si>
    <t>PA-DREAD rubric and lookup tables</t>
  </si>
  <si>
    <t>Atlas binding: threat x source</t>
  </si>
  <si>
    <t>SATERA Extended Threat Catalogue: 55 threats, T1.01 to T4.15</t>
  </si>
  <si>
    <t xml:space="preserve">Companion workbook to the IEEE TDSC paper: threat model of GNSS-independent LEO multilateration surveillance. Release version 1.3, 30 October 2026.</t>
  </si>
  <si>
    <t xml:space="preserve">Built with STRIDE-tau (enumeration), PASTA (process), effect-transfer graphs and PA-DREAD (ranking) as defined in the paper, Sec. 4. Blue = analyst input; black = formula. All records were validated by a blind multi-vendor LLM panel and then evaluated by the co-authors.</t>
  </si>
  <si>
    <t xml:space="preserve">Every score in the Catalogue is computed from these tables (the paper, Sec. 4.8). Change a value here and all scores, bands and checks recalculate.</t>
  </si>
  <si>
    <t>One row per (threat, atlas source). "Attack" rows set Reproducibility (highest level wins); "Path" rows (non-malicious failures #76 to #78) show a consequence path and never raise the level.</t>
  </si>
  <si>
    <t>Purpose</t>
  </si>
  <si>
    <t>Identification</t>
  </si>
  <si>
    <t>Threat</t>
  </si>
  <si>
    <t>Evidence level</t>
  </si>
  <si>
    <t xml:space="preserve">Final extended catalogue of 55 threats (T1.01-T4.15). It refines the earlier asset-level SATERA catalogue of 17 entries (SC-1 to SC-17, sheet SATERA): 44 of the 55 threats refine at least one of those entries and 11 are new. Built with the methodology of the paper: STRIDE-tau for enumeration, PASTA as the process, effect-transfer graphs for propagation and PA-DREAD for ranking. Every number the paper states about the catalogue is recomputed here (sheet Checks).</t>
  </si>
  <si>
    <t>Atlas #</t>
  </si>
  <si>
    <t>Binding</t>
  </si>
  <si>
    <t>BibTeX key</t>
  </si>
  <si>
    <t>Source title</t>
  </si>
  <si>
    <t>Base R</t>
  </si>
  <si>
    <t>Authors and year</t>
  </si>
  <si>
    <t>Source type</t>
  </si>
  <si>
    <t>Peer-reviewed</t>
  </si>
  <si>
    <t>Sheets</t>
  </si>
  <si>
    <t>Level</t>
  </si>
  <si>
    <t>Tier code</t>
  </si>
  <si>
    <t>Level (0-3)</t>
  </si>
  <si>
    <t>Catalogue: the 55 threats with scores, reach, evidence and framework mappings (filterable).  Rubric: lookup tables and anchors that drive every score.  Binding: threat x atlas source, with evidence level, peer-review status and verified link.  Worked: Tables 4 and 5 of the paper recomputed from the Catalogue.  Assets: 27-asset register with live threat counts.  SATERA: the earlier 17 entries, corrected and linked to the extended threats.  Checks: paper statistic vs workbook.  Review: mistakes found in the earlier workbook and open items.  Legends: definitions.  CVE Register: the 57 CVEs of the Threat and Exploit Atlas V4, each mapped to register assets and catalogue threats (added 29 Oct 2026).</t>
  </si>
  <si>
    <t>Entry layer</t>
  </si>
  <si>
    <t>Impact layer</t>
  </si>
  <si>
    <t>How a score is made</t>
  </si>
  <si>
    <t>Verified link (13 Oct 2026)</t>
  </si>
  <si>
    <t>Mitigation IDs (atlas)</t>
  </si>
  <si>
    <t>D from the goals the threat serves (and Affected users); R from the highest evidence among bound atlas entries, minus one if analogue-only; E from the adversary tier; A and Di are analyst inputs read from the attack graph (basis columns state why); S = D+R+E+A+Di; bands Low 5-9, Medium 10-14, High 15-19, Critical 20-25. Evidence, R, E, D, S and bands are formulas: change a binding, a tier or a rubric value and everything updates.</t>
  </si>
  <si>
    <t>Colour code</t>
  </si>
  <si>
    <t>Blue text = analyst input or published constant; black = formula or text. Row shading marks the layer.</t>
  </si>
  <si>
    <t>Status</t>
  </si>
  <si>
    <t>T1.01</t>
  </si>
  <si>
    <t xml:space="preserve">Final release. Every record (title, description, asset binding, adversary class, tier, Affected-users and Discoverability values, atlas bindings and framework mappings) was validated by a blind multi-vendor LLM panel (four models, 220 ratings; repository folder llm_panel) and then evaluated by the co-authors. The scores and the scoring algorithms were verified: sheet Checks recomputes every statistic the paper states. Column "Review status" separates the 7 baseline records, which reproduce printed values of the paper (Table 5), from the 48 extended records, which carry the same validation.</t>
  </si>
  <si>
    <t>E</t>
  </si>
  <si>
    <t>Attack</t>
  </si>
  <si>
    <t>STRIDE-tau and timing</t>
  </si>
  <si>
    <t>Meaning</t>
  </si>
  <si>
    <t>Schafer2013ExperimentalADSB</t>
  </si>
  <si>
    <t>Not claimed</t>
  </si>
  <si>
    <t>Damage class (goal)</t>
  </si>
  <si>
    <t>Experimental Analysis of Attacks on Next Generation Air Traffic Communication</t>
  </si>
  <si>
    <t>D</t>
  </si>
  <si>
    <t>Schäfer, Lenders &amp; Martinovic (2013)</t>
  </si>
  <si>
    <t>Rule</t>
  </si>
  <si>
    <t xml:space="preserve">Scores are ordinal analyst derivations from the stated rubric, not probabilities. The agreement of the LLM panel on the scored fields is reported in the paper (Sec. 4.11) and in the repository folder llm_panel/results. Detection thresholds of the SATERA integrity monitor are not published, so strong/weak-pass Discoverability rests on assumptions W2 and W3. Spearman correlation and radii of the dependency graph (41 edges) are not reproduced here because the edge list is not part of this workbook.</t>
  </si>
  <si>
    <t>Band lower bound S</t>
  </si>
  <si>
    <t>Peer-reviewed conference</t>
  </si>
  <si>
    <t>Yes</t>
  </si>
  <si>
    <t>Band</t>
  </si>
  <si>
    <t>Responsible handling</t>
  </si>
  <si>
    <t>E2</t>
  </si>
  <si>
    <t>High-level mechanisms only: no parameters, procedures or tooling, as for the atlas.</t>
  </si>
  <si>
    <t>Adversary and goals</t>
  </si>
  <si>
    <t>Sources</t>
  </si>
  <si>
    <t>Threat and Exploit Atlas (78 sources, links verified 13 Oct 2026); SATERA D6.1; Leonardi et al. 2026; SPARTA technique list and MITRE ATT&amp;CK v20 (see Legends for what was checked).</t>
  </si>
  <si>
    <t>P</t>
  </si>
  <si>
    <t>Version v1.2 (29 Oct 2026)</t>
  </si>
  <si>
    <t>Added: sheet CVE Register (57 CVEs from the Threat and Exploit Atlas V4, mapped to assets and threats); Catalogue columns AT to AV (related CVEs and cross-layer propagation); Assets columns M and N (CVE count and propagation per asset); five checks. Cross-layer propagation lists, for the asset a threat acts on, the layers and assets its effect can reach along the data, timing, control and hosting dependencies of the paper (assets reached only through the inferred dependencies S1 and S2 carry a dagger). Existing columns and formulas are unchanged.</t>
  </si>
  <si>
    <t>Quick results</t>
  </si>
  <si>
    <t>Threats</t>
  </si>
  <si>
    <t>Evidence (atlas)</t>
  </si>
  <si>
    <t>T1p</t>
  </si>
  <si>
    <t>Tier T1, public tools</t>
  </si>
  <si>
    <t>Displacement</t>
  </si>
  <si>
    <t>Real aircraft at a wrong position with nominal integrity</t>
  </si>
  <si>
    <t>Low</t>
  </si>
  <si>
    <t>E0</t>
  </si>
  <si>
    <t>T1c</t>
  </si>
  <si>
    <t>Propagation reach</t>
  </si>
  <si>
    <t>Tier T1, custom software</t>
  </si>
  <si>
    <t>Deception</t>
  </si>
  <si>
    <t>Fabricated target or wrong integrity verdict</t>
  </si>
  <si>
    <t>Medium</t>
  </si>
  <si>
    <t>E1</t>
  </si>
  <si>
    <t>T2</t>
  </si>
  <si>
    <t>PA-DREAD (Sec. 4.8)</t>
  </si>
  <si>
    <t>Tier T2</t>
  </si>
  <si>
    <t>Denial, regional / flagged degradation</t>
  </si>
  <si>
    <t>L1</t>
  </si>
  <si>
    <t>Used when Affected users &gt;= 3</t>
  </si>
  <si>
    <t>L2</t>
  </si>
  <si>
    <t>High</t>
  </si>
  <si>
    <t>https://doi.org/10.1007/978-3-642-38980-1_16</t>
  </si>
  <si>
    <t>M15; M17; M21</t>
  </si>
  <si>
    <t>T3</t>
  </si>
  <si>
    <t>Tier T3</t>
  </si>
  <si>
    <t>Denial, local</t>
  </si>
  <si>
    <t>Costin2012ADSB</t>
  </si>
  <si>
    <t>Used when Affected users &lt;= 2</t>
  </si>
  <si>
    <t>Ghost in the Air(Traffic): On Insecurity of ADS-B Protocol and Practical Attacks on ADS-B Devices</t>
  </si>
  <si>
    <t>Critical</t>
  </si>
  <si>
    <t>Costin &amp; Francillon (2012)</t>
  </si>
  <si>
    <t>Conference talk / event (non-peer-reviewed)</t>
  </si>
  <si>
    <t>E3</t>
  </si>
  <si>
    <t>Basis of the scores</t>
  </si>
  <si>
    <t>No</t>
  </si>
  <si>
    <t>T3x</t>
  </si>
  <si>
    <t>Tier T3 with an insider, or two adversary classes</t>
  </si>
  <si>
    <t>Disclosure only</t>
  </si>
  <si>
    <t>Keys, configuration, ephemerides or traffic revealed</t>
  </si>
  <si>
    <t>https://www.eurecom.fr/publication/3788</t>
  </si>
  <si>
    <t>Cross references</t>
  </si>
  <si>
    <t>Analogue-only evidence penalty (levels of R)</t>
  </si>
  <si>
    <t>Analogue penalty used by Catalogue!R (cell I11)</t>
  </si>
  <si>
    <t>Strohmeier2015ADSBSecurity</t>
  </si>
  <si>
    <t>On the Security of the Automatic Dependent Surveillance-Broadcast Protocol</t>
  </si>
  <si>
    <t>Strohmeier, Lenders &amp; Martinovic (2015)</t>
  </si>
  <si>
    <t>Peer-reviewed journal</t>
  </si>
  <si>
    <t>Stealth-window threshold (Sec. 4.8)</t>
  </si>
  <si>
    <t>Checks passing</t>
  </si>
  <si>
    <t>CVEs and propagation (added 29 Oct 2026)</t>
  </si>
  <si>
    <t>https://doi.org/10.1109/COMST.2014.2365951</t>
  </si>
  <si>
    <t>M15; M16; M17; M21</t>
  </si>
  <si>
    <t>e_req, horizontal accuracy requirement (m)</t>
  </si>
  <si>
    <t>Strohmeier2019SADSB</t>
  </si>
  <si>
    <t>On the Applicability of Satellite-Based Air Traffic Control Communication for Security</t>
  </si>
  <si>
    <t>Strohmeier et al. (2019)</t>
  </si>
  <si>
    <t>c, speed of light (m/ns)</t>
  </si>
  <si>
    <t>ID</t>
  </si>
  <si>
    <t>delta_cov, covert clock step (ns)</t>
  </si>
  <si>
    <t>Layer</t>
  </si>
  <si>
    <t>https://doi.org/10.1109/MCOM.001.1900037</t>
  </si>
  <si>
    <t>M15; M21</t>
  </si>
  <si>
    <t>h* = e_req / (c * delta_cov)</t>
  </si>
  <si>
    <t>T1.02</t>
  </si>
  <si>
    <t>Checks failing</t>
  </si>
  <si>
    <t>Description (mechanism level)</t>
  </si>
  <si>
    <t>Attack vector</t>
  </si>
  <si>
    <t>Asset(s)</t>
  </si>
  <si>
    <t>Trust boundary (sits at / crosses)</t>
  </si>
  <si>
    <t>STRIDE-tau primary</t>
  </si>
  <si>
    <t>Secondary</t>
  </si>
  <si>
    <t>Authentication-invariance test / tau note</t>
  </si>
  <si>
    <t>Timing relation</t>
  </si>
  <si>
    <t>High or Critical (strong pass)</t>
  </si>
  <si>
    <t>Adversary class</t>
  </si>
  <si>
    <t>Denial</t>
  </si>
  <si>
    <t>Disclosure</t>
  </si>
  <si>
    <t>Strohmeier2015PHYIDS</t>
  </si>
  <si>
    <t>Intrusion Detection for Airborne Communication Using PHY-Layer Information</t>
  </si>
  <si>
    <t>Goals (n)</t>
  </si>
  <si>
    <t>Role</t>
  </si>
  <si>
    <t>Evidence</t>
  </si>
  <si>
    <t>L3</t>
  </si>
  <si>
    <t>Analogue only</t>
  </si>
  <si>
    <t>https://doi.org/10.1007/978-3-319-20550-2_4</t>
  </si>
  <si>
    <t>M17</t>
  </si>
  <si>
    <t>Support not peer-reviewed</t>
  </si>
  <si>
    <t>T1.03</t>
  </si>
  <si>
    <t>Bound atlas sources (#)</t>
  </si>
  <si>
    <t>Aireon2026Spoofing</t>
  </si>
  <si>
    <t>GNSS Spoofing Detection in Aviation Using ADS-B Data</t>
  </si>
  <si>
    <t>Path evidence (#)</t>
  </si>
  <si>
    <t>Aireon (2026)</t>
  </si>
  <si>
    <t>Industry / NGO report</t>
  </si>
  <si>
    <t>Single-satellite bias that breaches e_req at h = 12 (ns)</t>
  </si>
  <si>
    <t>Mitigation IDs (from bound sources)</t>
  </si>
  <si>
    <t>rho_det</t>
  </si>
  <si>
    <t>rho_root</t>
  </si>
  <si>
    <t>https://aireon.com/wp-content/uploads/2026/04/White-Paper-GNSS-Spoofing-Detection-in-Aviation-1.0-1-1.pdf</t>
  </si>
  <si>
    <t>M18</t>
  </si>
  <si>
    <t>R</t>
  </si>
  <si>
    <t>Lo2026SpoofingADSB</t>
  </si>
  <si>
    <t>Global Incidents of Aviation Spoofing in 2024-2025 Detected with Automatic Dependent Surveillance Broadcast</t>
  </si>
  <si>
    <t>Lo, Liu, Ibrahim, Chen, Akos &amp; Walter (2026)</t>
  </si>
  <si>
    <t>A</t>
  </si>
  <si>
    <t>Preprint / unconfirmed venue</t>
  </si>
  <si>
    <t>Di strong</t>
  </si>
  <si>
    <t>Di weak</t>
  </si>
  <si>
    <t>https://web.stanford.edu/group/scpnt/gpslab/pubs/papers/Lo_ION_ITM_2026_Observations_of_Spoofing.pdf</t>
  </si>
  <si>
    <t>S strong</t>
  </si>
  <si>
    <t>M18; M15</t>
  </si>
  <si>
    <t>S weak</t>
  </si>
  <si>
    <t>Schafer2015SecureTrack</t>
  </si>
  <si>
    <t>Secure Track Verification</t>
  </si>
  <si>
    <t>Band strong</t>
  </si>
  <si>
    <t>Schäfer, Lenders &amp; Schmitt (2015)</t>
  </si>
  <si>
    <t>Band weak</t>
  </si>
  <si>
    <t>First detection predicate / reason for Di</t>
  </si>
  <si>
    <t>Affected-users basis</t>
  </si>
  <si>
    <t>High or Critical (weak pass)</t>
  </si>
  <si>
    <t>Anchors</t>
  </si>
  <si>
    <t>https://doi.org/10.1109/SP.2015.20</t>
  </si>
  <si>
    <t>M15</t>
  </si>
  <si>
    <t>Displacement route</t>
  </si>
  <si>
    <t>T1.04</t>
  </si>
  <si>
    <t>Damage (D)</t>
  </si>
  <si>
    <t>SATERA entries refined</t>
  </si>
  <si>
    <t>Graph: L4 consequence class reached by the threat. 5 displacement, 4 deception, 3 regional denial or flagged degradation, 2 local denial, 1 disclosure only. Enablers have no Damage.</t>
  </si>
  <si>
    <t>SPARTA technique (confidence)</t>
  </si>
  <si>
    <t>ATT&amp;CK technique (confidence)</t>
  </si>
  <si>
    <t>Mapping confidence</t>
  </si>
  <si>
    <t>Review status</t>
  </si>
  <si>
    <t>Related CVEs (n)</t>
  </si>
  <si>
    <t>Related CVEs (IDs, or products when more than four)</t>
  </si>
  <si>
    <t>T1.05</t>
  </si>
  <si>
    <t>Moser2016MultiDevice</t>
  </si>
  <si>
    <t>Investigation of Multi-device Location Spoofing Attacks on Air Traffic Control and Possible Countermeasures</t>
  </si>
  <si>
    <t>Moser et al. (2016)</t>
  </si>
  <si>
    <t>Cross-layer propagation (layers and assets the effect can reach)</t>
  </si>
  <si>
    <t>CVEs in register</t>
  </si>
  <si>
    <t>https://doi.org/10.1145/2973750.2973763</t>
  </si>
  <si>
    <t>M15; M16; M17</t>
  </si>
  <si>
    <t>Senn2025UniversalMLAT</t>
  </si>
  <si>
    <t>Reproducibility (R)</t>
  </si>
  <si>
    <t>Universal Spoofing of Real-World Aircraft Multilateration</t>
  </si>
  <si>
    <t>Senn et al. (2025)</t>
  </si>
  <si>
    <t>Atlas: highest evidence among bound entries (P 1, E0 2, E1 3, E2 4, E3 5), minus one when the evidence is from an analogue system only (floor 1). Non-malicious failures (#76 to #78) are path evidence and do not raise the level.</t>
  </si>
  <si>
    <t>https://doi.org/10.1145/3734477.3734720</t>
  </si>
  <si>
    <t>Threats with a related CVE</t>
  </si>
  <si>
    <t>Exploitability (E)</t>
  </si>
  <si>
    <t>Threat model: tier of the adversary class. 5 T1 public tools, 4 T1 custom software, 3 T2, 2 T3, 1 T3 with insider or two classes.</t>
  </si>
  <si>
    <t>T1.06</t>
  </si>
  <si>
    <t>Forged ADS-B injection</t>
  </si>
  <si>
    <t>Affected users (A)</t>
  </si>
  <si>
    <t>Graph: extent of the root event. 5 whole constellation, 4 several footprints, 3 one footprint, 2 several aircraft, 1 one aircraft.</t>
  </si>
  <si>
    <t>An emitter in the footprint broadcasts fabricated 1090ES messages for a non-existent or misidentified aircraft; the self-report carries no authentication, so reception in orbit adds no protection.</t>
  </si>
  <si>
    <t>Crafted 1090 MHz transmissions from a ground or airborne emitter</t>
  </si>
  <si>
    <t>A1.1</t>
  </si>
  <si>
    <t>Discoverability (Di)</t>
  </si>
  <si>
    <t>Graph: first layer at which a detection predicate is true. 1 at L1, 2 at L2, 3 at L3, 4 only at L4, 5 no check detects it. 5 is the riskier end (hard to discover). Scored in a strong and a weak pass.</t>
  </si>
  <si>
    <t>T1.07</t>
  </si>
  <si>
    <t>TB0</t>
  </si>
  <si>
    <t>S</t>
  </si>
  <si>
    <t>T</t>
  </si>
  <si>
    <t>n/a: no time offset on an asset of the timing dependency</t>
  </si>
  <si>
    <t>Sathaye2019ILS</t>
  </si>
  <si>
    <t>Wireless Attacks on Aircraft Instrument Landing Systems</t>
  </si>
  <si>
    <t>Total and bands</t>
  </si>
  <si>
    <t>Sathaye, Schepers, Ranganathan &amp; Noubir (2019)</t>
  </si>
  <si>
    <t>AC2</t>
  </si>
  <si>
    <t>S = D + R + E + A + Di, 5 to 25. Low 5-9, Medium 10-14, High 15-19, Critical 20-25. Chains: MIN over AND steps for R, E, A, Di; OR takes the higher total; Damage from the root.</t>
  </si>
  <si>
    <t>https://www.usenix.org/conference/usenixsecurity19/presentation/sathaye</t>
  </si>
  <si>
    <t>T1.08</t>
  </si>
  <si>
    <t>Giuliari2021ICARUS</t>
  </si>
  <si>
    <t>ICARUS: Attacking Low Earth Orbit Satellite Networks</t>
  </si>
  <si>
    <t>Giuliari et al. (2021)</t>
  </si>
  <si>
    <t>https://www.usenix.org/conference/atc21/presentation/giuliari</t>
  </si>
  <si>
    <t>M09; M25</t>
  </si>
  <si>
    <t>Blue = judgement input or published constant; black = formula.</t>
  </si>
  <si>
    <t>Kon2022Stargaze</t>
  </si>
  <si>
    <t>Stargaze: A LEO Constellation Emulator for Security Experimentation</t>
  </si>
  <si>
    <t>Y</t>
  </si>
  <si>
    <t>Kon, Barradas &amp; Chen (2022)</t>
  </si>
  <si>
    <t>Peer-reviewed workshop</t>
  </si>
  <si>
    <t>https://par.nsf.gov/biblio/10406778</t>
  </si>
  <si>
    <t>M09</t>
  </si>
  <si>
    <t>T1.09</t>
  </si>
  <si>
    <t>Ghose2015Doppler</t>
  </si>
  <si>
    <t>Verifying ADS-B Navigation Information Through Doppler Shift Measurements</t>
  </si>
  <si>
    <t>Ghose &amp; Lazos (2015)</t>
  </si>
  <si>
    <t>https://doi.org/10.1109/DASC.2015.7311412</t>
  </si>
  <si>
    <t>M16</t>
  </si>
  <si>
    <t>Schafer2016Doppler</t>
  </si>
  <si>
    <t>Secure Motion Verification Using the Doppler Effect</t>
  </si>
  <si>
    <t>Schäfer et al. (2016)</t>
  </si>
  <si>
    <t>Leaf</t>
  </si>
  <si>
    <t>https://doi.org/10.1145/2939918.2939920</t>
  </si>
  <si>
    <t>T1.10</t>
  </si>
  <si>
    <t>Felux2024Jamming</t>
  </si>
  <si>
    <t>Impacts of Global Navigation Satellite System Jamming on Aviation</t>
  </si>
  <si>
    <t>Felux, Fol, Figuet, Waltert &amp; Olive (2024)</t>
  </si>
  <si>
    <t>L4</t>
  </si>
  <si>
    <t>https://doi.org/10.33012/navi.657</t>
  </si>
  <si>
    <t>M14; M18; M23</t>
  </si>
  <si>
    <t>ERR2024Tartu</t>
  </si>
  <si>
    <t>Finnair suspends flights to Tartu for 1 month to seek GPS jamming solution</t>
  </si>
  <si>
    <t>ERR News (2024)</t>
  </si>
  <si>
    <t>Documented incident report</t>
  </si>
  <si>
    <t>https://news.err.ee/1609328058/finnair-suspends-flights-to-tartu-for-1-month-to-seek-gps-jamming-solution</t>
  </si>
  <si>
    <t>M14; M23</t>
  </si>
  <si>
    <t>EASA2026SIB202202R4</t>
  </si>
  <si>
    <t>Global Navigation Satellite System Outage and Alterations Leading to Navigation / Surveillance Degradation (SIB 2022-02R4)</t>
  </si>
  <si>
    <t>EASA (2026)</t>
  </si>
  <si>
    <t>Government / regulator advisory</t>
  </si>
  <si>
    <t>https://www.easa.europa.eu/en/newsroom-and-events/news/easa-updates-safety-information-bulletin-gnss-interference</t>
  </si>
  <si>
    <t>M14; M23; M01</t>
  </si>
  <si>
    <t>FAA2024SAFO24002</t>
  </si>
  <si>
    <t>Recognizing and Mitigating GPS / GNSS Disruptions (SAFO 24002)</t>
  </si>
  <si>
    <t>FAA (2024)</t>
  </si>
  <si>
    <t>https://www.FAASafety.gov/SPANS/noticeView.aspx?nid=13415</t>
  </si>
  <si>
    <t>Yosef2026CNNGRU</t>
  </si>
  <si>
    <t>Towards Privacy-Preserving and Real-Time GNSS Interference Detection in ADS-B Systems Using CNN</t>
  </si>
  <si>
    <t>Yosef et al. (2026)</t>
  </si>
  <si>
    <t>https://link.springer.com/article/10.1007/s00521-026-11946-y</t>
  </si>
  <si>
    <t>Psiaki2016GNSSSpoofing</t>
  </si>
  <si>
    <t>GNSS Spoofing and Detection</t>
  </si>
  <si>
    <t>Psiaki &amp; Humphreys (2016)</t>
  </si>
  <si>
    <t>https://doi.org/10.1109/JPROC.2016.2526658</t>
  </si>
  <si>
    <t>M01; M12; M18; M19; M23</t>
  </si>
  <si>
    <t>T1.11</t>
  </si>
  <si>
    <t>Humphreys2008GPSSpoofer</t>
  </si>
  <si>
    <t>Assessing the Spoofing Threat: Development of a Portable GPS Civilian Spoofer</t>
  </si>
  <si>
    <t>Humphreys et al. (2008)</t>
  </si>
  <si>
    <t>N</t>
  </si>
  <si>
    <t>https://www.ion.org/publications/abstract.cfm?articleID=8132</t>
  </si>
  <si>
    <t>Tippenhauer2011GPSSpoofing</t>
  </si>
  <si>
    <t>On the Requirements for Successful GPS Spoofing Attacks</t>
  </si>
  <si>
    <t>Tippenhauer, Pöpper, Rasmussen &amp; Čapkun (2011)</t>
  </si>
  <si>
    <t>https://www.cs.ox.ac.uk/publications/publication7160-abstract.html</t>
  </si>
  <si>
    <t>M01; M12; M18; M19</t>
  </si>
  <si>
    <t>Wang2025OSNMASpoof</t>
  </si>
  <si>
    <t>Practical Spoofing Attacks on Galileo Open Service Navigation Message Authentication</t>
  </si>
  <si>
    <t>Wang et al. (2025)</t>
  </si>
  <si>
    <t>https://arxiv.org/abs/2501.09246</t>
  </si>
  <si>
    <t>M01; M23</t>
  </si>
  <si>
    <t>Zhang2013TSA</t>
  </si>
  <si>
    <t>Time Synchronization Attack in Smart Grid: Impact and Analysis</t>
  </si>
  <si>
    <t>Zhang et al. (2013)</t>
  </si>
  <si>
    <t>https://doi.org/10.1109/TSG.2012.2227342</t>
  </si>
  <si>
    <t>M01; M11; M23</t>
  </si>
  <si>
    <t>Oligeri2020Iridium</t>
  </si>
  <si>
    <t>GNSS Spoofing Detection via Opportunistic IRIDIUM Signals</t>
  </si>
  <si>
    <t>Oligeri, Sciancalepore &amp; Di Pietro (2020)</t>
  </si>
  <si>
    <t>https://doi.org/10.1145/3395351.3399350</t>
  </si>
  <si>
    <t>M19</t>
  </si>
  <si>
    <t>Path</t>
  </si>
  <si>
    <t>USAF2016GPSAnomaly</t>
  </si>
  <si>
    <t>GPS Anomaly - Official USAF Statement (26 Jan 2016 UTC timing error)</t>
  </si>
  <si>
    <t>US Air Force, via RNT Foundation (2016)</t>
  </si>
  <si>
    <t>https://rntfnd.org/?p=4536</t>
  </si>
  <si>
    <t>M23; M11</t>
  </si>
  <si>
    <t>T1.12</t>
  </si>
  <si>
    <t>Aerospace2023Moonlighter</t>
  </si>
  <si>
    <t>Moonlighter on-orbit hacking sandbox (Hack-A-Sat 4 finals, DEF CON 31)</t>
  </si>
  <si>
    <t>AFRL / US Space Force &amp; Aerospace Corp. (2023)</t>
  </si>
  <si>
    <t>#3, #59, #23, #26</t>
  </si>
  <si>
    <t>https://afresearchlab.com/news/hack-a-sats-moonlighter-satellite-deploys-to-low-earth-orbit-after-last-months-successful-launch/</t>
  </si>
  <si>
    <t>M24; M04</t>
  </si>
  <si>
    <t>Willbold2023SpaceOdyssey</t>
  </si>
  <si>
    <t>Space Odyssey: An Experimental Software Security Analysis of Satellites</t>
  </si>
  <si>
    <t>Willbold et al. (2023)</t>
  </si>
  <si>
    <t>https://ieeexplore.ieee.org/document/10351029</t>
  </si>
  <si>
    <t>Teso2013AeroHacking</t>
  </si>
  <si>
    <t>Aircraft Hacking: Practical Aero Series</t>
  </si>
  <si>
    <t>Teso (2013)</t>
  </si>
  <si>
    <t>https://archive.conference.hitb.org/hitbsecconf2013ams/index.html_p=2991.html</t>
  </si>
  <si>
    <t>M22; M06</t>
  </si>
  <si>
    <t>T1.13</t>
  </si>
  <si>
    <t>Olchawa2025SpacecraftCrashing</t>
  </si>
  <si>
    <t>Burning, Trashing, Spacecraft Crashing: A Collection of Vulnerabilities that will End your Space Mission</t>
  </si>
  <si>
    <t>Olchawa, Starcik, Fradique &amp; Boulaich (2025)</t>
  </si>
  <si>
    <t>https://i.blackhat.com/BH-USA-25/Presentations/USA-25-OlchawaStarcik-Burning-Trashing-Spacecraft-Crashing.pdf</t>
  </si>
  <si>
    <t>M24; M04; M05; M10; M13</t>
  </si>
  <si>
    <t>T1.14</t>
  </si>
  <si>
    <t>Wouters2022Starlink</t>
  </si>
  <si>
    <t>Glitched on Earth by Humans: A Black-Box Security Evaluation of the SpaceX Starlink User Terminal</t>
  </si>
  <si>
    <t>Wouters (2022)</t>
  </si>
  <si>
    <t>https://infocondb.org/con/black-hat/black-hat-usa-2022/glitched-on-earth-by-humans-a-black-box-security-evaluation-of-the-spacex-starlink-user-terminal</t>
  </si>
  <si>
    <t>M24</t>
  </si>
  <si>
    <t>T1.15</t>
  </si>
  <si>
    <t>Santamarta2018SATCOM</t>
  </si>
  <si>
    <t>Last Call for SATCOM Security</t>
  </si>
  <si>
    <t>Santamarta (2018)</t>
  </si>
  <si>
    <t>https://i.blackhat.com/us-18/Thu-August-9/us-18-Santamarta-Last-Call-For-Satcom-Security.pdf</t>
  </si>
  <si>
    <t>M13; M24; M06</t>
  </si>
  <si>
    <t>Santamarta2014SATCOM</t>
  </si>
  <si>
    <t>SATCOM Terminals: Hacking by Air, Sea, and Land</t>
  </si>
  <si>
    <t>Santamarta (2014)</t>
  </si>
  <si>
    <t>https://www.blackhat.com/docs/us-14/materials/us-14-Santamarta-SATCOM-Terminals-Hacking-By-Air-Sea-And-Land-WP.pdf</t>
  </si>
  <si>
    <t>M06; M24</t>
  </si>
  <si>
    <t>T1.16</t>
  </si>
  <si>
    <t>ManzanaresLopez2026Hypatia</t>
  </si>
  <si>
    <t>Enhancing the Hypatia Simulator for LEO Satellite Networks with Integrated DoS and DDoS Attack Capabilities</t>
  </si>
  <si>
    <t>Manzanares-López et al. (2026)</t>
  </si>
  <si>
    <t>https://doi.org/10.1007/s10207-025-01191-0</t>
  </si>
  <si>
    <t>T2.01</t>
  </si>
  <si>
    <t>Liu2009FDI / Liu2011FDI</t>
  </si>
  <si>
    <t>False Data Injection Attacks against State Estimation in Electric Power Grids</t>
  </si>
  <si>
    <t>Liu, Ning &amp; Reiter (2009; extended 2011)</t>
  </si>
  <si>
    <t>https://doi.org/10.1145/1653662.1653666</t>
  </si>
  <si>
    <t>M20</t>
  </si>
  <si>
    <t>Mo2010FDIControl</t>
  </si>
  <si>
    <t>False Data Injection Attacks in Control Systems</t>
  </si>
  <si>
    <t>Mo &amp; Sinopoli (2010)</t>
  </si>
  <si>
    <t>https://ptolemy.berkeley.edu/projects/truststc/conferences/10/CPSWeek/papers/scs1_paper_7.pdf</t>
  </si>
  <si>
    <t>Fawzi2014SecureEstimation</t>
  </si>
  <si>
    <t>Secure Estimation and Control for Cyber-Physical Systems under Adversarial Attacks</t>
  </si>
  <si>
    <t>Fawzi, Tabuada &amp; Diggavi (2014)</t>
  </si>
  <si>
    <t>https://doi.org/10.1109/TAC.2014.2303233</t>
  </si>
  <si>
    <t>T2.02</t>
  </si>
  <si>
    <t>CVE register: 57 published CVEs of the Threat and Exploit Atlas, mapped to register assets and catalogue threats</t>
  </si>
  <si>
    <t>Salkield2023AtoZ</t>
  </si>
  <si>
    <t>Satellite Spoofing from A to Z: On the Requirements of Satellite Downlink Overshadowing Attacks</t>
  </si>
  <si>
    <t>Salkield et al. (2023)</t>
  </si>
  <si>
    <t>Copied from sheet CVE Register of PRISM-LEO Threat and Exploit Atlas V4 (29 Oct 2026), columns A to V unchanged. Columns W to Z are added here: the asset of the 27-asset register the product runs on, the catalogue threats the CVE is an instance of, the basis of that match, and the layers and assets an exploit can reach. Column H is a live formula; column Q is the Atlas lookup stored as text.</t>
  </si>
  <si>
    <t>https://doi.org/10.1145/3558482.3590190</t>
  </si>
  <si>
    <t>M04; M17</t>
  </si>
  <si>
    <t>Salkield2023Firefly</t>
  </si>
  <si>
    <t>Firefly: Spoofing Earth Observation Satellite Data through Radio Overshadowing</t>
  </si>
  <si>
    <t>#</t>
  </si>
  <si>
    <t>CVE ID</t>
  </si>
  <si>
    <t>https://www.ndss-symposium.org/wp-content/uploads/2023/06/spacesec2023-231879-paper.pdf</t>
  </si>
  <si>
    <t>Atlas asset group</t>
  </si>
  <si>
    <t>Vendor / product</t>
  </si>
  <si>
    <t>Smailes2023Fingerprinting</t>
  </si>
  <si>
    <t>Affected versions (per record)</t>
  </si>
  <si>
    <t>Watch This Space: Securing Satellite Communication through Resilient Transmitter Fingerprinting</t>
  </si>
  <si>
    <t>Smailes et al. (2023)</t>
  </si>
  <si>
    <t>CWE</t>
  </si>
  <si>
    <t>CVSS base</t>
  </si>
  <si>
    <t>Severity (derived)</t>
  </si>
  <si>
    <t>CVSS version / source container</t>
  </si>
  <si>
    <t>https://doi.org/10.1145/3576915.3623135</t>
  </si>
  <si>
    <t>Published</t>
  </si>
  <si>
    <t>M17; M04</t>
  </si>
  <si>
    <t>T2.03</t>
  </si>
  <si>
    <t>Record state</t>
  </si>
  <si>
    <t>Summary (paraphrased, high level)</t>
  </si>
  <si>
    <t>PRISM-LEO layer</t>
  </si>
  <si>
    <t>Trust boundary exposed</t>
  </si>
  <si>
    <t>Timing related</t>
  </si>
  <si>
    <t>Threat Atlas #</t>
  </si>
  <si>
    <t>Atlas source (lookup)</t>
  </si>
  <si>
    <t>Relation to Atlas source</t>
  </si>
  <si>
    <t>Mitigation IDs</t>
  </si>
  <si>
    <t>Official CVE record</t>
  </si>
  <si>
    <t>Ullmann2009Delay</t>
  </si>
  <si>
    <t>Verification (13 Oct 2026)</t>
  </si>
  <si>
    <t>Delay Attacks - Implication on NTP and PTP Time Synchronization</t>
  </si>
  <si>
    <t>Notes</t>
  </si>
  <si>
    <t>Ullmann &amp; Vögeler (2009)</t>
  </si>
  <si>
    <t>Asset ID(s) (register)</t>
  </si>
  <si>
    <t>Catalogue threat(s)</t>
  </si>
  <si>
    <t>Match basis</t>
  </si>
  <si>
    <t>https://ieeexplore.ieee.org/abstract/document/5340224</t>
  </si>
  <si>
    <t>M02; M03; M23</t>
  </si>
  <si>
    <t>T2.04</t>
  </si>
  <si>
    <t>CVE-2015-7704</t>
  </si>
  <si>
    <t>L4 · Time &amp; navigation ground segment (sync, ephemeris)</t>
  </si>
  <si>
    <t>NTP Project / ntpd</t>
  </si>
  <si>
    <t>4.x &lt; 4.2.8p4; 4.3.x &lt; 4.3.77</t>
  </si>
  <si>
    <t>n/a</t>
  </si>
  <si>
    <t>T2.06</t>
  </si>
  <si>
    <t>Malhotra2016NTP</t>
  </si>
  <si>
    <t>Attacking the Network Time Protocol</t>
  </si>
  <si>
    <t>Malhotra, Cohen, Brakke &amp; Goldberg (2016)</t>
  </si>
  <si>
    <t>https://www.ndss-symposium.org/wp-content/uploads/2017/09/attacking-network-time-protocol.pdf</t>
  </si>
  <si>
    <t>M02; M23; M24</t>
  </si>
  <si>
    <t>Itkin2020PTP</t>
  </si>
  <si>
    <t>A Security Analysis and Revised Security Extension for the Precision Time Protocol</t>
  </si>
  <si>
    <t>Itkin &amp; Wool (2020)</t>
  </si>
  <si>
    <t>https://doi.org/10.1109/TDSC.2017.2748583</t>
  </si>
  <si>
    <t>M03; M23; M24</t>
  </si>
  <si>
    <t>T2.07</t>
  </si>
  <si>
    <t>2017-08-07</t>
  </si>
  <si>
    <t>PUBLISHED</t>
  </si>
  <si>
    <t>Crafted Kiss-o'-Death packets let a remote party deny time synchronisation to a client.</t>
  </si>
  <si>
    <t>TB3</t>
  </si>
  <si>
    <t>Disclosed in source</t>
  </si>
  <si>
    <t>https://www.cve.org/CVERecord?id=CVE-2015-7704</t>
  </si>
  <si>
    <t>T2.08</t>
  </si>
  <si>
    <t>Pavur2020VSAT</t>
  </si>
  <si>
    <t>A Tale of Sea and Sky: On the Security of Maritime VSAT Communications</t>
  </si>
  <si>
    <t>Pavur et al. (2020)</t>
  </si>
  <si>
    <t>https://doi.org/10.1109/SP40000.2020.00056</t>
  </si>
  <si>
    <t>M13</t>
  </si>
  <si>
    <t>Pavur2020Whispers</t>
  </si>
  <si>
    <t>Whispers Among the Stars: Perpetrating (and Preventing) Satellite Eavesdropping Attacks</t>
  </si>
  <si>
    <t>Pavur (2020)</t>
  </si>
  <si>
    <t>https://i.blackhat.com/USA-20/Wednesday/us-20-Pavur-Whispers-Among-The-Stars-Perpetrating-And-Preventing-Satellite-Eavesdropping-Attacks.pdf</t>
  </si>
  <si>
    <t>Sec2024Iridium38C3</t>
  </si>
  <si>
    <t>Investigating the Iridium Satellite Network</t>
  </si>
  <si>
    <t>Sec &amp; schneider (2024)</t>
  </si>
  <si>
    <t>https://media.ccc.de/v/7586d408-8e63-5734-889c-acf80bec8760</t>
  </si>
  <si>
    <t>T2.09</t>
  </si>
  <si>
    <t>Luscher2024ADSC</t>
  </si>
  <si>
    <t>On the Security of Satellite-Based Air Traffic Control (ADS-C)</t>
  </si>
  <si>
    <t>Lüscher, Strohmeier &amp; Lenders (2024)</t>
  </si>
  <si>
    <t>https://doi.org/10.14722/spacesec.2024.23022</t>
  </si>
  <si>
    <t>M22</t>
  </si>
  <si>
    <t>T2.10</t>
  </si>
  <si>
    <t>CVE Services API: record PUBLISHED</t>
  </si>
  <si>
    <t>A4.1, A2.3</t>
  </si>
  <si>
    <t>T2.06, T2.07, T4.01</t>
  </si>
  <si>
    <t>Bound Atlas source and asset (T2.06, T2.07); T4.01 by asset match</t>
  </si>
  <si>
    <t>Belali2026Resilient</t>
  </si>
  <si>
    <t>Design of a Resilient Multi-Layered Security Framework for Satellite Communications</t>
  </si>
  <si>
    <t>Belali et al. (2026)</t>
  </si>
  <si>
    <t>L1 &gt; L2 &gt; L3 &gt; L4  (4 of 4 layers)
L1: A1.4, A1.5, A1.6, A1.7 | L2: [A2.3], A2.1, A2.2, A2.4, A2.5 | L3: A3.1, A3.2, A3.3, A3.4, A3.5, A3.6 | L4: [A4.1], A4.5, A4.6
Boundaries to first check A3.4/A3.5: 3 | to ATM A4.6: 4</t>
  </si>
  <si>
    <t>CVE-2015-7705</t>
  </si>
  <si>
    <t>https://link.springer.com/article/10.1007/s10207-025-01184-z</t>
  </si>
  <si>
    <t>M04; M05</t>
  </si>
  <si>
    <t>T2.11</t>
  </si>
  <si>
    <t>Rate-limiting logic can be abused with many crafted requests.</t>
  </si>
  <si>
    <t>https://www.cve.org/CVERecord?id=CVE-2015-7705</t>
  </si>
  <si>
    <t>T2.12</t>
  </si>
  <si>
    <t>CISA2022AA22076A</t>
  </si>
  <si>
    <t>Strengthening Cybersecurity of SATCOM Network Providers and Customers (AA22-076A)</t>
  </si>
  <si>
    <t>CISA &amp; FBI (2022)</t>
  </si>
  <si>
    <t>https://www.cisa.gov/uscert/ncas/alerts/aa22-076a</t>
  </si>
  <si>
    <t>CVE-2015-5300</t>
  </si>
  <si>
    <t>T3.05</t>
  </si>
  <si>
    <t>&lt; 4.2.8p5</t>
  </si>
  <si>
    <t>2017-07-21</t>
  </si>
  <si>
    <t>Flawed panic-gate logic lets a trusted-source attacker shift the system clock.</t>
  </si>
  <si>
    <t>T3.07</t>
  </si>
  <si>
    <t>https://www.cve.org/CVERecord?id=CVE-2015-5300</t>
  </si>
  <si>
    <t>T3.08</t>
  </si>
  <si>
    <t>CVE-2015-8138</t>
  </si>
  <si>
    <t>&lt; 4.2.8p6; 4.3.x &lt; 4.3.90</t>
  </si>
  <si>
    <t>2017-01-30</t>
  </si>
  <si>
    <t>Origin-timestamp check can be bypassed with a zero timestamp.</t>
  </si>
  <si>
    <t>Related (same ntpd attack surface)</t>
  </si>
  <si>
    <t>https://www.cve.org/CVERecord?id=CVE-2015-8138</t>
  </si>
  <si>
    <t>T3.11</t>
  </si>
  <si>
    <t>T3.12</t>
  </si>
  <si>
    <t>T4.01</t>
  </si>
  <si>
    <t>CVE-2016-1547</t>
  </si>
  <si>
    <t>NTP Project / ntpd; NTPsec</t>
  </si>
  <si>
    <t>ntpd 4.2.8p3-p4; NTPsec commit a5fb34b</t>
  </si>
  <si>
    <t>EUSPA2020GalileoOutage</t>
  </si>
  <si>
    <t>Galileo performance assessment (July 2019 service outage)</t>
  </si>
  <si>
    <t>EUSPA (2020)</t>
  </si>
  <si>
    <t>2017-01-06</t>
  </si>
  <si>
    <t>Off-path forged crypto-NAK can tear down a preemptible association even with authentication.</t>
  </si>
  <si>
    <t>https://www.euspa.europa.eu/newsroom-events/news/galileo-performance-assessment</t>
  </si>
  <si>
    <t>T4.02</t>
  </si>
  <si>
    <t>https://www.cve.org/CVERecord?id=CVE-2016-1547</t>
  </si>
  <si>
    <t>T4.03</t>
  </si>
  <si>
    <t>T4.04</t>
  </si>
  <si>
    <t>Smith2018ACARSPrivacy</t>
  </si>
  <si>
    <t>Undermining Privacy in the Aircraft Communications Addressing and Reporting System (ACARS)</t>
  </si>
  <si>
    <t>Smith et al. (2018)</t>
  </si>
  <si>
    <t>https://doi.org/10.1515/popets-2018-0023</t>
  </si>
  <si>
    <t>CVE-2021-3570</t>
  </si>
  <si>
    <t>linuxptp / ptp4l</t>
  </si>
  <si>
    <t>before 3.1.1, 2.0.1, 1.9.3, 1.8.1, 1.7.1, 1.6.1, 1.5.1</t>
  </si>
  <si>
    <t>CWE-119</t>
  </si>
  <si>
    <t>T4.05</t>
  </si>
  <si>
    <t>2021-07-09</t>
  </si>
  <si>
    <t>Falco2019SpacePrinciples</t>
  </si>
  <si>
    <t>Cybersecurity Principles for Space Systems</t>
  </si>
  <si>
    <t>Missing length check when forwarding PTP messages between ports.</t>
  </si>
  <si>
    <t>Falco (2019)</t>
  </si>
  <si>
    <t>Related (PTP implementation flaw)</t>
  </si>
  <si>
    <t>M03; M24</t>
  </si>
  <si>
    <t>https://doi.org/10.2514/1.I010693</t>
  </si>
  <si>
    <t>https://www.cve.org/CVERecord?id=CVE-2021-3570</t>
  </si>
  <si>
    <t>Manulis2021NewSpace</t>
  </si>
  <si>
    <t>Cyber Security in New Space: Analysis of Threats, Key Enabling Technologies and Challenges</t>
  </si>
  <si>
    <t>Manulis et al. (2021)</t>
  </si>
  <si>
    <t>https://doi.org/10.1007/s10207-020-00503-w</t>
  </si>
  <si>
    <t>T4.06</t>
  </si>
  <si>
    <t>Viasat2022KASAT</t>
  </si>
  <si>
    <t>KA-SAT Network cyber attack overview</t>
  </si>
  <si>
    <t>Viasat (2022)</t>
  </si>
  <si>
    <t>https://www.viasat.com/perspectives/corporate/2022/ka-sat-network-cyber-attack-overview/</t>
  </si>
  <si>
    <t>M13; M10</t>
  </si>
  <si>
    <t>T2.06, T2.07</t>
  </si>
  <si>
    <t>Worked displacement application: Tables 4 and 5 of the paper, recomputed from the Catalogue</t>
  </si>
  <si>
    <t>CVE-2021-3571</t>
  </si>
  <si>
    <t>before 3.1.1, 2.0.1</t>
  </si>
  <si>
    <t>T4.07</t>
  </si>
  <si>
    <t>Leaf values are looked up live from the Catalogue. Chains use MIN over the AND steps (R, E, A, Di) and the root Damage; W1-W4 as in Sec. 4.9.</t>
  </si>
  <si>
    <t>Crafted one-step sync message to a transparent clock can leak memory or crash ptp4l.</t>
  </si>
  <si>
    <t>T4.08</t>
  </si>
  <si>
    <t>CAA2024NATSReview</t>
  </si>
  <si>
    <t>https://www.cve.org/CVERecord?id=CVE-2021-3571</t>
  </si>
  <si>
    <t>Independent Review into August 2023 NATS Flight Planning System Failure</t>
  </si>
  <si>
    <t>UK CAA (2024)</t>
  </si>
  <si>
    <t>https://www.caa.co.uk/newsroom/news/aviation-regulator-publishes-independent-review-into-august-2023-nats-flight-planning-system-failure/</t>
  </si>
  <si>
    <t>M07; M08</t>
  </si>
  <si>
    <t>T4.09</t>
  </si>
  <si>
    <t>L3 cross-check A3.5: arrival times do not match the claimed position</t>
  </si>
  <si>
    <t>rho_det strong</t>
  </si>
  <si>
    <t>T4.12</t>
  </si>
  <si>
    <t>rho_root weak</t>
  </si>
  <si>
    <t>several aircraft</t>
  </si>
  <si>
    <t>Paper S s/w</t>
  </si>
  <si>
    <t>Paper rho s/w</t>
  </si>
  <si>
    <t>Check</t>
  </si>
  <si>
    <t>SC-1</t>
  </si>
  <si>
    <t>rho check</t>
  </si>
  <si>
    <t>EX-0014 Spoofing; IMP-0001 Deception</t>
  </si>
  <si>
    <t>CVE-2022-40022</t>
  </si>
  <si>
    <t>T1565.002 Transmitted Data Manipulation (medium)</t>
  </si>
  <si>
    <t>Microchip (Microsemi) SyncServer S650</t>
  </si>
  <si>
    <t>per description</t>
  </si>
  <si>
    <t>medium</t>
  </si>
  <si>
    <t>CWE-77</t>
  </si>
  <si>
    <t>Sampigethaya2011EEnabled</t>
  </si>
  <si>
    <t>Future E-Enabled Aircraft Communications and Security: The Next 20 Years and Beyond</t>
  </si>
  <si>
    <t xml:space="preserve">Validated: LLM panel and co-author evaluation</t>
  </si>
  <si>
    <t>Sampigethaya et al. (2011)</t>
  </si>
  <si>
    <t>CVSS 3.1, CISA-ADP</t>
  </si>
  <si>
    <t>2023-02-13</t>
  </si>
  <si>
    <t>Command injection in a network time-server appliance.</t>
  </si>
  <si>
    <t>https://doi.org/10.1109/JPROC.2011.2162209</t>
  </si>
  <si>
    <t>M06; M08; M22</t>
  </si>
  <si>
    <t>T4.13</t>
  </si>
  <si>
    <t>-</t>
  </si>
  <si>
    <t>No Atlas source (timing infrastructure)</t>
  </si>
  <si>
    <t>M24; M23</t>
  </si>
  <si>
    <t>https://www.cve.org/CVERecord?id=CVE-2022-40022</t>
  </si>
  <si>
    <t>—</t>
  </si>
  <si>
    <t>T4.15</t>
  </si>
  <si>
    <t>A4.1</t>
  </si>
  <si>
    <t>Asset match; no Atlas source (timing infrastructure)</t>
  </si>
  <si>
    <t>L1 &gt; L2 &gt; L3 &gt; L4  (4 of 4 layers)
L1: A1.4†, A1.5†, A1.6, A1.7† | L2: A2.1†, A2.2†, A2.3†, A2.4†, A2.5 | L3: A3.1†, A3.2†, A3.3†, A3.4†, A3.5†, A3.6† | L4: [A4.1], A4.5†, A4.6†
Boundaries to first check A3.4/A3.5: 5 | to ATM A4.6: 6</t>
  </si>
  <si>
    <t>CVE-2026-3893</t>
  </si>
  <si>
    <t>L1 · GNSS receiver / onboard clock</t>
  </si>
  <si>
    <t>Carlson Software / VASCO-B GNSS receiver</t>
  </si>
  <si>
    <t>&lt; 1.4.0</t>
  </si>
  <si>
    <t>CWE-306</t>
  </si>
  <si>
    <t>L1 &gt; L2 &gt; L3 &gt; L4  (4 of 4 layers)
L1: [A1.1], A1.3, A1.4, A1.7 | L2: A2.1, A2.2, A2.4 | L3: A3.1, A3.3, A3.4, A3.5, A3.6 | L4: A4.5, A4.6
Boundaries to first check A3.4/A3.5: 2 | to ATM A4.6: 3</t>
  </si>
  <si>
    <t>CVSS 3.1, CNA (icscert)</t>
  </si>
  <si>
    <t>2026-04-28</t>
  </si>
  <si>
    <t>No authentication on the receiver's network interface; configuration can be read and changed.</t>
  </si>
  <si>
    <t>TB1</t>
  </si>
  <si>
    <t>Replay of recorded ADS-B</t>
  </si>
  <si>
    <t>No Atlas source (ground GNSS receiver)</t>
  </si>
  <si>
    <t>Genuine messages are captured and rebroadcast later or elsewhere, so that a stale or displaced position is received as current.</t>
  </si>
  <si>
    <t>M24; M12</t>
  </si>
  <si>
    <t>https://www.cve.org/CVERecord?id=CVE-2026-3893</t>
  </si>
  <si>
    <t>Capture-and-rebroadcast with a software-defined radio</t>
  </si>
  <si>
    <t>CISA ICS advisory ICSA-26-113-02</t>
  </si>
  <si>
    <t>A1.5</t>
  </si>
  <si>
    <t>T1.10, T1.11</t>
  </si>
  <si>
    <t>Asset match; analogue (ground-grade GNSS receiver), no Atlas source</t>
  </si>
  <si>
    <t>L1 &gt; L2 &gt; L3 &gt; L4  (4 of 4 layers)
L1: [A1.5], A1.4, A1.7 | L2: A2.1, A2.2, A2.4 | L3: A3.1, A3.2, A3.3, A3.4, A3.5, A3.6 | L4: A4.5, A4.6
Boundaries to first check A3.4/A3.5: 2 | to ATM A4.6: 3</t>
  </si>
  <si>
    <t>CVE-2014-2941</t>
  </si>
  <si>
    <t>L1 · SATCOM user terminal</t>
  </si>
  <si>
    <t>Cobham / Sailor 6000 SATCOM terminals</t>
  </si>
  <si>
    <t>n/a in record</t>
  </si>
  <si>
    <t>2014-08-15</t>
  </si>
  <si>
    <t>Hard-coded credentials on a maritime satellite terminal.</t>
  </si>
  <si>
    <t>https://www.cve.org/CVERecord?id=CVE-2014-2941</t>
  </si>
  <si>
    <t>Record tagged DISPUTED (vendor).</t>
  </si>
  <si>
    <t>A1.7</t>
  </si>
  <si>
    <t>Bound Atlas source and asset</t>
  </si>
  <si>
    <t>L1 &gt; L3 &gt; L4  (3 of 4 layers)
L1: [A1.7] | L3: A3.1, A3.3, A3.4, A3.5, A3.6 | L4: A4.5, A4.6
Boundaries to first check A3.4/A3.5: 2 | to ATM A4.6: 3</t>
  </si>
  <si>
    <t>CVE-2014-2942</t>
  </si>
  <si>
    <t>Cobham / Aviator 700D, 700E SATCOM terminals</t>
  </si>
  <si>
    <t>2014-09-22</t>
  </si>
  <si>
    <t>Weak PIN algorithm lets the superuser code be derived.</t>
  </si>
  <si>
    <t>https://www.cve.org/CVERecord?id=CVE-2014-2942</t>
  </si>
  <si>
    <t>Replaces duplicate CVE-2014-2943.</t>
  </si>
  <si>
    <t>CVE-2014-2964</t>
  </si>
  <si>
    <t>Fixed passwords allow privilege elevation with local serial access.</t>
  </si>
  <si>
    <t>https://www.cve.org/CVERecord?id=CVE-2014-2964</t>
  </si>
  <si>
    <t>#3, #59, #7</t>
  </si>
  <si>
    <t>CVE-2025-28380</t>
  </si>
  <si>
    <t>L4 · Ground segment C2, mission control &amp; keys</t>
  </si>
  <si>
    <t>OpenC3 COSMOS (ground C2)</t>
  </si>
  <si>
    <t>&lt; 6.0.2</t>
  </si>
  <si>
    <t>CWE-79</t>
  </si>
  <si>
    <t>2025-06-13</t>
  </si>
  <si>
    <t>Cross-site scripting via a URL parameter.</t>
  </si>
  <si>
    <t>M24; M10; M13</t>
  </si>
  <si>
    <t>https://www.cve.org/CVERecord?id=CVE-2025-28380</t>
  </si>
  <si>
    <t>A4.8</t>
  </si>
  <si>
    <t>L1 &gt; L2 &gt; L3 &gt; L4  (4 of 4 layers)
L1: A1.4†, A1.5†, A1.6, A1.7† | L2: A2.1†, A2.2†, A2.3†, A2.4†, A2.5 | L3: A3.1†, A3.2, A3.3, A3.4, A3.5, A3.6 | L4: [A4.8], A4.1, A4.2, A4.3, A4.4, A4.5, A4.6
Boundaries to first check A3.4/A3.5: 1 | to ATM A4.6: 2</t>
  </si>
  <si>
    <t>CVE-2025-28381</t>
  </si>
  <si>
    <t>CWE-526</t>
  </si>
  <si>
    <t>Service secrets exposed through environment variables across containers.</t>
  </si>
  <si>
    <t>https://www.cve.org/CVERecord?id=CVE-2025-28381</t>
  </si>
  <si>
    <t>CVE-2025-28382</t>
  </si>
  <si>
    <t>&lt; 6.1.0</t>
  </si>
  <si>
    <t>CWE-22</t>
  </si>
  <si>
    <t>Path traversal in the tables API.</t>
  </si>
  <si>
    <t>https://www.cve.org/CVERecord?id=CVE-2025-28382</t>
  </si>
  <si>
    <t>CVE-2025-28384</t>
  </si>
  <si>
    <t>Path traversal in the script API.</t>
  </si>
  <si>
    <t>https://www.cve.org/CVERecord?id=CVE-2025-28384</t>
  </si>
  <si>
    <t>CVE-2025-28386</t>
  </si>
  <si>
    <t>6.0.0</t>
  </si>
  <si>
    <t>CWE-94</t>
  </si>
  <si>
    <t>Code execution via a crafted file in the plugin manager.</t>
  </si>
  <si>
    <t>https://www.cve.org/CVERecord?id=CVE-2025-28386</t>
  </si>
  <si>
    <t>CVE-2025-28388</t>
  </si>
  <si>
    <t>CWE-798</t>
  </si>
  <si>
    <t>Built-in credentials for the service account.</t>
  </si>
  <si>
    <t>https://www.cve.org/CVERecord?id=CVE-2025-28388</t>
  </si>
  <si>
    <t>CVE-2025-28389</t>
  </si>
  <si>
    <t>CWE-521</t>
  </si>
  <si>
    <t>Weak password requirements allow login by guessing.</t>
  </si>
  <si>
    <t>https://www.cve.org/CVERecord?id=CVE-2025-28389</t>
  </si>
  <si>
    <t>CVE-2023-45277</t>
  </si>
  <si>
    <t>Yamcs (mission control)</t>
  </si>
  <si>
    <t>5.8.6</t>
  </si>
  <si>
    <t>2023-10-19</t>
  </si>
  <si>
    <t>Path traversal in bucket storage allows reading arbitrary files.</t>
  </si>
  <si>
    <t>https://www.cve.org/CVERecord?id=CVE-2023-45277</t>
  </si>
  <si>
    <t>Asset register (27 assets) with live threat counts</t>
  </si>
  <si>
    <t>Register as in Table 2 of the paper. Counts are formulas over Catalogue column "Asset(s)"; "Paper" gives the count stated in Table 6 where the paper states one.</t>
  </si>
  <si>
    <t>Asset</t>
  </si>
  <si>
    <t>Function</t>
  </si>
  <si>
    <t>Kind</t>
  </si>
  <si>
    <t>STRIDE element</t>
  </si>
  <si>
    <t>TB</t>
  </si>
  <si>
    <t>Component of Fig. 1</t>
  </si>
  <si>
    <t>Flags</t>
  </si>
  <si>
    <t>Threats (workbook)</t>
  </si>
  <si>
    <t>Threats (paper, Table 6)</t>
  </si>
  <si>
    <t>CVEs mapped (n)</t>
  </si>
  <si>
    <t>Cross-layer propagation of an attack on this asset</t>
  </si>
  <si>
    <t>CVE-2023-45278</t>
  </si>
  <si>
    <t>Aircraft 1090ES transponder</t>
  </si>
  <si>
    <t>Path traversal in bucket storage allows deleting arbitrary files.</t>
  </si>
  <si>
    <t>Emits the signal whose arrival is measured; ADS-B content is an unauthenticated self-report</t>
  </si>
  <si>
    <t>hardware</t>
  </si>
  <si>
    <t>external entity</t>
  </si>
  <si>
    <t>Aircraft transponders</t>
  </si>
  <si>
    <t>external</t>
  </si>
  <si>
    <t>https://www.cve.org/CVERecord?id=CVE-2023-45278</t>
  </si>
  <si>
    <t>L3 cross-check A3.5: arrival times are inconsistent with the replayed position</t>
  </si>
  <si>
    <t>CVE-2023-45279</t>
  </si>
  <si>
    <t>EX-0014 Spoofing; EXF-0001 Replay (medium)</t>
  </si>
  <si>
    <t>Stored XSS through an uploaded display file.</t>
  </si>
  <si>
    <t>https://www.cve.org/CVERecord?id=CVE-2023-45279</t>
  </si>
  <si>
    <t>A1.2</t>
  </si>
  <si>
    <t>GNSS positioning and timing service</t>
  </si>
  <si>
    <t>Source of the reported position and one of two inputs that discipline the onboard clocks</t>
  </si>
  <si>
    <t>service</t>
  </si>
  <si>
    <t>Timing and synchronisation</t>
  </si>
  <si>
    <t>external; timing</t>
  </si>
  <si>
    <t>False position from the true location</t>
  </si>
  <si>
    <t>A deceptive or deceived aircraft (AC1) broadcasts a wrong position from its real location. Arrival times stay true, so only the E-MLAT/ADS-B cross-check can expose it; a chain that masks the discrepancy defeats the purpose of the architecture.</t>
  </si>
  <si>
    <t>Modified avionics or transponder input; no external emitter needed</t>
  </si>
  <si>
    <t>CVE-2023-45280</t>
  </si>
  <si>
    <t>L1 &gt; L2 &gt; L3 &gt; L4  (4 of 4 layers)
L1: [A1.2], A1.4, A1.5, A1.7 | L2: A2.1, A2.2, A2.4 | L3: A3.1, A3.2, A3.3, A3.4, A3.5, A3.6 | L4: A4.5, A4.6
Boundaries to first check A3.4/A3.5: 2 | to ATM A4.6: 3</t>
  </si>
  <si>
    <t>A1.3</t>
  </si>
  <si>
    <t>Phased-array antenna and RF front end</t>
  </si>
  <si>
    <t>Derived</t>
  </si>
  <si>
    <t>Receives 1090 MHz and forms beams; gives the angle of arrival</t>
  </si>
  <si>
    <t>AC1</t>
  </si>
  <si>
    <t>process</t>
  </si>
  <si>
    <t>XSS through uploaded HTML in bucket storage.</t>
  </si>
  <si>
    <t>---</t>
  </si>
  <si>
    <t>LEO constellation</t>
  </si>
  <si>
    <t>https://www.cve.org/CVERecord?id=CVE-2023-45280</t>
  </si>
  <si>
    <t>L1 &gt; L2 &gt; L3 &gt; L4  (4 of 4 layers)
L1: [A1.3], A1.4, A1.7 | L2: A2.1, A2.2, A2.4 | L3: A3.1, A3.3, A3.4, A3.5, A3.6 | L4: A4.5, A4.6
Boundaries to first check A3.4/A3.5: 2 | to ATM A4.6: 3</t>
  </si>
  <si>
    <t>A1.4</t>
  </si>
  <si>
    <t>Payload signal processor and extraction firmware</t>
  </si>
  <si>
    <t>Decodes each emission, measures TOA, FOA and AOA, stamps them with the onboard clock</t>
  </si>
  <si>
    <t>hardware, software</t>
  </si>
  <si>
    <t>CVE-2023-45281</t>
  </si>
  <si>
    <t>Session cookie theft via an uploaded HTML file.</t>
  </si>
  <si>
    <t>L1 &gt; L2 &gt; L3 &gt; L4  (4 of 4 layers)
L1: [A1.4], A1.7 | L2: A2.1, A2.2, A2.4 | L3: A3.1, A3.3, A3.4, A3.5, A3.6 | L4: A4.5, A4.6
Boundaries to first check A3.4/A3.5: 2 | to ATM A4.6: 3</t>
  </si>
  <si>
    <t>https://www.cve.org/CVERecord?id=CVE-2023-45281</t>
  </si>
  <si>
    <t>Onboard clock subsystem</t>
  </si>
  <si>
    <t>Oscillator, GNSS receiver and disciplining filter; origin of the timing dependency</t>
  </si>
  <si>
    <t>process, data store</t>
  </si>
  <si>
    <t>TB0, TB1</t>
  </si>
  <si>
    <t>LEO constellation; timing</t>
  </si>
  <si>
    <t>timing</t>
  </si>
  <si>
    <t>16/18</t>
  </si>
  <si>
    <t>A1.6</t>
  </si>
  <si>
    <t>CVE-2023-46470</t>
  </si>
  <si>
    <t>Satellite bus and flight software</t>
  </si>
  <si>
    <t>2/3</t>
  </si>
  <si>
    <t>Computer, flight software and telecommand receiver; hosts and commands the payload</t>
  </si>
  <si>
    <t>2023-11-20</t>
  </si>
  <si>
    <t>Script injection via a telecommand shown in the archive timeline.</t>
  </si>
  <si>
    <t>https://www.cve.org/CVERecord?id=CVE-2023-46470</t>
  </si>
  <si>
    <t>#72, #56, #6</t>
  </si>
  <si>
    <t>L1 &gt; L2 &gt; L3 &gt; L4  (4 of 4 layers)
L1: [A1.6], A1.4†, A1.5†, A1.7† | L2: A2.1†, A2.2†, A2.4† | L3: A3.1†, A3.2†, A3.3†, A3.4†, A3.5†, A3.6† | L4: A4.5†, A4.6†
Boundaries to first check A3.4/A3.5: 2 | to ATM A4.6: 3</t>
  </si>
  <si>
    <t>Ground-station antennas and modems</t>
  </si>
  <si>
    <t>M15; M18</t>
  </si>
  <si>
    <t>Receive downlinks and transmit telecommands</t>
  </si>
  <si>
    <t>TB2</t>
  </si>
  <si>
    <t>Receiving stations</t>
  </si>
  <si>
    <t>CVE-2023-46471</t>
  </si>
  <si>
    <t>XSS in the script viewer.</t>
  </si>
  <si>
    <t>A2.1</t>
  </si>
  <si>
    <t>Observable reports</t>
  </si>
  <si>
    <t>https://www.cve.org/CVERecord?id=CVE-2023-46471</t>
  </si>
  <si>
    <t>TOA, FOA, AOA, decoded message and clock-quality metadata of one reception</t>
  </si>
  <si>
    <t>data</t>
  </si>
  <si>
    <t>data flow</t>
  </si>
  <si>
    <t>TB1, TB2</t>
  </si>
  <si>
    <t>TOA measurement data</t>
  </si>
  <si>
    <t>L1 &gt; L2 &gt; L3 &gt; L4  (4 of 4 layers)
L1: A1.7 | L2: [A2.1], A2.2, A2.4 | L3: A3.1, A3.3, A3.4, A3.5, A3.6 | L4: A4.5, A4.6
Boundaries to first check A3.4/A3.5: 1 | to ATM A4.6: 2</t>
  </si>
  <si>
    <t>A2.2</t>
  </si>
  <si>
    <t>Inter-satellite link terminals and crosslinks</t>
  </si>
  <si>
    <t>Relay reports toward a satellite in view of a ground station</t>
  </si>
  <si>
    <t>CVE-2023-47311</t>
  </si>
  <si>
    <t>link</t>
  </si>
  <si>
    <t>Inter-satellite links</t>
  </si>
  <si>
    <t>Clickjacking that can push commands into a command queue.</t>
  </si>
  <si>
    <t>https://www.cve.org/CVERecord?id=CVE-2023-47311</t>
  </si>
  <si>
    <t>L1 &gt; L2 &gt; L3 &gt; L4  (4 of 4 layers)
L1: A1.7 | L2: [A2.2], A2.4 | L3: A3.1, A3.3, A3.4, A3.5, A3.6 | L4: A4.5, A4.6
Boundaries to first check A3.4/A3.5: 1 | to ATM A4.6: 2</t>
  </si>
  <si>
    <t>A2.3</t>
  </si>
  <si>
    <t>PTP time-transfer messages</t>
  </si>
  <si>
    <t>Carry time between satellites; second input to A1.5</t>
  </si>
  <si>
    <t>Carried on links</t>
  </si>
  <si>
    <t>CVE-2023-45282</t>
  </si>
  <si>
    <t>NASA Open MCT (mission control UI)</t>
  </si>
  <si>
    <t>&lt; 3.1.0</t>
  </si>
  <si>
    <t>CWE-1321</t>
  </si>
  <si>
    <t>2023-10-06</t>
  </si>
  <si>
    <t>L1 &gt; L2 &gt; L3 &gt; L4  (4 of 4 layers)
L1: A1.4, A1.5, A1.7 | L2: [A2.3], A2.1, A2.2, A2.4 | L3: A3.1, A3.2, A3.3, A3.4, A3.5, A3.6 | L4: A4.5, A4.6
Boundaries to first check A3.4/A3.5: 3 | to ATM A4.6: 4</t>
  </si>
  <si>
    <t>A2.4</t>
  </si>
  <si>
    <t>Prototype pollution through the import action.</t>
  </si>
  <si>
    <t>Downlink channel and ground backhaul network</t>
  </si>
  <si>
    <t>Carry reports from orbit to the Central Processing Station</t>
  </si>
  <si>
    <t>Downlink; communications network</t>
  </si>
  <si>
    <t>M24; M10</t>
  </si>
  <si>
    <t>https://www.cve.org/CVERecord?id=CVE-2023-45282</t>
  </si>
  <si>
    <t>L1 &gt; L2 &gt; L3 &gt; L4  (4 of 4 layers)
L1: A1.7 | L2: [A2.4] | L3: A3.1, A3.3, A3.4, A3.5, A3.6 | L4: A4.5, A4.6
Boundaries to first check A3.4/A3.5: 1 | to ATM A4.6: 2</t>
  </si>
  <si>
    <t>A2.5</t>
  </si>
  <si>
    <t>Telecommands and software-update packages</t>
  </si>
  <si>
    <t>Carry commands, configuration and firmware to the satellites</t>
  </si>
  <si>
    <t>TB1-TB3</t>
  </si>
  <si>
    <t>CVE-2023-45884</t>
  </si>
  <si>
    <t>&lt;= 3.1.0</t>
  </si>
  <si>
    <t>2023-11-09</t>
  </si>
  <si>
    <t>Cross-site request forgery exposing information via a layout plugin.</t>
  </si>
  <si>
    <t>https://www.cve.org/CVERecord?id=CVE-2023-45884</t>
  </si>
  <si>
    <t>L1 &gt; L2 &gt; L3 &gt; L4  (4 of 4 layers)
L1: A1.4†, A1.5†, A1.6, A1.7† | L2: [A2.5], A2.1†, A2.2†, A2.4† | L3: A3.1†, A3.2†, A3.3†, A3.4†, A3.5†, A3.6† | L4: A4.5†, A4.6†
Boundaries to first check A3.4/A3.5: 3 | to ATM A4.6: 4</t>
  </si>
  <si>
    <t>A3.1</t>
  </si>
  <si>
    <t>Measurement-association module</t>
  </si>
  <si>
    <t>Groups the receptions of one transmission across satellites</t>
  </si>
  <si>
    <t>software</t>
  </si>
  <si>
    <t>Central Processing Station</t>
  </si>
  <si>
    <t>CVE-2023-45885</t>
  </si>
  <si>
    <t>L3 &gt; L4  (2 of 4 layers)
L3: [A3.1], A3.3, A3.4, A3.5, A3.6 | L4: A4.5, A4.6
Boundaries to first check A3.4/A3.5: 0 (an origin is a check) | to ATM A4.6: 1</t>
  </si>
  <si>
    <t>A3.2</t>
  </si>
  <si>
    <t>Ephemeris and clock-state database</t>
  </si>
  <si>
    <t>Holds satellite positions, velocities and clock states for the solver</t>
  </si>
  <si>
    <t>data store</t>
  </si>
  <si>
    <t>XSS via a layout plugin component.</t>
  </si>
  <si>
    <t>TDOA engine</t>
  </si>
  <si>
    <t>https://www.cve.org/CVERecord?id=CVE-2023-45885</t>
  </si>
  <si>
    <t>L3 &gt; L4  (2 of 4 layers)
L3: [A3.2], A3.3, A3.4, A3.5, A3.6 | L4: A4.5, A4.6
Boundaries to first check A3.4/A3.5: 0 (an origin is a check) | to ATM A4.6: 1</t>
  </si>
  <si>
    <t>A3.3</t>
  </si>
  <si>
    <t>Localisation solver, EKF/IMM tracker and track database</t>
  </si>
  <si>
    <t>Computes each position and maintains the track</t>
  </si>
  <si>
    <t>software, data</t>
  </si>
  <si>
    <t>CVE-2025-25371</t>
  </si>
  <si>
    <t>L1 · Satellite platform &amp; flight software</t>
  </si>
  <si>
    <t>TDOA engine; report generation</t>
  </si>
  <si>
    <t>NASA cFS Aquila (flight software)</t>
  </si>
  <si>
    <t>2025-03-25</t>
  </si>
  <si>
    <t>Directory escape in the OS abstraction layer allows file overwrite.</t>
  </si>
  <si>
    <t>https://www.cve.org/CVERecord?id=CVE-2025-25371</t>
  </si>
  <si>
    <t>L3 &gt; L4  (2 of 4 layers)
L3: [A3.3], A3.4, A3.5, A3.6 | L4: A4.5, A4.6
Boundaries to first check A3.4/A3.5: 0 (an origin is a check) | to ATM A4.6: 1</t>
  </si>
  <si>
    <t>A3.4</t>
  </si>
  <si>
    <t>Integrity-monitoring module</t>
  </si>
  <si>
    <t>Residual and consistency tests on each solution</t>
  </si>
  <si>
    <t>Report generation</t>
  </si>
  <si>
    <t>CVE-2025-25372</t>
  </si>
  <si>
    <t>L3 &gt; L4  (2 of 4 layers)
L3: [A3.4], A3.6 | L4: A4.5, A4.6
Boundaries to first check A3.4/A3.5: 0 (an origin is a check) | to ATM A4.6: 1</t>
  </si>
  <si>
    <t>A3.5</t>
  </si>
  <si>
    <t>E-MLAT/ADS-B cross-check module</t>
  </si>
  <si>
    <t>CWE-787</t>
  </si>
  <si>
    <t>Compares the independent position with the broadcast one and sets the integrity indicator</t>
  </si>
  <si>
    <t>Crafted telecommand to the memory-management module crashes the software.</t>
  </si>
  <si>
    <t>https://www.cve.org/CVERecord?id=CVE-2025-25372</t>
  </si>
  <si>
    <t>L3 &gt; L4  (2 of 4 layers)
L3: [A3.5], A3.6 | L4: A4.5, A4.6
Boundaries to first check A3.4/A3.5: 0 (an origin is a check) | to ATM A4.6: 1</t>
  </si>
  <si>
    <t>A3.6</t>
  </si>
  <si>
    <t>ASTERIX report encoder and gateway</t>
  </si>
  <si>
    <t>Encodes CAT020/021 reports with their integrity annotation for ATM</t>
  </si>
  <si>
    <t>CVE-2025-25373</t>
  </si>
  <si>
    <t>CWE-732</t>
  </si>
  <si>
    <t>Weak access control in the memory-management module enables code execution.</t>
  </si>
  <si>
    <t>https://www.cve.org/CVERecord?id=CVE-2025-25373</t>
  </si>
  <si>
    <t>L3 &gt; L4  (2 of 4 layers)
L3: [A3.6] | L4: A4.5, A4.6
Boundaries to first check A3.4/A3.5: none (bypasses A3.4/A3.5) | to ATM A4.6: 1</t>
  </si>
  <si>
    <t>A3.7</t>
  </si>
  <si>
    <t>Central Processing Station computing platform</t>
  </si>
  <si>
    <t>Servers, operating system and virtualisation hosting A3.1-A3.6</t>
  </si>
  <si>
    <t>L3 cross-check A3.5: mismatch between independent and broadcast position</t>
  </si>
  <si>
    <t>host</t>
  </si>
  <si>
    <t>TB2, TB3</t>
  </si>
  <si>
    <t>one aircraft</t>
  </si>
  <si>
    <t>hosting</t>
  </si>
  <si>
    <t>Emitter and position</t>
  </si>
  <si>
    <t>IMP-0001 Deception</t>
  </si>
  <si>
    <t>T0832 Manipulation of View (medium)</t>
  </si>
  <si>
    <t>CVE-2025-25374</t>
  </si>
  <si>
    <t>CWE-400</t>
  </si>
  <si>
    <t>L3 &gt; L4  (2 of 4 layers)
L3: [A3.7], A3.1, A3.2, A3.3, A3.4, A3.5, A3.6 | L4: A4.5, A4.6
Boundaries to first check A3.4/A3.5: 0 (an origin is a check) | to ATM A4.6: 1</t>
  </si>
  <si>
    <t>Synchronisation policy and time-reference service</t>
  </si>
  <si>
    <t>Fixes the time scale, PTP policy and GNSS-PTP conformance thresholds used by A1.5</t>
  </si>
  <si>
    <t>service, data</t>
  </si>
  <si>
    <t>State that blocks launching applications (platform denial of service).</t>
  </si>
  <si>
    <t>Operations and policy</t>
  </si>
  <si>
    <t>https://www.cve.org/CVERecord?id=CVE-2025-25374</t>
  </si>
  <si>
    <t>1090 MHz jamming</t>
  </si>
  <si>
    <t>In-band interference raises the noise floor at the payload so that valid emissions in the footprint are not decoded.</t>
  </si>
  <si>
    <t>Wide- or narrow-band RF interference in the footprint</t>
  </si>
  <si>
    <t>A4.2</t>
  </si>
  <si>
    <t>Orbit-determination system and ephemeris products</t>
  </si>
  <si>
    <t>Produces the satellite ephemerides for A3.2</t>
  </si>
  <si>
    <t>CVE-2024-55028</t>
  </si>
  <si>
    <t>NASA F Prime (ground dashboard)</t>
  </si>
  <si>
    <t>v3.4.3</t>
  </si>
  <si>
    <t>Template injection via an uploaded file in the dashboard.</t>
  </si>
  <si>
    <t>L3 &gt; L4  (2 of 4 layers)
L3: A3.2, A3.3, A3.4, A3.5, A3.6 | L4: [A4.2], A4.5, A4.6
Boundaries to first check A3.4/A3.5: 1 | to ATM A4.6: 2</t>
  </si>
  <si>
    <t>A4.3</t>
  </si>
  <si>
    <t>https://www.cve.org/CVERecord?id=CVE-2024-55028</t>
  </si>
  <si>
    <t>Key-management system and credential store</t>
  </si>
  <si>
    <t>Holds and distributes keys for telecommand, ISLs and ground links</t>
  </si>
  <si>
    <t>L1 &gt; L2 &gt; L3 &gt; L4  (4 of 4 layers)
L1: A1.4†, A1.5†, A1.6, A1.7† | L2: A2.1†, A2.2†, A2.4†, A2.5 | L3: A3.1†, A3.2†, A3.3†, A3.4†, A3.5†, A3.6† | L4: [A4.3], A4.5†, A4.6†
Boundaries to first check A3.4/A3.5: 5 | to ATM A4.6: 6</t>
  </si>
  <si>
    <t>A4.4</t>
  </si>
  <si>
    <t>Configuration and software-update management system</t>
  </si>
  <si>
    <t>Holds filter parameters, integrity thresholds and firmware baselines; issues updates via A2.5</t>
  </si>
  <si>
    <t>CVE-2024-55029</t>
  </si>
  <si>
    <t>Multiple cross-site scripting flaws.</t>
  </si>
  <si>
    <t>https://www.cve.org/CVERecord?id=CVE-2024-55029</t>
  </si>
  <si>
    <t>L1 &gt; L2 &gt; L3 &gt; L4  (4 of 4 layers)
L1: A1.4†, A1.5†, A1.6, A1.7† | L2: A2.1†, A2.2†, A2.4†, A2.5 | L3: A3.1†, A3.2†, A3.3†, A3.4, A3.5†, A3.6 | L4: [A4.4], A4.5, A4.6
Boundaries to first check A3.4/A3.5: 1 | to ATM A4.6: 2</t>
  </si>
  <si>
    <t>A4.5</t>
  </si>
  <si>
    <t>Surveillance data feed to ATM</t>
  </si>
  <si>
    <t>Delivers target reports and integrity annotations to ATM</t>
  </si>
  <si>
    <t>TB0, TB3</t>
  </si>
  <si>
    <t>Target report interface</t>
  </si>
  <si>
    <t>CVE-2024-55030</t>
  </si>
  <si>
    <t>NASA F Prime (command dispatcher)</t>
  </si>
  <si>
    <t>L4  (1 of 4 layers)
L4: [A4.5], A4.6
Boundaries to first check A3.4/A3.5: none (bypasses A3.4/A3.5) | to ATM A4.6: 0</t>
  </si>
  <si>
    <t>Command injection in the command dispatcher service.</t>
  </si>
  <si>
    <t>A4.6</t>
  </si>
  <si>
    <t>ATM surveillance system and controller working position</t>
  </si>
  <si>
    <t>Consumes the picture; the place where the consequence of an attack is realised</t>
  </si>
  <si>
    <t>https://www.cve.org/CVERecord?id=CVE-2024-55030</t>
  </si>
  <si>
    <t>ATC centre</t>
  </si>
  <si>
    <t>#3, #23</t>
  </si>
  <si>
    <t>L4  (1 of 4 layers)
L4: [A4.6]
Boundaries to first check A3.4/A3.5: none (bypasses A3.4/A3.5) | to ATM A4.6: 0</t>
  </si>
  <si>
    <t>A4.7</t>
  </si>
  <si>
    <t>Operator personnel and suppliers</t>
  </si>
  <si>
    <t>Hold authorised access to L3 and L4 assets</t>
  </si>
  <si>
    <t>people</t>
  </si>
  <si>
    <t>CVE-2024-35056</t>
  </si>
  <si>
    <t>NASA AIT-Core (ground tooling)</t>
  </si>
  <si>
    <t>2.5.2</t>
  </si>
  <si>
    <t>CWE-89</t>
  </si>
  <si>
    <t>2024-05-21</t>
  </si>
  <si>
    <t>SQL injection in packet query and insert functions.</t>
  </si>
  <si>
    <t>https://www.cve.org/CVERecord?id=CVE-2024-35056</t>
  </si>
  <si>
    <t>L1 &gt; L2 &gt; L3 &gt; L4  (4 of 4 layers)
L1: A1.4†, A1.5†, A1.6, A1.7† | L2: A2.1†, A2.2†, A2.3†, A2.4†, A2.5 | L3: A3.1, A3.2, A3.3, A3.4, A3.5, A3.6, A3.7 | L4: [A4.7], A4.1, A4.2, A4.3, A4.4, A4.5, A4.6, A4.8
Boundaries to first check A3.4/A3.5: 1 | to ATM A4.6: 2</t>
  </si>
  <si>
    <t>Mission-operations centre and management network</t>
  </si>
  <si>
    <t>Workstations, remote access, management network and audit logs hosting A4.1-A4.4</t>
  </si>
  <si>
    <t>CVE-2024-35057</t>
  </si>
  <si>
    <t>CWE-319</t>
  </si>
  <si>
    <t>Code execution via a crafted packet.</t>
  </si>
  <si>
    <t>Assets with at least one threat</t>
  </si>
  <si>
    <t>https://www.cve.org/CVERecord?id=CVE-2024-35057</t>
  </si>
  <si>
    <t>CVE-2024-35058</t>
  </si>
  <si>
    <t>Code execution via a malicious string to an API routine.</t>
  </si>
  <si>
    <t>https://www.cve.org/CVERecord?id=CVE-2024-35058</t>
  </si>
  <si>
    <t>A threat is listed on every asset it acts on (e.g. T1.10 and T1.11 act on A1.2 and A1.5), so the sum of the counts exceeds 55.</t>
  </si>
  <si>
    <t>CVE-2024-35059</t>
  </si>
  <si>
    <t>Unsafe deserialisation of pickled data.</t>
  </si>
  <si>
    <t>https://www.cve.org/CVERecord?id=CVE-2024-35059</t>
  </si>
  <si>
    <t>3/4</t>
  </si>
  <si>
    <t>CVE-2024-35060</t>
  </si>
  <si>
    <t>Command execution via a crafted YAML file.</t>
  </si>
  <si>
    <t>https://www.cve.org/CVERecord?id=CVE-2024-35060</t>
  </si>
  <si>
    <t>CVE-2024-35061</t>
  </si>
  <si>
    <t>0 through 2.5.2</t>
  </si>
  <si>
    <t>CWE-311</t>
  </si>
  <si>
    <t>Unencrypted network data exchange enabling interception.</t>
  </si>
  <si>
    <t>https://www.cve.org/CVERecord?id=CVE-2024-35061</t>
  </si>
  <si>
    <t>CVE-2024-44910</t>
  </si>
  <si>
    <t>L2 · Space link TC/TM (commanding &amp; file transfer)</t>
  </si>
  <si>
    <t>NASA CryptoLib (SDLS)</t>
  </si>
  <si>
    <t>1.3.0</t>
  </si>
  <si>
    <t>CWE-125</t>
  </si>
  <si>
    <t>2024-09-27</t>
  </si>
  <si>
    <t>Out-of-bounds read in AOS frame processing.</t>
  </si>
  <si>
    <t>https://www.cve.org/CVERecord?id=CVE-2024-44910</t>
  </si>
  <si>
    <t>A2.4, A2.5</t>
  </si>
  <si>
    <t>T2.11, T2.12</t>
  </si>
  <si>
    <t>T2.12: bound Atlas source (#65) and asset; T2.11: asset match (telecommand frames)</t>
  </si>
  <si>
    <t>L1 &gt; L2 &gt; L3 &gt; L4  (4 of 4 layers)
L1: A1.4†, A1.5†, A1.6, A1.7 | L2: [A2.4], [A2.5], A2.1†, A2.2† | L3: A3.1, A3.2†, A3.3, A3.4, A3.5, A3.6 | L4: A4.5, A4.6
Boundaries to first check A3.4/A3.5: 1 | to ATM A4.6: 2</t>
  </si>
  <si>
    <t>CVE-2024-44911</t>
  </si>
  <si>
    <t>Out-of-bounds read in TC frame processing.</t>
  </si>
  <si>
    <t>https://www.cve.org/CVERecord?id=CVE-2024-44911</t>
  </si>
  <si>
    <t>CVE-2024-44912</t>
  </si>
  <si>
    <t>Out-of-bounds read in TM frame processing.</t>
  </si>
  <si>
    <t>L1/L2: loss of receptions is visible as an availability drop</t>
  </si>
  <si>
    <t>one footprint</t>
  </si>
  <si>
    <t>https://www.cve.org/CVERecord?id=CVE-2024-44912</t>
  </si>
  <si>
    <t>EX-0016 Jamming; IMP-0003 Denial</t>
  </si>
  <si>
    <t>T0814 Denial of Service (medium)</t>
  </si>
  <si>
    <t>CVE-2025-29909</t>
  </si>
  <si>
    <t>&lt;= 1.3.3</t>
  </si>
  <si>
    <t>CWE-191; CWE-787</t>
  </si>
  <si>
    <t>CVSS 4.0, CNA (GitHub)</t>
  </si>
  <si>
    <t>2025-03-17</t>
  </si>
  <si>
    <t>Heap overflow from a crafted telecommand frame.</t>
  </si>
  <si>
    <t>Synchronised multi-emitter ghost target</t>
  </si>
  <si>
    <t>Several time-synchronised emitters in the footprint transmit so that arrival-time differences at the satellites match a false position (AC3). Whether the payload's angular resolution separates the emitters depends on pass geometry.</t>
  </si>
  <si>
    <t>https://www.cve.org/CVERecord?id=CVE-2025-29909</t>
  </si>
  <si>
    <t>Time-synchronised transmitters at several sites</t>
  </si>
  <si>
    <t>Not tau: it forges emissions, not a clock offset. Timing-related because it must reproduce TDOA.</t>
  </si>
  <si>
    <t>Target</t>
  </si>
  <si>
    <t>AC3</t>
  </si>
  <si>
    <t>CVE-2025-29910</t>
  </si>
  <si>
    <t>CWE-401</t>
  </si>
  <si>
    <t>Memory leak enabling resource exhaustion.</t>
  </si>
  <si>
    <t>https://www.cve.org/CVERecord?id=CVE-2025-29910</t>
  </si>
  <si>
    <t>CVE-2025-29911</t>
  </si>
  <si>
    <t>CWE-122</t>
  </si>
  <si>
    <t>Out-of-bounds heap read from a malformed AOS frame.</t>
  </si>
  <si>
    <t>https://www.cve.org/CVERecord?id=CVE-2025-29911</t>
  </si>
  <si>
    <t>CVE-2025-29912</t>
  </si>
  <si>
    <t>CWE-122; CWE-191</t>
  </si>
  <si>
    <t>Integer underflow on a zero frame length leading to heap overflow.</t>
  </si>
  <si>
    <t>https://www.cve.org/CVERecord?id=CVE-2025-29912</t>
  </si>
  <si>
    <t>#5, #20, #6</t>
  </si>
  <si>
    <t>CVE-2025-29913</t>
  </si>
  <si>
    <t>CWE-125; CWE-191</t>
  </si>
  <si>
    <t>Integer underflow while preparing authenticated data, leading to heap overflow.</t>
  </si>
  <si>
    <t>https://www.cve.org/CVERecord?id=CVE-2025-29913</t>
  </si>
  <si>
    <t>CVE-2025-30216</t>
  </si>
  <si>
    <t>CVSS 3.1, CNA (GitHub)</t>
  </si>
  <si>
    <t>Unchecked header length in TM processing leading to heap overflow.</t>
  </si>
  <si>
    <t>https://www.cve.org/CVERecord?id=CVE-2025-30216</t>
  </si>
  <si>
    <t>CVE-2025-30356</t>
  </si>
  <si>
    <t>2025-04-01</t>
  </si>
  <si>
    <t>Incomplete frame-length check (follow-up to CVE-2025-29912) leading to heap overflow.</t>
  </si>
  <si>
    <t>https://www.cve.org/CVERecord?id=CVE-2025-30356</t>
  </si>
  <si>
    <t>CVE-2025-46672</t>
  </si>
  <si>
    <t>NASA CryptoLib (SDLS-EP)</t>
  </si>
  <si>
    <t>&lt; 1.3.2</t>
  </si>
  <si>
    <t>CWE-252</t>
  </si>
  <si>
    <t>CVSS 3.1, CNA</t>
  </si>
  <si>
    <t>2025-04-27</t>
  </si>
  <si>
    <t>Unchecked return status of the over-the-air rekeying function.</t>
  </si>
  <si>
    <t>SATERA Threat Catalogue, SC-1 to SC-17: corrected and linked to the extended catalogue</t>
  </si>
  <si>
    <t>M24; M05</t>
  </si>
  <si>
    <t>https://www.cve.org/CVERecord?id=CVE-2025-46672</t>
  </si>
  <si>
    <t>Content of the authors' earlier 17-entry catalogue, with numeric DREAD scores and formula totals, register asset IDs, corrected PASTA stages and the extended-catalogue threats that refine each entry. Original wording kept in the text columns; see sheet Review for every change.</t>
  </si>
  <si>
    <t>Entry</t>
  </si>
  <si>
    <t>Asset (as published)</t>
  </si>
  <si>
    <t>Attack types</t>
  </si>
  <si>
    <t>Attack vectors</t>
  </si>
  <si>
    <t>Category</t>
  </si>
  <si>
    <t>Vulnerabilities</t>
  </si>
  <si>
    <t>Potential damage</t>
  </si>
  <si>
    <t>Impact (published word)</t>
  </si>
  <si>
    <t>Reproducibility (published word)</t>
  </si>
  <si>
    <t>STRIDE (as published)</t>
  </si>
  <si>
    <t>PASTA stage as published</t>
  </si>
  <si>
    <t>PASTA stage(s), corrected</t>
  </si>
  <si>
    <t>Threat scenario</t>
  </si>
  <si>
    <t>Affected part</t>
  </si>
  <si>
    <t>Damage</t>
  </si>
  <si>
    <t>T4.04, T4.05</t>
  </si>
  <si>
    <t>Reproducibility</t>
  </si>
  <si>
    <t>Asset match (key-management flaws); source #65 not bound to a key-management threat</t>
  </si>
  <si>
    <t>Exploitability</t>
  </si>
  <si>
    <t>Affected</t>
  </si>
  <si>
    <t>Discoverability (attacker view)</t>
  </si>
  <si>
    <t>CVE-2025-46673</t>
  </si>
  <si>
    <t>DREAD total</t>
  </si>
  <si>
    <t>DREAD band</t>
  </si>
  <si>
    <t>Published total (check)</t>
  </si>
  <si>
    <t>CWE-913</t>
  </si>
  <si>
    <t>Total check</t>
  </si>
  <si>
    <t>Extended-catalogue threats refining the entry</t>
  </si>
  <si>
    <t>n</t>
  </si>
  <si>
    <t>References as published</t>
  </si>
  <si>
    <t>Reference status</t>
  </si>
  <si>
    <t>Security association used without confirming it is active.</t>
  </si>
  <si>
    <t>https://www.cve.org/CVERecord?id=CVE-2025-46673</t>
  </si>
  <si>
    <t>Aircraft ADS-B Transponder</t>
  </si>
  <si>
    <t>Spoofing, Replay</t>
  </si>
  <si>
    <t>Forged 1090 MHz transmissions; capture-and-rebroadcast via SDR</t>
  </si>
  <si>
    <t>Technical / External</t>
  </si>
  <si>
    <t>Unauthenticated, unencrypted ADS-B broadcast; no message integrity</t>
  </si>
  <si>
    <t>Ghost aircraft injected; false / replayed position reports enter the sensing pipeline</t>
  </si>
  <si>
    <t>S, T</t>
  </si>
  <si>
    <t>Stage 3 &amp; 4: Threat &amp; Vulnerability Analysis</t>
  </si>
  <si>
    <t>4-5</t>
  </si>
  <si>
    <t>Forged 1090 MHz messages create a ghost track that the E-MLAT cross-check must reject</t>
  </si>
  <si>
    <t>ADS-B sensing input</t>
  </si>
  <si>
    <t>CVE-2025-46674</t>
  </si>
  <si>
    <t>CWE-489</t>
  </si>
  <si>
    <t>Unfinished extended procedures could expose a keystream oracle.</t>
  </si>
  <si>
    <t>https://www.cve.org/CVERecord?id=CVE-2025-46674</t>
  </si>
  <si>
    <t>T1.01; T1.02; T1.03; T1.05; T1.06</t>
  </si>
  <si>
    <t>Costin &amp; Francillon, Ghost in the Air(Traffic) (Black Hat, 2012); Strohmeier et al., On the Security of the ADS-B Protocol (IEEE Comms Surveys, 2017); Schafer et al., Experimental Analysis of ADS-B (2013)</t>
  </si>
  <si>
    <t>CVE-2025-46675</t>
  </si>
  <si>
    <t>Costin, Schafer: in atlas (#59, #3). Strohmeier: published in IEEE COMST 2015, not 2017 (atlas #23).</t>
  </si>
  <si>
    <t>17/19</t>
  </si>
  <si>
    <t>SC-2</t>
  </si>
  <si>
    <t>1/2</t>
  </si>
  <si>
    <t>Satellite Phased-Array Receiver</t>
  </si>
  <si>
    <t>A1.3, A1.4</t>
  </si>
  <si>
    <t>Spoofing, Tampering, Doppler/FOA manipulation</t>
  </si>
  <si>
    <t>Crafted RF injection; controlled frequency offset; multipath / array spoofing</t>
  </si>
  <si>
    <t>Single-source measurement extraction; no per-measurement authentication</t>
  </si>
  <si>
    <t>Corrupted TOA/FOA/AOA observables bias the E-MLAT localisation at source</t>
  </si>
  <si>
    <t>Keys used without checking their state.</t>
  </si>
  <si>
    <t>Medium-High</t>
  </si>
  <si>
    <t>Injected frequency offset biases the FOA component of the multilateration solution</t>
  </si>
  <si>
    <t>TOA/FOA/AOA extraction</t>
  </si>
  <si>
    <t>https://www.cve.org/CVERecord?id=CVE-2025-46675</t>
  </si>
  <si>
    <t>Leonardi et al., GNSS-Independent Localisation via Space-Based E-MLAT (2026); SATERA D6.1 (SESAR, 2025); Chen et al., Secure Localisation Attacks (2007)</t>
  </si>
  <si>
    <t>Leonardi 2026 and SATERA D6.1: paper sources. "Chen et al. (2007)": not located; verify or replace.</t>
  </si>
  <si>
    <t>SC-3</t>
  </si>
  <si>
    <t>Onboard Timing Reference</t>
  </si>
  <si>
    <t>A1.5, A2.3</t>
  </si>
  <si>
    <t>Timing / Synchronisation manipulation, Denial of Service</t>
  </si>
  <si>
    <t>T3.03</t>
  </si>
  <si>
    <t>Delay injection; oscillator manipulation; time-source spoofing</t>
  </si>
  <si>
    <t>Sub-nanosecond synchronisation requirement; no secure time verification</t>
  </si>
  <si>
    <t>Coherent, stealthy position error across the constellation; cross-cutting corruption of L1-L3</t>
  </si>
  <si>
    <t>Very High</t>
  </si>
  <si>
    <t>T, D</t>
  </si>
  <si>
    <t>Stage 4 &amp; 5: Attack Modeling</t>
  </si>
  <si>
    <t>6</t>
  </si>
  <si>
    <t>A nanosecond-scale clock offset produces a smooth, self-consistent localisation error that anomaly detection cannot flag</t>
  </si>
  <si>
    <t>Synchronisation / clock</t>
  </si>
  <si>
    <t>Mapping rules (columns W to Z). Asset: the component of the 27-asset register the vendor product implements (ntpd, NTPsec, linuxptp and the time-server appliance: A4.1 and the PTP message path A2.3; ground GNSS receiver: A1.5 as an analogue; SATCOM terminal: A1.7; mission-control and ground tooling: A4.8; flight software: A1.6; CryptoLib frame processing: A2.4, A2.5; CryptoLib key and rekeying procedures: A4.3). Threats: catalogue threats on those assets that the CVE class instantiates; 'Bound' means the CVE's Atlas source is also bound to the threat in sheet Binding. No CVE in the register targets an L3 asset.</t>
  </si>
  <si>
    <t>T1.11; T2.06; T2.07</t>
  </si>
  <si>
    <t>Anderson et al., Secure Synchronisation for GNSS-Independent Clocks (2025); Capkun &amp; Hubaux, Secure Positioning (2005); SATERA D6.1 (SESAR, 2025)</t>
  </si>
  <si>
    <t>"Anderson et al. (2025)": not located by web search on 20 Oct 2026. Capkun &amp; Hubaux: real, not in atlas. Verify.</t>
  </si>
  <si>
    <t>SC-4</t>
  </si>
  <si>
    <t>Orbital Platform / Satellite Bus</t>
  </si>
  <si>
    <t>Tampering, Firmware / supply-chain compromise</t>
  </si>
  <si>
    <t>Pre-deployment firmware tampering; component substitution; exposed maintenance interfaces</t>
  </si>
  <si>
    <t>Technical / Organizational / External</t>
  </si>
  <si>
    <t>COTS components; multi-vendor sourcing; no in-orbit physical inspection</t>
  </si>
  <si>
    <t>Latent backdoor or weakened crypto activated in orbit; sensing payload compromise</t>
  </si>
  <si>
    <t>Low-Medium</t>
  </si>
  <si>
    <t>T, E, D</t>
  </si>
  <si>
    <t>Stage 2 &amp; 3: Threat Enumeration</t>
  </si>
  <si>
    <t>3-4</t>
  </si>
  <si>
    <t>Backdoored receiver firmware distributed through a compromised vendor affects many satellites identically</t>
  </si>
  <si>
    <t>Sensing payload / bus</t>
  </si>
  <si>
    <t>Strong pass: angular resolution separates the emitters (L1/L3); weak pass: no check</t>
  </si>
  <si>
    <t>T1.12; T1.13; T1.14; T4.13</t>
  </si>
  <si>
    <t>Yu et al., Practical Exploitation of Operational Satellite Modems (2024); MITRE ATT&amp;CK / SPARTA (2023); ASD Securing Space guidance (2026)</t>
  </si>
  <si>
    <t>"Yu et al. (2024)": title not matched (a Yu et al. 2024 CCS paper on VSAT modems exists; verify). ASD Securing Space and MITRE/SPARTA: real.</t>
  </si>
  <si>
    <t>SC-5</t>
  </si>
  <si>
    <t>GNSS Signal (transponder reference)</t>
  </si>
  <si>
    <t>Jamming, Spoofing</t>
  </si>
  <si>
    <t>External RF interference; counterfeit GNSS signals</t>
  </si>
  <si>
    <t>Aircraft self-report depends on GNSS; the integrity check itself rests on one ADS-B input</t>
  </si>
  <si>
    <t>Denied or falsified GNSS position; the contingency the GNSS-independent layer exists to detect</t>
  </si>
  <si>
    <t>S, D</t>
  </si>
  <si>
    <t>Stage 3 &amp; 4: Threat Modeling</t>
  </si>
  <si>
    <t>4</t>
  </si>
  <si>
    <t>GNSS spoofing biases the ADS-B report; if E-MLAT is also degraded, the integrity check is defeated</t>
  </si>
  <si>
    <t>GNSS-derived state</t>
  </si>
  <si>
    <t>Multi-emitter takeover of a real track</t>
  </si>
  <si>
    <t>Synchronised emitters overwrite or shadow the emission of a real aircraft so that its multilaterated position follows the attacker's, producing displacement of a genuine track.</t>
  </si>
  <si>
    <t>Overshadowing a genuine emission with synchronised transmitters</t>
  </si>
  <si>
    <t>T1.10; T1.11</t>
  </si>
  <si>
    <t>Tibaldo et al., GNSS Vulnerabilities Review (2025); Wu et al., Security and Privacy of ADS-B (2020); Costin &amp; Francillon (2012)</t>
  </si>
  <si>
    <t>Not tau: it overwrites an emission, not a clock. Timing-related because it must reproduce TDOA.</t>
  </si>
  <si>
    <t>Tibaldo 2025 is "GNSS-WASP: GNSS Wide Area SPoofing" (atlas #11), an attack paper, not a review. "Wu et al. 2020": title imprecise (IEEE Access 2020 ADS-B survey). Verify.</t>
  </si>
  <si>
    <t>SC-6</t>
  </si>
  <si>
    <t>Inter-Satellite Link (ISL): tampering</t>
  </si>
  <si>
    <t>A2.1, A2.2</t>
  </si>
  <si>
    <t>Tampering, Man-in-the-Middle</t>
  </si>
  <si>
    <t>Interception and modification of inter-satellite traffic; node impersonation</t>
  </si>
  <si>
    <t>Unauthenticated relay; CPS treats incoming reports as trusted</t>
  </si>
  <si>
    <t>Altered measurements, timing metadata or ephemeris bias fusion without CPS visibility</t>
  </si>
  <si>
    <t>T, I</t>
  </si>
  <si>
    <t>Stage 4: Attack Modeling</t>
  </si>
  <si>
    <t>An impersonated node injects fabricated measurement reports that the CPS fuses as genuine</t>
  </si>
  <si>
    <t>ISL traffic</t>
  </si>
  <si>
    <t>T2.01; T2.02</t>
  </si>
  <si>
    <t>Salim et al., STRIDE Taxonomy for LEO Segments (2025); Yu et al. (2024); ASD Securing Space (2026)</t>
  </si>
  <si>
    <t>"Salim et al. (2025)": not located. Yu 2024: see SC-4. ASD: real.</t>
  </si>
  <si>
    <t>SC-7</t>
  </si>
  <si>
    <t>Inter-Satellite Link (ISL): denial of service</t>
  </si>
  <si>
    <t>Denial of Service, Selective dropping</t>
  </si>
  <si>
    <t>Link disruption; congestion; selective packet dropping</t>
  </si>
  <si>
    <t>Availability fluctuates with constellation geometry; no guaranteed relay redundancy</t>
  </si>
  <si>
    <t>Degraded measurement geometry inflates DOP and position uncertainty for a targeted aircraft</t>
  </si>
  <si>
    <t>D, T</t>
  </si>
  <si>
    <t>Stage 5: Attack Scenarios</t>
  </si>
  <si>
    <t>Selectively dropping reports from specific satellites worsens geometry without an obvious outage</t>
  </si>
  <si>
    <t>Relay availability</t>
  </si>
  <si>
    <t>T2.04; T2.05</t>
  </si>
  <si>
    <t>Salim et al. (2025); Beidas et al., Distributed LEO Swarm Communication (2026); SATERA D6.1 (SESAR, 2025)</t>
  </si>
  <si>
    <t>"Salim (2025)", "Beidas et al. (2026)": not located. SATERA D6.1: paper source.</t>
  </si>
  <si>
    <t>SC-8</t>
  </si>
  <si>
    <t>Satellite-to-Ground Downlink</t>
  </si>
  <si>
    <t>Eavesdropping, Traffic analysis</t>
  </si>
  <si>
    <t>Passive interception of unencrypted links</t>
  </si>
  <si>
    <t>Confidentiality not enforced on relay/downlink; observable relay patterns</t>
  </si>
  <si>
    <t>Disclosure of aggregated tracks, identity associations, sensitive-aircraft movements</t>
  </si>
  <si>
    <t>I</t>
  </si>
  <si>
    <t>Stage 3: Threat Modeling</t>
  </si>
  <si>
    <t>Passive interception reveals movements of state or sensitive aircraft and enables targeting</t>
  </si>
  <si>
    <t>Downlink payload</t>
  </si>
  <si>
    <t>Salim et al. (2025); Verma, Multi-Domain SATCOM Cybersecurity (2025)</t>
  </si>
  <si>
    <t>#5, #20</t>
  </si>
  <si>
    <t>"Salim (2025)", "Verma (2025)": not located. Better evidence in atlas: #2, #63 (E3).</t>
  </si>
  <si>
    <t>SC-9</t>
  </si>
  <si>
    <t>Measurement Report (in transit)</t>
  </si>
  <si>
    <t>Tampering, Latency injection</t>
  </si>
  <si>
    <t>Modification of report fields; deliberate delay of reports</t>
  </si>
  <si>
    <t>Reports carry timing metadata and ephemeris consumed without re-validation</t>
  </si>
  <si>
    <t>Corrupted or delayed reports propagate errors into localisation and integrity monitoring</t>
  </si>
  <si>
    <t>Delaying selected reports distorts the TDoA solution while each message appears valid</t>
  </si>
  <si>
    <t>TOA/FOA/AOA report</t>
  </si>
  <si>
    <t>T2.01; T2.03</t>
  </si>
  <si>
    <t>SATERA D6.1 (SESAR, 2025); Moser et al., Cyber-Physical Attack Modelling (2016); MITRE T1565 Data Manipulation (2024)</t>
  </si>
  <si>
    <t>Moser et al. 2016 is "Investigation of Multi-device Location Spoofing Attacks on ATC" (atlas #5); the quoted title does not match. T1565 real.</t>
  </si>
  <si>
    <t>SC-10</t>
  </si>
  <si>
    <t>Central Processing Station (CPS)</t>
  </si>
  <si>
    <t>A3.3, A3.7</t>
  </si>
  <si>
    <t>Tampering, Elevation of Privilege</t>
  </si>
  <si>
    <t>Software exploitation; privilege escalation</t>
  </si>
  <si>
    <t>Technical / Operational</t>
  </si>
  <si>
    <t>Single fusion node; downstream of all sensing-layer defences</t>
  </si>
  <si>
    <t>Arbitrary shaping of the surveillance picture while outputs appear validated</t>
  </si>
  <si>
    <t>T, E</t>
  </si>
  <si>
    <t>A compromised CPS process biases the multilateration solution and the track database directly</t>
  </si>
  <si>
    <t>Fusion / CPS core</t>
  </si>
  <si>
    <t>T3.03; T3.04; T3.10; T3.12</t>
  </si>
  <si>
    <t>Moser et al. (2016); Salim et al. (2025); SATERA D6.1 (SESAR, 2025)</t>
  </si>
  <si>
    <t>Moser 2016: title mismatch (see SC-9). "Salim (2025)": not located.</t>
  </si>
  <si>
    <t>SC-11</t>
  </si>
  <si>
    <t>Association / EKF-IMM Software</t>
  </si>
  <si>
    <t>A3.1, A3.3</t>
  </si>
  <si>
    <t>Tampering</t>
  </si>
  <si>
    <t>Manipulation of measurement-association or filtering logic</t>
  </si>
  <si>
    <t>Complex estimation logic; association decisions trusted</t>
  </si>
  <si>
    <t>Mis-association or biased filtering corrupts tracks regardless of input integrity</t>
  </si>
  <si>
    <t>Poisoned association logic merges measurements from different aircraft into one corrupted track</t>
  </si>
  <si>
    <t>Tracking / estimation</t>
  </si>
  <si>
    <t>T3.01; T3.04; T3.07</t>
  </si>
  <si>
    <t>Sheyner et al., Attack Graphs (2002); Adepu &amp; Mathur, CPS Attack Analysis (2018); SATERA D6.1 (2025)</t>
  </si>
  <si>
    <t>Sheyner 2002 real (attack-graph generation); "Adepu &amp; Mathur 2018": title generic, verify.</t>
  </si>
  <si>
    <t>SC-12</t>
  </si>
  <si>
    <t>Integrity-Monitoring Logic</t>
  </si>
  <si>
    <t>A3.4, A3.5</t>
  </si>
  <si>
    <t>Tampering, Threshold manipulation</t>
  </si>
  <si>
    <t>Comparison-logic tampering; threshold adjustment</t>
  </si>
  <si>
    <t>Single defensive function; thresholds configurable</t>
  </si>
  <si>
    <t>Suppressed real alerts admit spoofed positions, or false alerts disrupt operations</t>
  </si>
  <si>
    <t>Raising the discrepancy threshold lets a spoofed ADS-B position pass the E-MLAT cross-check</t>
  </si>
  <si>
    <t>Integrity monitor</t>
  </si>
  <si>
    <t>T3.02; T3.06; T3.07; T3.08</t>
  </si>
  <si>
    <t>SATERA D6.1 (SESAR, 2025); Moser et al. (2016); Frigault et al., Bayesian Attack Graphs (2008)</t>
  </si>
  <si>
    <t>Frigault 2008: title imprecise (Bayesian-network security metrics); verify.</t>
  </si>
  <si>
    <t>SC-13</t>
  </si>
  <si>
    <t>CPS Processing / Ground Segment</t>
  </si>
  <si>
    <t>Denial of Service</t>
  </si>
  <si>
    <t>Resource exhaustion; message flooding</t>
  </si>
  <si>
    <t>Networked infrastructure; finite processing capacity</t>
  </si>
  <si>
    <t>Loss of the surveillance picture at the point of fusion, removing separation assurance</t>
  </si>
  <si>
    <t>A flood of crafted reports exhausts CPS resources and blanks the surveillance output</t>
  </si>
  <si>
    <t>Processing capacity</t>
  </si>
  <si>
    <t>T2.12; T3.05</t>
  </si>
  <si>
    <t>Verma (2025); Salim et al. (2025); MITRE ATT&amp;CK (2023)</t>
  </si>
  <si>
    <t>"Verma (2025)", "Salim (2025)": not located. MITRE ATT&amp;CK: real.</t>
  </si>
  <si>
    <t>SC-14</t>
  </si>
  <si>
    <t>ATM Integration Interface</t>
  </si>
  <si>
    <t>A4.5, A4.6</t>
  </si>
  <si>
    <t>Spoofing, Tampering</t>
  </si>
  <si>
    <t>Forged or altered surveillance feed to the controller working position</t>
  </si>
  <si>
    <t>Validated picture trusted by ATM; interface boundary</t>
  </si>
  <si>
    <t>A corrupted picture reaches the controller as authoritative, degrading situational awareness</t>
  </si>
  <si>
    <t>Stage 6: Business Impact</t>
  </si>
  <si>
    <t>7</t>
  </si>
  <si>
    <t>A tampered feed presents a false but plausible traffic picture at the controller position</t>
  </si>
  <si>
    <t>Controller display</t>
  </si>
  <si>
    <t>T3.09; T4.08; T4.09; T4.10</t>
  </si>
  <si>
    <t>DO-326A / ED-202A Airworthiness Security Process; SATERA D6.1 (SESAR, 2025); ED-203A (EUROCAE)</t>
  </si>
  <si>
    <t>Standards: DO-326A/ED-202A and ED-203A are real; add edition/year.</t>
  </si>
  <si>
    <t>SC-15</t>
  </si>
  <si>
    <t>Configuration &amp; Command Control</t>
  </si>
  <si>
    <t>A2.5, A4.4</t>
  </si>
  <si>
    <t>Command Injection, Elevation of Privilege</t>
  </si>
  <si>
    <t>Malicious command uplink; replayed command sequences; weak C2 authentication</t>
  </si>
  <si>
    <t>Technical / External / Organizational</t>
  </si>
  <si>
    <t>High-consequence uplink; weak command authentication</t>
  </si>
  <si>
    <t>Reconfiguration or disabling of defensive functions; persistent constellation-wide effect</t>
  </si>
  <si>
    <t>S, E, D</t>
  </si>
  <si>
    <t>Injected commands disable on-board monitoring across multiple satellites</t>
  </si>
  <si>
    <t>Command &amp; control</t>
  </si>
  <si>
    <t>T1.12; T2.11; T4.06; T4.07</t>
  </si>
  <si>
    <t>Yu et al. (2024); SPARTA Matrix (Aerospace Corp.); MITRE ATT&amp;CK (2023)</t>
  </si>
  <si>
    <t>Yu 2024: see SC-4. SPARTA and ATT&amp;CK: real; record versions (SPARTA technique list read 20 Oct 2026; ATT&amp;CK v20).</t>
  </si>
  <si>
    <t>SC-16</t>
  </si>
  <si>
    <t>Synchronisation Governance</t>
  </si>
  <si>
    <t>Tampering, Denial of Service</t>
  </si>
  <si>
    <t>Manipulation of time-reference distribution / governance</t>
  </si>
  <si>
    <t>Constellation-wide time reference is a single trust anchor</t>
  </si>
  <si>
    <t>Loss or corruption of the shared time base degrades all timing-dependent processing</t>
  </si>
  <si>
    <t>Corrupting the governed time reference induces system-wide synchronisation error</t>
  </si>
  <si>
    <t>Time-reference service</t>
  </si>
  <si>
    <t>Anderson et al. (2025); SATERA D6.1 (2025); Tang et al., LEO Navigation Augmentation (2025)</t>
  </si>
  <si>
    <t>"Anderson (2025)", "Tang et al. (2025)": not located.</t>
  </si>
  <si>
    <t>SC-17</t>
  </si>
  <si>
    <t>Ephemeris &amp; Key Management</t>
  </si>
  <si>
    <t>A4.2, A4.3</t>
  </si>
  <si>
    <t>Information Disclosure, Tampering</t>
  </si>
  <si>
    <t>Key compromise; ephemeris manipulation</t>
  </si>
  <si>
    <t>Technical / Organizational</t>
  </si>
  <si>
    <t>Cryptographic key and satellite-state management across a large estate</t>
  </si>
  <si>
    <t>Key compromise enables impersonation; manipulated ephemeris biases the fusion inputs</t>
  </si>
  <si>
    <t>I, T</t>
  </si>
  <si>
    <t>Stage 6 &amp; 7: Business / Strategic Impact</t>
  </si>
  <si>
    <t>A leaked key allows an adversary to impersonate a satellite node to the CPS</t>
  </si>
  <si>
    <t>Key / ephemeris store</t>
  </si>
  <si>
    <t>T4.02; T4.03; T4.04; T4.05; T4.11</t>
  </si>
  <si>
    <t>ISO/IEC 27005 (2022); NIST IR 8401 Satellite Ground Segment (2022); CCSDS Space Data Link Security</t>
  </si>
  <si>
    <t>ISO/IEC 27005:2022, NIST IR 8401 (2022), CCSDS SDLS: real standards; add document numbers.</t>
  </si>
  <si>
    <t>Summary (formulas)</t>
  </si>
  <si>
    <t>Workbook</t>
  </si>
  <si>
    <t>Paper</t>
  </si>
  <si>
    <t>Mean total</t>
  </si>
  <si>
    <t>Median total</t>
  </si>
  <si>
    <t>High entries</t>
  </si>
  <si>
    <t>Medium entries</t>
  </si>
  <si>
    <t>Strong pass: separation or residual test (L3); weak pass: no check</t>
  </si>
  <si>
    <t>Low entries</t>
  </si>
  <si>
    <t>Mean L1</t>
  </si>
  <si>
    <t>Selective suppression of emissions</t>
  </si>
  <si>
    <t>Targeted overshadowing or nulling removes the emissions of chosen aircraft or beams from reception while other traffic is unaffected.</t>
  </si>
  <si>
    <t>Mean L2</t>
  </si>
  <si>
    <t>Directional or time-gated interference against selected targets</t>
  </si>
  <si>
    <t>0/1</t>
  </si>
  <si>
    <t>Mean L3</t>
  </si>
  <si>
    <t>Mean L4</t>
  </si>
  <si>
    <t>Entries naming Tampering</t>
  </si>
  <si>
    <t>Entries naming Denial of service</t>
  </si>
  <si>
    <t>Mean Damage L4</t>
  </si>
  <si>
    <t>Extended threats reached by at least one entry</t>
  </si>
  <si>
    <t>#3, #44</t>
  </si>
  <si>
    <t>L2: reports for the target are missing, noticed as a coverage gap</t>
  </si>
  <si>
    <t>EX-0016 Jamming; DE-0002.02 Jam Link Signal (medium)</t>
  </si>
  <si>
    <t>Message flooding of the payload</t>
  </si>
  <si>
    <t>Large volumes of valid-looking or garbled 1090 MHz squitters saturate the receive and decode chain, so genuine messages are lost.</t>
  </si>
  <si>
    <t>High-rate message generation by one or more emitters</t>
  </si>
  <si>
    <t>Checks: every statistic stated in the paper, recomputed from the Catalogue</t>
  </si>
  <si>
    <t xml:space="preserve">Column "Workbook" is a live formula; "Paper" is the value stated in the paper (section in the last column). Any DIFF means the catalogue and the paper disagree.</t>
  </si>
  <si>
    <t>Group</t>
  </si>
  <si>
    <t>Statistic</t>
  </si>
  <si>
    <t>Paper location</t>
  </si>
  <si>
    <t>Size</t>
  </si>
  <si>
    <t>Threats in the catalogue</t>
  </si>
  <si>
    <t>#13, #16</t>
  </si>
  <si>
    <t>Sec. 4.6</t>
  </si>
  <si>
    <t>Threats at L1</t>
  </si>
  <si>
    <t>Threats at L2</t>
  </si>
  <si>
    <t>Threats at L3</t>
  </si>
  <si>
    <t>Threats at L4</t>
  </si>
  <si>
    <t>STRIDE-tau</t>
  </si>
  <si>
    <t>Primary category T</t>
  </si>
  <si>
    <t>Primary category D</t>
  </si>
  <si>
    <t>Primary category E</t>
  </si>
  <si>
    <t>Primary category S</t>
  </si>
  <si>
    <t>Primary category I</t>
  </si>
  <si>
    <t>Primary category R</t>
  </si>
  <si>
    <t>Primary category tau</t>
  </si>
  <si>
    <t>Threats that target timing or depend on timing-derived data</t>
  </si>
  <si>
    <t>Sec. 4.5</t>
  </si>
  <si>
    <t>... of which target timing</t>
  </si>
  <si>
    <t>... of which depend on timing-derived data</t>
  </si>
  <si>
    <t>Threats at E3</t>
  </si>
  <si>
    <t>Threats at E2</t>
  </si>
  <si>
    <t>Threats at E1</t>
  </si>
  <si>
    <t>Threats at E0</t>
  </si>
  <si>
    <t>Threats at P</t>
  </si>
  <si>
    <t>Postulated threats at L1</t>
  </si>
  <si>
    <t>Postulated threats at L2</t>
  </si>
  <si>
    <t>Postulated threats at L3</t>
  </si>
  <si>
    <t>L1: saturation is observable in receiver statistics</t>
  </si>
  <si>
    <t>EX-0013 Flooding; EX-0013.02 Erroneous Input (high)</t>
  </si>
  <si>
    <t>T1499 Endpoint Denial of Service (medium)</t>
  </si>
  <si>
    <t>Postulated threats at L4</t>
  </si>
  <si>
    <t>L1 threats shown on hardware or in operation (E2 or E3)</t>
  </si>
  <si>
    <t>Review of the earlier SATERA Threat Catalogue workbook: findings and corrections</t>
  </si>
  <si>
    <t>Biased observables at reception</t>
  </si>
  <si>
    <t>Interference or crafted signal structure shifts the measured TOA, FOA or AOA of a genuine emission at the payload, so the observable is biased before it is stamped.</t>
  </si>
  <si>
    <t>Source: SATERA_Threat_Catalogue 2.xlsx (8 sheets, 17 entries). Severity: H = affects correctness or reproducibility, M = affects clarity or traceability, L = cosmetic.</t>
  </si>
  <si>
    <t>Crafted RF injection, frequency offset, multipath or array spoofing</t>
  </si>
  <si>
    <t>Sheet / location</t>
  </si>
  <si>
    <t>Finding</t>
  </si>
  <si>
    <t>Severity</t>
  </si>
  <si>
    <t>Correction in this workbook</t>
  </si>
  <si>
    <t>Consolidated Data (A1:N1000)</t>
  </si>
  <si>
    <t>Goals</t>
  </si>
  <si>
    <t>Built with Google-only FILTER formulas wrapped in __xludf.DUMMYFUNCTION. Outside Google Sheets the cells hold formulas that cannot be evaluated, and the 1000-row range is mostly empty.</t>
  </si>
  <si>
    <t>Threats serving Displacement</t>
  </si>
  <si>
    <t>H</t>
  </si>
  <si>
    <t>Replaced by one flat table (sheet Catalogue) with real values and filters; no Google-specific functions are used.</t>
  </si>
  <si>
    <t>All Tabs Pivot</t>
  </si>
  <si>
    <t>The pivot sheet is empty and its pivot cache declares invalid dependencies (workbook opens with a repair warning in Excel).</t>
  </si>
  <si>
    <t>Removed. Counts are live formulas on sheet Checks.</t>
  </si>
  <si>
    <t>Service &amp; Processing!F18</t>
  </si>
  <si>
    <t>Stray text "Change it." outside the table.</t>
  </si>
  <si>
    <t>L</t>
  </si>
  <si>
    <t>Removed.</t>
  </si>
  <si>
    <t>All layer sheets, column M</t>
  </si>
  <si>
    <t>DREAD scores stored as text such as "D: 8 R: 8 E: 8 A: 7 D: 9 = 40". The factors cannot be used in formulas, and "D" labels both Damage and Discoverability.</t>
  </si>
  <si>
    <t>Sec. 6.4 / Table 7</t>
  </si>
  <si>
    <t>Five numeric columns (Damage, Reproducibility, Exploitability, Affected, Discoverability) and a formula total on sheet SATERA; the published total is kept in a check column (17 of 17 agree).</t>
  </si>
  <si>
    <t>DREAD LEGEND</t>
  </si>
  <si>
    <t>Threats serving Denial</t>
  </si>
  <si>
    <t>Discoverability is defined from the attacker's side (1 hidden, 10 obvious), the reverse of the defender's reading in PA-DREAD where 5 is the riskier end. "Affected" 1 to 10 is only loosely anchored.</t>
  </si>
  <si>
    <t>M</t>
  </si>
  <si>
    <t>Labelled "attacker view" on sheet SATERA. The extended catalogue scores every dimension 1-5 from a stated artefact (sheet Rubric).</t>
  </si>
  <si>
    <t>Bands 0-19 / 20-34 / 35-50: the minimum possible total is 5, so "0-19" starts at an unreachable value; all 17 totals lie between 30 and 40, so the bands separate little.</t>
  </si>
  <si>
    <t>Kept for the 17 entries (to match the paper); extended catalogue uses 5-9 / 10-14 / 15-19 / 20-25.</t>
  </si>
  <si>
    <t>Layer sheets, column J (PASTA)</t>
  </si>
  <si>
    <t>PASTA stage numbers do not follow the seven-stage process: "Attack Modeling" is labelled stage 4 or 5 (it is stage 6), "Threat Modeling" stage 3 (threat analysis is stage 4), "Business Impact" stage 6 (risk and impact is stage 7), "Threat Enumeration" stage 2 &amp; 3.</t>
  </si>
  <si>
    <t>Corrected stage numbers in a new column on sheet SATERA; original text kept beside it.</t>
  </si>
  <si>
    <t>Layer sheets, columns G and H vs M</t>
  </si>
  <si>
    <t>Qualitative and numeric ratings disagree. Damage 9 is "Very High" for SC-4 but "High" for SC-6, SC-11, SC-16, SC-17. Reproducibility 6 is "Medium-High" for SC-2 but "Medium" for SC-3, SC-5 and others; "High" is 8 for SC-1 and 7 for SC-13.</t>
  </si>
  <si>
    <t>Both kept as published and flagged here; the extended catalogue derives R from evidence and D from the goal, so no word scale is needed.</t>
  </si>
  <si>
    <t>Threats serving Deception</t>
  </si>
  <si>
    <t>STRIDE LEGEND</t>
  </si>
  <si>
    <t>Legend uses "ID" for information disclosure while entries use "I"; "E / EoP" is double-labelled; no entry names Repudiation and no category covers time (temporal integrity).</t>
  </si>
  <si>
    <t>Uniform codes S T R I D E and tau (sheet Legends). Repudiation and tau threats added in the extended catalogue (T3.11, T4.14; T1.11, T2.06).</t>
  </si>
  <si>
    <t>Layer sheets, column I</t>
  </si>
  <si>
    <t>Every entry lists one to three STRIDE letters with no primary category, so entries cannot be counted by category without double counting.</t>
  </si>
  <si>
    <t>The extended catalogue gives one primary and any secondary categories per threat.</t>
  </si>
  <si>
    <t>Layer sheets, column A</t>
  </si>
  <si>
    <t>Asset names do not match the 27-asset register: "GNSS Signal (transponder reference)", "CPS Processing / Ground Segment", "Association / EKF-IMM Software" overlap; the ISL entry appears twice under the same name with different scores.</t>
  </si>
  <si>
    <t>Register IDs added (column D); the two ISL entries are renamed "tampering" and "denial of service".</t>
  </si>
  <si>
    <t>Layer sheets, row 2</t>
  </si>
  <si>
    <t>Threats serving Disclosure</t>
  </si>
  <si>
    <t>A banner row inside the table (merged text in the Asset column) breaks filtering and sorting.</t>
  </si>
  <si>
    <t>Layer is a column; no banner rows.</t>
  </si>
  <si>
    <t>Layer sheets, column N</t>
  </si>
  <si>
    <t>References are free text without keys, DOIs or links. Several are not in the atlas of 78 sources and could not be located on 20 Oct 2026 (Anderson 2025; Salim 2025; Beidas 2026; Verma 2025; Tang 2025; Chen 2007). Strohmeier is dated 2017 (published 2015). Tibaldo 2025 is described as a review but is the GNSS-WASP attack paper. Moser 2016 is quoted with a title that does not match the atlas entry.</t>
  </si>
  <si>
    <t>Per-entry status in column "Reference status" on sheet SATERA. Extended catalogue binds every threat to atlas entries with level, peer-review status and a link checked on 13 Oct 2026 (sheet Binding).</t>
  </si>
  <si>
    <t>Whole workbook</t>
  </si>
  <si>
    <t>No adversary class, tier, goal, trust boundary, timing flag, evidence level, propagation reach or framework mapping; scores are not traceable to any artefact.</t>
  </si>
  <si>
    <t>All provided per threat in sheet Catalogue; PA-DREAD dimensions are formulas over sheet Rubric.</t>
  </si>
  <si>
    <t>No link between the 17 entries and the finer threat catalogue; no way to see which entries are refined by which threats.</t>
  </si>
  <si>
    <t>Column "Extended-catalogue threats refining the entry" (sheet SATERA) and "SATERA entries refined" (sheet Catalogue); 44 of 55 threats are reached, 11 are new.</t>
  </si>
  <si>
    <t>Goal assignments in total</t>
  </si>
  <si>
    <t>No version, date or provenance statement.</t>
  </si>
  <si>
    <t>Sheet README.</t>
  </si>
  <si>
    <t xml:space="preserve">Status of the items listed at the earlier review</t>
  </si>
  <si>
    <t xml:space="preserve">References of the earlier 17-entry workbook that could not be located on 20 Oct 2026 are flagged per entry in column "Reference status" on sheet SATERA. The extended catalogue does not rely on them: every threat is bound to atlas entries with a link checked on 13 Oct 2026 (sheet Binding).</t>
  </si>
  <si>
    <t>Sec. 6.4</t>
  </si>
  <si>
    <t>Threats serving more than one goal</t>
  </si>
  <si>
    <t xml:space="preserve">Per-threat titles, descriptions, asset bindings, adversary classes, tiers, Affected-users and Discoverability values: validated by the blind LLM panel (all 55 threats, 220 ratings) and then evaluated by the co-authors.</t>
  </si>
  <si>
    <t xml:space="preserve">Atlas bindings that carry the evidence level of the low-confidence threats (T2.12, T3.05, T3.11, T4.12) and the analogue flags: covered by the same validation.</t>
  </si>
  <si>
    <t>#8, #9, #6</t>
  </si>
  <si>
    <t xml:space="preserve">SPARTA and ATT&amp;CK versions: technique IDs were checked against the SPARTA technique list and ATT&amp;CK v20 pages read on 20 Oct 2026 (sheet Legends); technique pages for several ATT&amp;CK ICS command/reporting techniques could not be opened and are not used.</t>
  </si>
  <si>
    <t>Threats with no goal</t>
  </si>
  <si>
    <t>M15; M16</t>
  </si>
  <si>
    <t xml:space="preserve">The rater study announced for the scores was carried out as the blind multi-vendor LLM panel (paper Sec. 4.11; repository folder llm_panel), followed by the co-author evaluation.</t>
  </si>
  <si>
    <t>Sec. 4.9</t>
  </si>
  <si>
    <t>Displacement threats at L1</t>
  </si>
  <si>
    <t>Table 7</t>
  </si>
  <si>
    <t>Displacement threats at L2</t>
  </si>
  <si>
    <t>Displacement threats at L3</t>
  </si>
  <si>
    <t>Displacement threats at L4</t>
  </si>
  <si>
    <t>Denial threats at L1</t>
  </si>
  <si>
    <t>Denial threats at L2</t>
  </si>
  <si>
    <t>Denial threats at L3</t>
  </si>
  <si>
    <t>Denial threats at L4</t>
  </si>
  <si>
    <t>Deception threats at L1</t>
  </si>
  <si>
    <t>T3.06</t>
  </si>
  <si>
    <t>Deception threats at L2</t>
  </si>
  <si>
    <t>Deception threats at L3</t>
  </si>
  <si>
    <t>Deception threats at L4</t>
  </si>
  <si>
    <t>Disclosure threats at L1</t>
  </si>
  <si>
    <t>Disclosure threats at L2</t>
  </si>
  <si>
    <t>Disclosure threats at L3</t>
  </si>
  <si>
    <t>Disclosure threats at L4</t>
  </si>
  <si>
    <t>Displacement: postulated threats</t>
  </si>
  <si>
    <t>Denial: postulated threats</t>
  </si>
  <si>
    <t>Legends and definitions</t>
  </si>
  <si>
    <t>Strong pass: residual test A3.4 (L3); weak pass: bias inside the stealth window</t>
  </si>
  <si>
    <t xml:space="preserve">Categories and scales used in the Catalogue (the paper, Sec. 4).</t>
  </si>
  <si>
    <t>STRIDE-tau (primary category)</t>
  </si>
  <si>
    <t>Observables</t>
  </si>
  <si>
    <t>EX-0014.03 Spoofing: Sensor Data (medium)</t>
  </si>
  <si>
    <t>T1565.003 Runtime Data Manipulation (medium)</t>
  </si>
  <si>
    <t>Deception: postulated threats</t>
  </si>
  <si>
    <t>Code</t>
  </si>
  <si>
    <t>Disclosure: postulated threats</t>
  </si>
  <si>
    <t>Meaning for LEO MLAT-B</t>
  </si>
  <si>
    <t>Spoofing</t>
  </si>
  <si>
    <t>Fabricating an emission or observation attributable to a source</t>
  </si>
  <si>
    <t>Biasing, modifying or replay-corrupting an existing observable, data store or configuration</t>
  </si>
  <si>
    <t>Repudiation</t>
  </si>
  <si>
    <t>Acting without reliable attribution</t>
  </si>
  <si>
    <t>GNSS jamming of the onboard timing receiver</t>
  </si>
  <si>
    <t>Information disclosure</t>
  </si>
  <si>
    <t>Ground-based interference denies the GNSS input that disciplines the onboard clock, forcing holdover and degrading time quality. The primary effect is loss of an input; any drift is a secondary tau effect.</t>
  </si>
  <si>
    <t>Keys, configuration, precise ephemerides or non-public traffic revealed</t>
  </si>
  <si>
    <t>Ground jammer pointed at the satellite's GNSS receiver</t>
  </si>
  <si>
    <t>A1.2, A1.5</t>
  </si>
  <si>
    <t>Denial of service</t>
  </si>
  <si>
    <t>Suppressing or degrading the measurements or the geometric observability</t>
  </si>
  <si>
    <t>tau</t>
  </si>
  <si>
    <t>Elevation of privilege</t>
  </si>
  <si>
    <t>Gaining control of a platform, host or command path</t>
  </si>
  <si>
    <t>Displacement: threats with no L3 check on any path</t>
  </si>
  <si>
    <t>Primary D: the effect is loss of the GNSS input. Any holdover drift is recorded as a secondary tau effect.</t>
  </si>
  <si>
    <t>Temporal integrity</t>
  </si>
  <si>
    <t>Primary effect is an offset, drift or delay in the time reference of an asset on the timing dependency. Authentication-invariance test: assume every message is authenticated with sound cryptography (A3); if the threat still achieves a time offset, it is tau.</t>
  </si>
  <si>
    <t>AC4</t>
  </si>
  <si>
    <t>Adversary classes and tiers</t>
  </si>
  <si>
    <t>Class</t>
  </si>
  <si>
    <t>Name</t>
  </si>
  <si>
    <t>Acts at</t>
  </si>
  <si>
    <t>Deceptive or deceived aircraft (T1)</t>
  </si>
  <si>
    <t>A1.1 at TB0</t>
  </si>
  <si>
    <t>RF-local emitter (T1)</t>
  </si>
  <si>
    <t>A1.1-A1.3, TB0</t>
  </si>
  <si>
    <t>Synchronised multi-emitter (T2)</t>
  </si>
  <si>
    <t>A1.1-A1.4, TB0</t>
  </si>
  <si>
    <t>Timing adversary (T2-T3)</t>
  </si>
  <si>
    <t>A1.2, A1.5, TB0</t>
  </si>
  <si>
    <t>AC5</t>
  </si>
  <si>
    <t>Link adversary (T2-T3)</t>
  </si>
  <si>
    <t>A2.2-A2.4, TB1-TB2</t>
  </si>
  <si>
    <t>AC6</t>
  </si>
  <si>
    <t>Ground-segment intruder (T2)</t>
  </si>
  <si>
    <t>A2.5, A3.7, A4.8, TB2</t>
  </si>
  <si>
    <t>Denial: threats with no L3 check on any path</t>
  </si>
  <si>
    <t>AC7</t>
  </si>
  <si>
    <t>Insider or supplier with authorised access (T2)</t>
  </si>
  <si>
    <t>A4.x, TB3</t>
  </si>
  <si>
    <t>T1p / T1c</t>
  </si>
  <si>
    <t>Tier T1: individual with commercial SDRs and public information (public tools / custom software)</t>
  </si>
  <si>
    <t>cost of the order of 10^3 EUR</t>
  </si>
  <si>
    <t>Tier T2: organised group; several time-synchronised transmitters, published ephemerides, remote IT access</t>
  </si>
  <si>
    <t>T3 / T3x</t>
  </si>
  <si>
    <t>Tier T3: state-level actor; tracks satellites, can place an insider, sustains operations (T3x: with insider or two classes)</t>
  </si>
  <si>
    <t>Goals (Sec. 4.5)</t>
  </si>
  <si>
    <t>Goal</t>
  </si>
  <si>
    <t>Definition</t>
  </si>
  <si>
    <t>A real aircraft is shown at a wrong position with a nominal integrity annotation</t>
  </si>
  <si>
    <t>A target, or coverage of a region, is lost or falls below the requirement</t>
  </si>
  <si>
    <t>A fabricated target or a wrong integrity verdict (missed discrepancy masking AC1, or a false one discrediting a genuine aircraft)</t>
  </si>
  <si>
    <t>Deception: threats with no L3 check on any path</t>
  </si>
  <si>
    <t>Keys, configuration, precise ephemerides or non-public traffic revealed; matters as the precondition of a later step</t>
  </si>
  <si>
    <t>Evidence levels (atlas)</t>
  </si>
  <si>
    <t>Observed in operation or documented incident</t>
  </si>
  <si>
    <t>Demonstrated on real hardware</t>
  </si>
  <si>
    <t>Simulated or proof of concept</t>
  </si>
  <si>
    <t>Theoretical or survey</t>
  </si>
  <si>
    <t>Postulated: no published mechanism; retained, not discarded</t>
  </si>
  <si>
    <t>Evidence from another system (terrestrial MLAT, ground GNSS receiver, other satellite network): Reproducibility is reduced by one level</t>
  </si>
  <si>
    <t>Trust boundaries</t>
  </si>
  <si>
    <t>Where</t>
  </si>
  <si>
    <t>System perimeter: air interface (emissions, GNSS), delivery to ATM, organisational interface to personnel and suppliers</t>
  </si>
  <si>
    <t>Disclosure: threats with no L3 check on any path</t>
  </si>
  <si>
    <t>Payload and platform (L1) / links (L2)</t>
  </si>
  <si>
    <t>Links (L2) / Central Processing Station (L3)</t>
  </si>
  <si>
    <t>Processing (L3) / governance (L4)</t>
  </si>
  <si>
    <t>Transfer channels (effect-transfer edges)</t>
  </si>
  <si>
    <t>Type</t>
  </si>
  <si>
    <t>Crosses</t>
  </si>
  <si>
    <t>Phi</t>
  </si>
  <si>
    <t>L1 to L2 (TB1)</t>
  </si>
  <si>
    <t>Clock offset delta becomes bias eps = c*delta on every observable it stamps</t>
  </si>
  <si>
    <t>L2 to L3 (TB2)</t>
  </si>
  <si>
    <t>Bias becomes position error e_h ~ h*eps; ephemeris error enters here</t>
  </si>
  <si>
    <t>V</t>
  </si>
  <si>
    <t>within L3</t>
  </si>
  <si>
    <t>Monitor and cross-check verdict: flag iff eps &gt;= eps_det(h, gamma)</t>
  </si>
  <si>
    <t>L3 to L4 (TB3)</t>
  </si>
  <si>
    <t>Error and verdict become a consequence: displacement iff e_h &gt; e_req and no flag</t>
  </si>
  <si>
    <t>C</t>
  </si>
  <si>
    <t>L4 to L1-3</t>
  </si>
  <si>
    <t>Control: sets a threshold, ephemeris, key or configuration of another edge</t>
  </si>
  <si>
    <t>Assumptions of the worked application</t>
  </si>
  <si>
    <t>Displacement: mean rho_root</t>
  </si>
  <si>
    <t>Statement</t>
  </si>
  <si>
    <t>W1</t>
  </si>
  <si>
    <t>A covert bias step of the size reported by Leonardi et al. 2026 escapes the L1 clock checks</t>
  </si>
  <si>
    <t>W2</t>
  </si>
  <si>
    <t>In a strong pass the L3 checks detect any single-satellite bias large enough to breach the requirement (stealth window empty)</t>
  </si>
  <si>
    <t>W3</t>
  </si>
  <si>
    <t>In a weak pass the window is non-empty and no check detects a bias inside it</t>
  </si>
  <si>
    <t>W4</t>
  </si>
  <si>
    <t>Observable reports carry no message authentication</t>
  </si>
  <si>
    <t>Regimes</t>
  </si>
  <si>
    <t>Strong pass: valid solution and HDOP &lt;= h*; weak pass: valid solution and HDOP &gt; h*; h* = e_req/(c*delta_cov) = 11.67 (Rubric!B18)</t>
  </si>
  <si>
    <t>Displacement routes (Table 8 of the paper)</t>
  </si>
  <si>
    <t>Route</t>
  </si>
  <si>
    <t>Clock</t>
  </si>
  <si>
    <t>T1.10, T1.11, T2.06, T2.07, T4.01</t>
  </si>
  <si>
    <t>Ephemeris</t>
  </si>
  <si>
    <t>T3.03, T4.02, T4.03</t>
  </si>
  <si>
    <t>T1.09, T2.01, T2.02, T2.03, T2.09, T3.04</t>
  </si>
  <si>
    <t>T1.03, T1.06, T3.07</t>
  </si>
  <si>
    <t>Geometry</t>
  </si>
  <si>
    <t>Platform and command</t>
  </si>
  <si>
    <t>T1.12, T1.13, T1.14, T2.11, T2.12, T3.12, T4.05, T4.15</t>
  </si>
  <si>
    <t>Verdict and picture</t>
  </si>
  <si>
    <t>T3.01, T3.02, T3.06, T3.09, T4.08</t>
  </si>
  <si>
    <t>#54, #75, #69, #70, #22, #25</t>
  </si>
  <si>
    <t>Supply chain and insiders</t>
  </si>
  <si>
    <t>T4.06, T4.12, T4.13</t>
  </si>
  <si>
    <t>Mapping confidence and review status</t>
  </si>
  <si>
    <t>Term</t>
  </si>
  <si>
    <t>M01; M12; M14; M18; M19; M23</t>
  </si>
  <si>
    <t>high</t>
  </si>
  <si>
    <t>Technique matches the threat's behaviour, preconditions and effect directly</t>
  </si>
  <si>
    <t>Denial: mean rho_root</t>
  </si>
  <si>
    <t>Match needs a stated inference</t>
  </si>
  <si>
    <t>unmapped</t>
  </si>
  <si>
    <t>No semantically supported technique; low-confidence candidates are not reported</t>
  </si>
  <si>
    <t>Baseline</t>
  </si>
  <si>
    <t>Record reproduces a value printed in the paper (Tables 4 and 5)</t>
  </si>
  <si>
    <t xml:space="preserve">Validated</t>
  </si>
  <si>
    <t xml:space="preserve">Record of the extended catalogue, built from the atlas with the methodology of the paper; validated by the blind multi-vendor LLM panel and evaluated by the co-authors</t>
  </si>
  <si>
    <t>SPARTA techniques used (names as listed on sparta.aerospace.org/technique/SPARTA, read 20 Oct 2026)</t>
  </si>
  <si>
    <t>EX-0014</t>
  </si>
  <si>
    <t>EX-0014.01</t>
  </si>
  <si>
    <t>Spoofing: Time Spoof</t>
  </si>
  <si>
    <t>EX-0014.03</t>
  </si>
  <si>
    <t>Spoofing: Sensor Data</t>
  </si>
  <si>
    <t>EX-0014.04</t>
  </si>
  <si>
    <t>Spoofing: Position, Navigation, and Timing (PNT)</t>
  </si>
  <si>
    <t>EX-0016</t>
  </si>
  <si>
    <t>Deception: mean rho_root</t>
  </si>
  <si>
    <t>Jamming</t>
  </si>
  <si>
    <t>EX-0016.02</t>
  </si>
  <si>
    <t>Jamming: Downlink Jamming</t>
  </si>
  <si>
    <t>EX-0016.03</t>
  </si>
  <si>
    <t>Jamming: PNT</t>
  </si>
  <si>
    <t>EX-0013</t>
  </si>
  <si>
    <t>Flooding</t>
  </si>
  <si>
    <t>EX-0013.02</t>
  </si>
  <si>
    <t>Flooding: Erroneous Input</t>
  </si>
  <si>
    <t>EX-0012.06</t>
  </si>
  <si>
    <t>Modify On-Board Values: Science/Payload Data</t>
  </si>
  <si>
    <t>EX-0012.12</t>
  </si>
  <si>
    <t>Modify On-Board Values: System Clock</t>
  </si>
  <si>
    <t>EX-0001</t>
  </si>
  <si>
    <t>Replay</t>
  </si>
  <si>
    <t>EX-0004</t>
  </si>
  <si>
    <t>Compromise Boot Memory</t>
  </si>
  <si>
    <t>EX-0005.01</t>
  </si>
  <si>
    <t>Exploit Hardware/Firmware Corruption: Design Flaws</t>
  </si>
  <si>
    <t>EX-0009.01</t>
  </si>
  <si>
    <t>Exploit Code Flaws: Flight Software</t>
  </si>
  <si>
    <t>EX-0010.02</t>
  </si>
  <si>
    <t>Malicious Code: Wiper Malware</t>
  </si>
  <si>
    <t>IA-0001</t>
  </si>
  <si>
    <t>Compromise Supply Chain</t>
  </si>
  <si>
    <t>IA-0003</t>
  </si>
  <si>
    <t>Disclosure: E3 share (half)</t>
  </si>
  <si>
    <t>Crosslink via Compromised Neighbor</t>
  </si>
  <si>
    <t>IA-0007</t>
  </si>
  <si>
    <t>Compromise Ground System</t>
  </si>
  <si>
    <t>IA-0007.01</t>
  </si>
  <si>
    <t>Compromise Ground System: Compromise On-Orbit Update</t>
  </si>
  <si>
    <t>IA-0007.02</t>
  </si>
  <si>
    <t>Compromise Ground System: Malicious Commanding via Valid GS</t>
  </si>
  <si>
    <t>IA-0008.01</t>
  </si>
  <si>
    <t>Rogue External Entity: Rogue Ground Station</t>
  </si>
  <si>
    <t>IA-0008.02</t>
  </si>
  <si>
    <t>Rogue External Entity: Rogue Spacecraft</t>
  </si>
  <si>
    <t>IA-0009.02</t>
  </si>
  <si>
    <t>Trusted Relationship: Vendor</t>
  </si>
  <si>
    <t>IMP-0001</t>
  </si>
  <si>
    <t>Deception (or Misdirection)</t>
  </si>
  <si>
    <t>IMP-0003</t>
  </si>
  <si>
    <t>IMP-0004</t>
  </si>
  <si>
    <t>Degradation</t>
  </si>
  <si>
    <t>IMP-0005</t>
  </si>
  <si>
    <t>Destruction</t>
  </si>
  <si>
    <t>IMP-0006</t>
  </si>
  <si>
    <t>Theft</t>
  </si>
  <si>
    <t>EXF-0001</t>
  </si>
  <si>
    <t>EXF-0003</t>
  </si>
  <si>
    <t>Eavesdropping (.01 Uplink Intercept, .02 Downlink Intercept)</t>
  </si>
  <si>
    <t>REC-0005</t>
  </si>
  <si>
    <t>REC-0009</t>
  </si>
  <si>
    <t>Gather Mission Information</t>
  </si>
  <si>
    <t>RD-0002.01</t>
  </si>
  <si>
    <t>Compromise Infrastructure: Mission-Operated Ground System</t>
  </si>
  <si>
    <t>RD-0003.02</t>
  </si>
  <si>
    <t>Obtain Cyber Capabilities: Cryptographic Keys</t>
  </si>
  <si>
    <t>PER-0004</t>
  </si>
  <si>
    <t>Replace Cryptographic Keys</t>
  </si>
  <si>
    <t>PER-0005</t>
  </si>
  <si>
    <t>Valid Credentials</t>
  </si>
  <si>
    <t>DE-0002.02</t>
  </si>
  <si>
    <t>Prevent Downlink: Jam Link Signal</t>
  </si>
  <si>
    <t>DE-0003.10</t>
  </si>
  <si>
    <t>Modify On-Board Values: GPS Ephemeris</t>
  </si>
  <si>
    <t>DE-0010</t>
  </si>
  <si>
    <t>Overflow Audit Log</t>
  </si>
  <si>
    <t>MITRE ATT&amp;CK techniques used</t>
  </si>
  <si>
    <t>Name / status</t>
  </si>
  <si>
    <t>T1565 / .001 .002 .003</t>
  </si>
  <si>
    <t>Data Manipulation: Stored / Transmitted / Runtime (page checked, ATT&amp;CK v20)</t>
  </si>
  <si>
    <t>T0832</t>
  </si>
  <si>
    <t>Manipulation of View (ICS; listed on ICS matrix v20)</t>
  </si>
  <si>
    <t>T0836</t>
  </si>
  <si>
    <t>Modify Parameter (ICS; listed)</t>
  </si>
  <si>
    <t>T0814</t>
  </si>
  <si>
    <t>Denial of Service (ICS; listed)</t>
  </si>
  <si>
    <t>T0815</t>
  </si>
  <si>
    <t>Denial of View (ICS; listed)</t>
  </si>
  <si>
    <t>T0830</t>
  </si>
  <si>
    <t>Adversary-in-the-Middle (ICS; listed)</t>
  </si>
  <si>
    <t>T0862</t>
  </si>
  <si>
    <t>Supply Chain Compromise (ICS; listed)</t>
  </si>
  <si>
    <t>T0866</t>
  </si>
  <si>
    <t>Sec. 6.5</t>
  </si>
  <si>
    <t>Exploitation of Remote Services (ICS; listed)</t>
  </si>
  <si>
    <t>T0872</t>
  </si>
  <si>
    <t>Reach</t>
  </si>
  <si>
    <t>Indicator Removal on Host (ICS; listed)</t>
  </si>
  <si>
    <t>Mean rho_root over the 55 threats</t>
  </si>
  <si>
    <t>T0882</t>
  </si>
  <si>
    <t>Theft of Operational Information (ICS; listed)</t>
  </si>
  <si>
    <t>T0889</t>
  </si>
  <si>
    <t>Modify Program (ICS; listed)</t>
  </si>
  <si>
    <t>T0890</t>
  </si>
  <si>
    <t>Exploitation for Privilege Escalation (ICS; listed)</t>
  </si>
  <si>
    <t>T1040, T1070, T1078, T1133, T1190, T1195, T1485, T1499, T1552.004, T1561, T1562.001</t>
  </si>
  <si>
    <t>Enterprise techniques (Network Sniffing; Indicator Removal; Valid Accounts; External Remote Services; Exploit Public-Facing Application; Supply Chain Compromise; Data Destruction; Endpoint Denial of Service; Private Keys; Disk Wipe; Disable or Modify Tools): IDs from the authors' knowledge, not individually re-opened on 20 Oct 2026 - verify with the version recorded at release</t>
  </si>
  <si>
    <t>Cross-layer propagation (added 29 Oct 2026)</t>
  </si>
  <si>
    <t>Symbol</t>
  </si>
  <si>
    <t>[A1.1]</t>
  </si>
  <si>
    <t>Asset the threat acts on (origin of the effect).</t>
  </si>
  <si>
    <t>Asset the effect can reach by following the dependency graph of the paper (data, timing, control and hosting edges); IDs as in sheet Assets.</t>
  </si>
  <si>
    <t>Check columns: S compares the strong/weak totals with the paper; rho compares reach to first check (strong) and to root (weak).</t>
  </si>
  <si>
    <t>†</t>
  </si>
  <si>
    <t>Reached only through an inferred dependency: S1 (A1.6 hosts A1.4 and A1.5) or S2 (A4.1 sets the policy of the PTP path A2.3).</t>
  </si>
  <si>
    <t>Boundaries</t>
  </si>
  <si>
    <t>Sec. 6.3</t>
  </si>
  <si>
    <t>Layer steps along the shortest path to the first integrity check (A3.4 or A3.5) and to the ATM picture (A4.6); equal to rho_det and rho_root.</t>
  </si>
  <si>
    <t>Contained</t>
  </si>
  <si>
    <t>Disclosure-only threat: no downstream state changes, so the exposure stays at the origin.</t>
  </si>
  <si>
    <t>Threats with rho_det = 0</t>
  </si>
  <si>
    <t>Di of the source given the stealth condition (undetected at L3, only L4 sees it)</t>
  </si>
  <si>
    <t>Upper bound</t>
  </si>
  <si>
    <t>Reach is what the effect can touch, not what it will corrupt: a check may stop it, which is what rho_det and the stealth window measure.</t>
  </si>
  <si>
    <t>Weak-regime cap on A (region)</t>
  </si>
  <si>
    <t>Threats with rho_det = 1</t>
  </si>
  <si>
    <t>Chains (best sufficient scenario per source and regime)</t>
  </si>
  <si>
    <t>Regime</t>
  </si>
  <si>
    <t>Scenario</t>
  </si>
  <si>
    <t>Source</t>
  </si>
  <si>
    <t>Enabler</t>
  </si>
  <si>
    <t>Di</t>
  </si>
  <si>
    <t>Threats with rho_det = 2</t>
  </si>
  <si>
    <t>Paper S</t>
  </si>
  <si>
    <t>Strong</t>
  </si>
  <si>
    <t>T1.11 AND T2.04</t>
  </si>
  <si>
    <t>Threats with rho_det = 3</t>
  </si>
  <si>
    <t>Threats with rho_det = 5</t>
  </si>
  <si>
    <t>Threats with no first check</t>
  </si>
  <si>
    <t>Threats crossing two or more boundaries before a check</t>
  </si>
  <si>
    <t>L1 threats with rho_root = 3</t>
  </si>
  <si>
    <t>L3 threats with rho_root = 1</t>
  </si>
  <si>
    <t>L2 threats with rho_root = 4</t>
  </si>
  <si>
    <t>L1: the clock checks flag loss of lock</t>
  </si>
  <si>
    <t>several footprints</t>
  </si>
  <si>
    <t>EX-0016.03 Jamming: Position, Navigation, and Timing (high)</t>
  </si>
  <si>
    <t>(unmapped)</t>
  </si>
  <si>
    <t>L4 threats with rho_root = 6</t>
  </si>
  <si>
    <t>T2.06 AND T2.04</t>
  </si>
  <si>
    <t>L1 &gt; L2 &gt; L3 &gt; L4  (4 of 4 layers)
L1: [A1.2], [A1.5], A1.4, A1.7 | L2: A2.1, A2.2, A2.4 | L3: A3.1, A3.2, A3.3, A3.4, A3.5, A3.6 | L4: A4.5, A4.6
Boundaries to first check A3.4/A3.5: 2 | to ATM A4.6: 3</t>
  </si>
  <si>
    <t>Threats at or crossing TB0</t>
  </si>
  <si>
    <t>GNSS spoofing of the onboard clock</t>
  </si>
  <si>
    <t>Counterfeit GNSS signals pull the GNSS-disciplined onboard clock, biasing every observable it stamps. Every report stays authentic and wrong; a covert 100 ns step is the hardest case.</t>
  </si>
  <si>
    <t>Counterfeit GNSS signals with a tracking, directional transmitter</t>
  </si>
  <si>
    <t>Authentication-invariance test: with every message authenticated (A3), the spoofed input still offsets the clock, so primary tau, secondary Spoofing.</t>
  </si>
  <si>
    <t>Sec. 6.1</t>
  </si>
  <si>
    <t>Threats at or crossing TB1</t>
  </si>
  <si>
    <t>Threats at or crossing TB2</t>
  </si>
  <si>
    <t>Threats at or crossing TB3</t>
  </si>
  <si>
    <t>Assets</t>
  </si>
  <si>
    <t>Asset rows whose threat count differs from Table 6</t>
  </si>
  <si>
    <t>T2.01 AND T3.06</t>
  </si>
  <si>
    <t>#4, #47, #57, #19, #53</t>
  </si>
  <si>
    <t>#76</t>
  </si>
  <si>
    <t>M01; M11; M12; M18; M19; M23</t>
  </si>
  <si>
    <t>Table 6</t>
  </si>
  <si>
    <t>Routes</t>
  </si>
  <si>
    <t>Route "Clock": threats</t>
  </si>
  <si>
    <t>Table 8</t>
  </si>
  <si>
    <t>Route "Ephemeris": threats</t>
  </si>
  <si>
    <t>Route "Observables": threats</t>
  </si>
  <si>
    <t>Route "Emitter and position": threats</t>
  </si>
  <si>
    <t>T3.03 AND T3.06</t>
  </si>
  <si>
    <t>Route "Geometry": threats</t>
  </si>
  <si>
    <t>Route "Platform and command": threats</t>
  </si>
  <si>
    <t>Route "Verdict and picture": threats</t>
  </si>
  <si>
    <t>Route "Supply chain and insiders": threats</t>
  </si>
  <si>
    <t>Route "Clock": E3</t>
  </si>
  <si>
    <t>T4.02 AND T3.06</t>
  </si>
  <si>
    <t>Route "Clock": E2</t>
  </si>
  <si>
    <t>Route "Clock": P</t>
  </si>
  <si>
    <t>Route "Ephemeris": P</t>
  </si>
  <si>
    <t>Route "Observables": E3</t>
  </si>
  <si>
    <t>Strong pass: L3 residual test; weak pass: bias inside the stealth window</t>
  </si>
  <si>
    <t>SC-3; SC-5</t>
  </si>
  <si>
    <t>EX-0014.04 Spoofing: PNT; EX-0014.01 Spoofing: Time Spoof (high)</t>
  </si>
  <si>
    <t>Baseline: reproduces Table 5 of the paper</t>
  </si>
  <si>
    <t>Weak</t>
  </si>
  <si>
    <t>Route "Observables": E2</t>
  </si>
  <si>
    <t>T1.11 AND weak regime (external condition)</t>
  </si>
  <si>
    <t>(weak pass)</t>
  </si>
  <si>
    <t>Weakly authenticated telecommand acceptance</t>
  </si>
  <si>
    <t>The satellite accepts commands that lack effective link-layer authentication or replay protection, allowing unauthorised commanding of the bus and payload. Hosted-asset edges A1.6 to A1.4 and A1.5 are an inferred reading (S1).</t>
  </si>
  <si>
    <t>Command uplink without effective authentication</t>
  </si>
  <si>
    <t>Route "Observables": E1</t>
  </si>
  <si>
    <t>Route "Observables": P</t>
  </si>
  <si>
    <t>Route "Emitter and position": E3</t>
  </si>
  <si>
    <t>Route "Emitter and position": E2</t>
  </si>
  <si>
    <t>#67, #15, #60</t>
  </si>
  <si>
    <t>M04; M06; M22; M24</t>
  </si>
  <si>
    <t>T2.06 AND weak regime (external condition)</t>
  </si>
  <si>
    <t>Route "Geometry": E1</t>
  </si>
  <si>
    <t>Route "Platform and command": E3</t>
  </si>
  <si>
    <t>Route "Platform and command": E2</t>
  </si>
  <si>
    <t>T2.01 AND weak regime (external condition)</t>
  </si>
  <si>
    <t>Route "Platform and command": E0</t>
  </si>
  <si>
    <t>Route "Verdict and picture": P</t>
  </si>
  <si>
    <t>Route "Supply chain and insiders": E3</t>
  </si>
  <si>
    <t>Route "Supply chain and insiders": E2</t>
  </si>
  <si>
    <t>Route "Supply chain and insiders": E0</t>
  </si>
  <si>
    <t>SATERA</t>
  </si>
  <si>
    <t>Extended threats reached by SC-1..SC-17</t>
  </si>
  <si>
    <t>T3.03 AND weak regime (external condition)</t>
  </si>
  <si>
    <t>Sec. 5</t>
  </si>
  <si>
    <t>SC entries whose total differs from the published total</t>
  </si>
  <si>
    <t>Worked</t>
  </si>
  <si>
    <t>L4 only: anomalous commands are found through telemetry audit</t>
  </si>
  <si>
    <t>Worked-table cells that differ from Tables 4 and 5</t>
  </si>
  <si>
    <t>SC-4; SC-15</t>
  </si>
  <si>
    <t>EX-0001 Replay (command packets); IA-0007.02 Malicious Commanding via Valid GS (medium)</t>
  </si>
  <si>
    <t>Tables 4, 5</t>
  </si>
  <si>
    <t>CVE</t>
  </si>
  <si>
    <t>CVEs in the register</t>
  </si>
  <si>
    <t>Flight-software memory-safety defect exploitation</t>
  </si>
  <si>
    <t>A defect in flight or bus software is exploited to gain control of the bus, the payload processor or the clock.</t>
  </si>
  <si>
    <t>Exploitable software defect reachable from the command path</t>
  </si>
  <si>
    <t>T4.02 AND weak regime (external condition)</t>
  </si>
  <si>
    <t>Abstract; Sec. 5</t>
  </si>
  <si>
    <t>CVE rows mapped to at least one register asset</t>
  </si>
  <si>
    <t>Workbook v1.2</t>
  </si>
  <si>
    <t>CVE rows linked to at least one catalogue threat</t>
  </si>
  <si>
    <t>Assets of the register at L3</t>
  </si>
  <si>
    <t>Sec. 3 (27 assets)</t>
  </si>
  <si>
    <t>Threats with at least one related CVE</t>
  </si>
  <si>
    <t>Weak-regime Di = 5: inside the open stealth window no check detects the bias (W3). Strong-regime Di for the chain = 4 because the enabler removes visibility at L3 (W2).</t>
  </si>
  <si>
    <t>#65, #15</t>
  </si>
  <si>
    <t>M04; M05; M10; M13; M24</t>
  </si>
  <si>
    <t>Alone in a strong pass T3.03 scores 17; within its chain it scores 18 (the enabler removes L3 visibility): a chain can outrank its leaf.</t>
  </si>
  <si>
    <t>Workbook v1.2 (mapping in sheet CVE Register)</t>
  </si>
  <si>
    <t>L4 only: compromise is found through telemetry audit</t>
  </si>
  <si>
    <t>EX-0009.01 Exploit Code Flaws: Flight Software (high)</t>
  </si>
  <si>
    <t>T0890 Exploitation for Privilege Escalation (medium)</t>
  </si>
  <si>
    <t>5 CVEs: NASA cFS Aquila (4), NASA F Prime (1)</t>
  </si>
  <si>
    <t>Firmware compromise or secure-boot bypass</t>
  </si>
  <si>
    <t>Payload or bus firmware is altered, or its boot chain bypassed, giving persistent control or latent behaviour.</t>
  </si>
  <si>
    <t>Fault injection or an unauthenticated update path</t>
  </si>
  <si>
    <t>#64, #15</t>
  </si>
  <si>
    <t>M04; M24</t>
  </si>
  <si>
    <t>L4 only: persistent changes are found through baseline comparison</t>
  </si>
  <si>
    <t>whole constellation</t>
  </si>
  <si>
    <t>EX-0005.01 Exploit Hardware/Firmware Corruption: Design Flaws; EX-0004 Compromise Boot Memory (high)</t>
  </si>
  <si>
    <t>Ground-station terminal compromise</t>
  </si>
  <si>
    <t>Remote compromise of ground-station modems or terminals (default credentials, exposed management) is used to disrupt reception or the command link.</t>
  </si>
  <si>
    <t>Internet-exposed management interfaces and hard-coded credentials</t>
  </si>
  <si>
    <t>#62, #61</t>
  </si>
  <si>
    <t>M06; M13; M24</t>
  </si>
  <si>
    <t>L4 only: found by operations monitoring</t>
  </si>
  <si>
    <t>IA-0007 Compromise Ground System (high)</t>
  </si>
  <si>
    <t>T0866 Exploitation of Remote Services (medium)</t>
  </si>
  <si>
    <t>CVE-2014-2941, CVE-2014-2942, CVE-2014-2964</t>
  </si>
  <si>
    <t>Ground-station reception denial</t>
  </si>
  <si>
    <t>RF interference or overload of the ground-station antennas and modems blocks the downlink or the telecommand path.</t>
  </si>
  <si>
    <t>RF interference or resource exhaustion at the ground station</t>
  </si>
  <si>
    <t>#21, #13</t>
  </si>
  <si>
    <t>L2: missing downlink data is noticed immediately</t>
  </si>
  <si>
    <t>EX-0016.02 Jamming: Downlink Jamming (high)</t>
  </si>
  <si>
    <t>Modified TOA/FOA/AOA values in reports</t>
  </si>
  <si>
    <t>Observable fields of reports in transit are altered, biasing the multilateration input while each message stays well-formed. Specific to multilateration. Under W4 nothing at L2 detects it.</t>
  </si>
  <si>
    <t>Alteration of report fields on the relay path</t>
  </si>
  <si>
    <t>#17, #18, #39</t>
  </si>
  <si>
    <t>Strong pass: residual test A3.4; weak pass: bias inside the window; W4: no report authentication</t>
  </si>
  <si>
    <t>SC-6; SC-9</t>
  </si>
  <si>
    <t>EX-0012.06 Modify On-Board Values: Science/Payload Data (medium)</t>
  </si>
  <si>
    <t>T1565.002 Transmitted Data Manipulation (high)</t>
  </si>
  <si>
    <t>Spoofed or impersonated node reports</t>
  </si>
  <si>
    <t>A forged or impersonated relay node injects fabricated observable reports that the CPS fuses as genuine.</t>
  </si>
  <si>
    <t>Node impersonation on the relay or downlink</t>
  </si>
  <si>
    <t>#50, #51, #14</t>
  </si>
  <si>
    <t>Strong pass: association/residual test (L3); weak pass: no check</t>
  </si>
  <si>
    <t>IA-0003 Crosslink via Compromised Neighbor; IA-0008.02 Rogue Spacecraft (medium)</t>
  </si>
  <si>
    <t>Delayed or modified reports</t>
  </si>
  <si>
    <t>Reports are held back, reordered or delayed selectively, distorting the time-difference solution while each message remains valid.</t>
  </si>
  <si>
    <t>Selective delay or modification on the relay path</t>
  </si>
  <si>
    <t>#51, #40</t>
  </si>
  <si>
    <t>M02; M03; M04; M17; M23</t>
  </si>
  <si>
    <t>Strong pass: residual test (L3); weak pass: bias inside the window</t>
  </si>
  <si>
    <t>Geometry-targeted dropping of reports</t>
  </si>
  <si>
    <t>Selective loss of reports from the best-placed satellites raises HDOP and magnifies any other error without a visible outage. Specific to multilateration. An enabler: it opens the stealth window.</t>
  </si>
  <si>
    <t>Congestion or selective packet dropping on chosen links</t>
  </si>
  <si>
    <t>(none: inside a layer)</t>
  </si>
  <si>
    <t>#13, #16, #21</t>
  </si>
  <si>
    <t>L4 only: no outage is visible, the degradation is gradual</t>
  </si>
  <si>
    <t>IMP-0004 Degradation; EX-0013 Flooding (medium)</t>
  </si>
  <si>
    <t>L1 &gt; L2 &gt; L3 &gt; L4  (4 of 4 layers)
L1: A1.7 | L2: [A2.2], A2.4 | L3: A3.1, A3.3, A3.4, A3.5, A3.6 | L4: A4.5, A4.6
Boundaries to first check A3.4/A3.5: 1 | to ATM A4.6: 2
Enabler: weakens a safeguard; listed assets are exposed once the enabled attack runs.</t>
  </si>
  <si>
    <t>T2.05</t>
  </si>
  <si>
    <t>Inter-satellite-link denial</t>
  </si>
  <si>
    <t>Disruption of ISL terminals or crosslinks cuts relay paths so that fewer reports reach the ground. No published mechanism against the crosslink terminals of an MLAT constellation.</t>
  </si>
  <si>
    <t>Link disruption at ISL terminals</t>
  </si>
  <si>
    <t>(none: postulated)</t>
  </si>
  <si>
    <t>L2: relay failure is visible as route loss</t>
  </si>
  <si>
    <t>IMP-0003 Denial; EX-0016 Jamming (medium)</t>
  </si>
  <si>
    <t>Asymmetric delay of PTP exchanges</t>
  </si>
  <si>
    <t>Delaying PTP messages in one direction shifts the computed clock offset although every message stays authentic. The defining tau case: it forges neither a message nor an identity yet violates the integrity of time.</t>
  </si>
  <si>
    <t>One-way delay of PTP messages on the ISL</t>
  </si>
  <si>
    <t>Authentication-invariance test: with every message authenticated (A3) the one-way delay still shifts the offset, so primary tau.</t>
  </si>
  <si>
    <t>#48, #40, #49</t>
  </si>
  <si>
    <t>M02; M03; M23; M24</t>
  </si>
  <si>
    <t>EX-0014.01 Spoofing: Time Spoof; EX-0012.12 Modify On-Board Values: System Clock (medium)</t>
  </si>
  <si>
    <t>T0830 Adversary-in-the-Middle (medium)</t>
  </si>
  <si>
    <t>7 CVEs: ntpd (5), ptp4l (2)</t>
  </si>
  <si>
    <t>Forged PTP messages</t>
  </si>
  <si>
    <t>Fabricated or replayed PTP messages set an onboard clock to a wrong offset. Defeated by authenticating the exchange, so Spoofing is primary and tau secondary.</t>
  </si>
  <si>
    <t>Injection or replay of time-transfer messages</t>
  </si>
  <si>
    <t>Authentication-invariance test: with authenticated messages the forgery fails, so the primary category is Spoofing; the time offset is a secondary tau effect.</t>
  </si>
  <si>
    <t>#48, #49</t>
  </si>
  <si>
    <t>EX-0014.01 Spoofing: Time Spoof (high)</t>
  </si>
  <si>
    <t>Backhaul and downlink interception</t>
  </si>
  <si>
    <t>Passive reception of downlink or backhaul traffic discloses tracks, identities and system behaviour; disclosure is the precondition of injection (T2.09).</t>
  </si>
  <si>
    <t>Consumer-grade receiving equipment on the downlink</t>
  </si>
  <si>
    <t>#2, #63, #66</t>
  </si>
  <si>
    <t>M09; M13</t>
  </si>
  <si>
    <t>None: passive reception leaves no trace</t>
  </si>
  <si>
    <t>EXF-0003.02 Eavesdropping: Downlink Intercept; REC-0005.02 (high)</t>
  </si>
  <si>
    <t>T1040 Network Sniffing (medium)</t>
  </si>
  <si>
    <t>Contained: disclosure only, no downstream state change.
Exposure at L2: [A2.4]</t>
  </si>
  <si>
    <t>Injection into the downlink or backhaul</t>
  </si>
  <si>
    <t>Attacker data injected or overshadowed into the downlink or backhaul is accepted by ground processing as genuine reports (ghost-target route).</t>
  </si>
  <si>
    <t>Overshadowing a downlink so that the ground accepts attacker data</t>
  </si>
  <si>
    <t>#52, #50</t>
  </si>
  <si>
    <t>M04; M17; M22</t>
  </si>
  <si>
    <t>IA-0008.01 Rogue Ground Station (medium)</t>
  </si>
  <si>
    <t>Telecommand-channel interception</t>
  </si>
  <si>
    <t>Passive capture of command and update traffic discloses the content, formats and timing of the control path.</t>
  </si>
  <si>
    <t>Passive reception of the command channel</t>
  </si>
  <si>
    <t>TB1, TB2, TB3</t>
  </si>
  <si>
    <t>#66, #41</t>
  </si>
  <si>
    <t>M04; M05; M09</t>
  </si>
  <si>
    <t>EXF-0003.01 Eavesdropping: Uplink Intercept; REC-0005.01 (high)</t>
  </si>
  <si>
    <t>Contained: disclosure only, no downstream state change.
Exposure at L2: [A2.5]</t>
  </si>
  <si>
    <t>Forged telecommands</t>
  </si>
  <si>
    <t>Commands and update packages crafted or replayed toward the satellites are accepted, because keys are disclosed (T4.04) or authentication is weak (T1.12).</t>
  </si>
  <si>
    <t>Crafted or replayed commands on the uplink</t>
  </si>
  <si>
    <t>IA-0007.02 Malicious Commanding via Valid GS; EX-0001 Replay (medium)</t>
  </si>
  <si>
    <t>10 CVEs: NASA CryptoLib (10)</t>
  </si>
  <si>
    <t>Network-device and platform compromise</t>
  </si>
  <si>
    <t>Routers, gateways or terminals on the backhaul and link network are compromised, giving a foothold to alter or drop traffic.</t>
  </si>
  <si>
    <t>Remote exploitation of exposed network devices</t>
  </si>
  <si>
    <t>#65, #61, #68</t>
  </si>
  <si>
    <t>M04; M05; M06; M10; M13; M24</t>
  </si>
  <si>
    <t>L4 only: found by network operations</t>
  </si>
  <si>
    <t>IA-0007 Compromise Ground System; RD-0002.01 (medium)</t>
  </si>
  <si>
    <t>T1190 Exploit Public-Facing Application (medium)</t>
  </si>
  <si>
    <t>T3.01</t>
  </si>
  <si>
    <t>Association tampering</t>
  </si>
  <si>
    <t>The association module is altered so that measurements of different transmissions are grouped or split wrongly, creating, merging or losing tracks. No published mechanism (P).</t>
  </si>
  <si>
    <t>Software exploitation of the association logic</t>
  </si>
  <si>
    <t>L4 only: the tampered module is the one that decides</t>
  </si>
  <si>
    <t>T0889 Modify Program (medium)</t>
  </si>
  <si>
    <t>T3.02</t>
  </si>
  <si>
    <t>Tampering with integrity-test logic</t>
  </si>
  <si>
    <t>The comparison logic of the monitor or cross-check is altered so that tests pass or fail wrongly. No published mechanism (P).</t>
  </si>
  <si>
    <t>Software exploitation of the monitor logic</t>
  </si>
  <si>
    <t>L4 only: the altered module is the check itself</t>
  </si>
  <si>
    <t>T0836 Modify Parameter; T0889 Modify Program (medium)</t>
  </si>
  <si>
    <t>Corrupted working store (ephemeris and clock state)</t>
  </si>
  <si>
    <t>The ephemeris and clock-state database used by the solver is altered, adding an effect equivalent to a clock bias. A source in the worked displacement application.</t>
  </si>
  <si>
    <t>Write access to the processing-station data store</t>
  </si>
  <si>
    <t>A3.2, A3.3</t>
  </si>
  <si>
    <t>Primary T: the corrupted store changes what the solver believes about orbits and clocks; a clock-state offset in A3.2 is recorded as a secondary tau effect.</t>
  </si>
  <si>
    <t>Strong pass: L3 residual test; weak pass: bias inside the window</t>
  </si>
  <si>
    <t>DE-0003.10 Modify On-Board Values: GPS Ephemeris (medium; on-board analogue)</t>
  </si>
  <si>
    <t>T1565.001 Stored Data Manipulation (high)</t>
  </si>
  <si>
    <t>L3 &gt; L4  (2 of 4 layers)
L3: [A3.2], [A3.3], A3.4, A3.5, A3.6 | L4: A4.5, A4.6
Boundaries to first check A3.4/A3.5: 0 (an origin is a check) | to ATM A4.6: 1</t>
  </si>
  <si>
    <t>T3.04</t>
  </si>
  <si>
    <t>Post-association observable tampering</t>
  </si>
  <si>
    <t>Observables are modified after association, inside the processing chain, below the reach of transport protection.</t>
  </si>
  <si>
    <t>Process-level access to the solver inputs</t>
  </si>
  <si>
    <t>SC-10; SC-11</t>
  </si>
  <si>
    <t>Solver and tracker exhaustion</t>
  </si>
  <si>
    <t>Crafted or voluminous input exhausts the solver, tracker or track database so that no solution is produced in time.</t>
  </si>
  <si>
    <t>Resource exhaustion by message flooding or crafted reports</t>
  </si>
  <si>
    <t>#65</t>
  </si>
  <si>
    <t>L3: the monitor reports no solution within the bound</t>
  </si>
  <si>
    <t>EX-0013 Flooding (medium)</t>
  </si>
  <si>
    <t>T1499 Endpoint Denial of Service (high)</t>
  </si>
  <si>
    <t>Relaxation of integrity thresholds</t>
  </si>
  <si>
    <t>Detection thresholds are raised so that biases up to the new limit pass the checks, widening the stealth window for every route at once. An enabler with no consequence of its own.</t>
  </si>
  <si>
    <t>Write access to the configuration of the checks</t>
  </si>
  <si>
    <t>L4 only: a relaxed threshold produces no alert</t>
  </si>
  <si>
    <t>T0836 Modify Parameter (high); T1562.001 Impair Defenses: Disable or Modify Tools (medium)</t>
  </si>
  <si>
    <t>L3 &gt; L4  (2 of 4 layers)
L3: [A3.4], [A3.5], A3.6 | L4: A4.5, A4.6
Boundaries to first check A3.4/A3.5: 0 (an origin is a check) | to ATM A4.6: 1
Enabler: weakens a safeguard; listed assets are exposed once the enabled attack runs.</t>
  </si>
  <si>
    <t>Consistent corruption of both positions</t>
  </si>
  <si>
    <t>The E-MLAT and the broadcast position are corrupted consistently, so the cross-check annotates a false position as verified. Realised by synchronised emitters (AC3).</t>
  </si>
  <si>
    <t>Synchronised emitters reproducing ADS-B and TDOA together</t>
  </si>
  <si>
    <t>A3.5, A3.3</t>
  </si>
  <si>
    <t>Not tau: it forges consistent positions, not a clock offset. Timing-related because it must reproduce TDOA.</t>
  </si>
  <si>
    <t>L4 only: the cross-check agrees by construction</t>
  </si>
  <si>
    <t>SC-11; SC-12</t>
  </si>
  <si>
    <t>L3 &gt; L4  (2 of 4 layers)
L3: [A3.3], [A3.5], A3.4, A3.6 | L4: A4.5, A4.6
Boundaries to first check A3.4/A3.5: 0 (an origin is a check) | to ATM A4.6: 1</t>
  </si>
  <si>
    <t>Induced false discrepancy</t>
  </si>
  <si>
    <t>The attacker creates a discrepancy between independent positions so that an honest aircraft is marked suspect, discrediting a genuine target.</t>
  </si>
  <si>
    <t>Perturbing one of two independent positions of an honest aircraft</t>
  </si>
  <si>
    <t>Not tau: it produces a false discrepancy. Timing-related because it acts through TDOA.</t>
  </si>
  <si>
    <t>#5, #6</t>
  </si>
  <si>
    <t>L3: the cross-check raises the flag (the effect, not the cause, is seen)</t>
  </si>
  <si>
    <t>T3.09</t>
  </si>
  <si>
    <t>Encoder and output tampering</t>
  </si>
  <si>
    <t>The ASTERIX encoder or gateway alters the content or the integrity annotation of the reports sent to ATM, downstream of every detection predicate.</t>
  </si>
  <si>
    <t>Software exploitation of the encoder or gateway</t>
  </si>
  <si>
    <t>None: acts downstream of every check</t>
  </si>
  <si>
    <t>T0832 Manipulation of View (high)</t>
  </si>
  <si>
    <t>T3.10</t>
  </si>
  <si>
    <t>Disclosure of flight tracks</t>
  </si>
  <si>
    <t>Unauthorised access to track databases, reports or logs discloses aircraft movements. Enables nothing else in the catalogue.</t>
  </si>
  <si>
    <t>Read access to the processing and delivery stores</t>
  </si>
  <si>
    <t>None: passive access leaves no trace</t>
  </si>
  <si>
    <t>IMP-0006 Theft (medium)</t>
  </si>
  <si>
    <t>T0882 Theft of Operational Information (high)</t>
  </si>
  <si>
    <t>Contained: disclosure only, no downstream state change.
Exposure at L3: [A3.6]</t>
  </si>
  <si>
    <t>Unattributable records</t>
  </si>
  <si>
    <t>Audit trails and logs are altered or suppressed, so tampering cannot be attributed. An enabler of repudiation.</t>
  </si>
  <si>
    <t>Write access to logs and track records</t>
  </si>
  <si>
    <t>None: records are altered by construction</t>
  </si>
  <si>
    <t>DE-0010 Overflow Audit Log (medium)</t>
  </si>
  <si>
    <t>T0872 Indicator Removal on Host (high); T1070 Indicator Removal (high)</t>
  </si>
  <si>
    <t>L3 &gt; L4  (2 of 4 layers)
L3: [A3.3], A3.4, A3.5, A3.6 | L4: A4.5, A4.6
Boundaries to first check A3.4/A3.5: 0 (an origin is a check) | to ATM A4.6: 1
Enabler: weakens a safeguard; listed assets are exposed once the enabled attack runs.</t>
  </si>
  <si>
    <t>CPS platform compromise</t>
  </si>
  <si>
    <t>Servers, operating system or virtualisation hosting A3.1 to A3.6 are compromised, giving control of every module on the host.</t>
  </si>
  <si>
    <t>Remote exploitation of ground software or its platform</t>
  </si>
  <si>
    <t>L4 only: found by platform monitoring</t>
  </si>
  <si>
    <t>IA-0007 Compromise Ground System (medium)</t>
  </si>
  <si>
    <t>T0890 Exploitation for Privilege Escalation; T1190 (medium)</t>
  </si>
  <si>
    <t>Synchronisation-policy tampering</t>
  </si>
  <si>
    <t>The time scale, PTP policy or conformance thresholds are altered, so clocks are disciplined to a wrong reference or the checks are relaxed.</t>
  </si>
  <si>
    <t>Authorised access to the policy and time-reference service</t>
  </si>
  <si>
    <t>Primary T: the policy is configuration; the resulting offset on A1.5 is recorded as a secondary tau effect.</t>
  </si>
  <si>
    <t>#76, #77</t>
  </si>
  <si>
    <t>EX-0012.12 Modify On-Board Values: System Clock (medium)</t>
  </si>
  <si>
    <t>T0836 Modify Parameter (medium)</t>
  </si>
  <si>
    <t>6 CVEs: ntpd (5), Microchip (1)</t>
  </si>
  <si>
    <t>Falsified ephemerides</t>
  </si>
  <si>
    <t>Orbit-determination products are falsified so that satellite positions assumed by the solver are wrong. Acts like a clock bias in the TDOA model but corrupts position knowledge, not time, so it stays Tampering.</t>
  </si>
  <si>
    <t>Authorised access to orbit-determination products</t>
  </si>
  <si>
    <t>Not tau: it corrupts knowledge of position, not of time. The equivalence with a clock bias is captured in the attack graph.</t>
  </si>
  <si>
    <t>T1565.001 Stored Data Manipulation (medium)</t>
  </si>
  <si>
    <t>Stale ephemeris</t>
  </si>
  <si>
    <t>Delivery of ephemeris updates is withheld or delayed, so the solver works on outdated orbit data. Two outcomes: a flagged degradation (denial) or an unflagged bias (displacement).</t>
  </si>
  <si>
    <t>Withholding or delaying orbit-product delivery</t>
  </si>
  <si>
    <t>#77</t>
  </si>
  <si>
    <t>IMP-0004 Degradation (medium)</t>
  </si>
  <si>
    <t>Disclosure of link and command keys</t>
  </si>
  <si>
    <t>Keys for telecommand, ISLs and ground links are disclosed. A precondition of forged telecommands (T2.11), key abuse (T4.05) and weak-authentication exploitation (T1.12).</t>
  </si>
  <si>
    <t>Compromise of key storage or distribution</t>
  </si>
  <si>
    <t>#1, #61</t>
  </si>
  <si>
    <t>M06; M22; M24</t>
  </si>
  <si>
    <t>None: passive disclosure leaves no trace</t>
  </si>
  <si>
    <t>RD-0003.02 Obtain Cyber Capabilities: Cryptographic Keys; EXF-0003 (high)</t>
  </si>
  <si>
    <t>T1552.004 Unsecured Credentials: Private Keys (high)</t>
  </si>
  <si>
    <t>CVE-2025-46672, CVE-2025-46673, CVE-2025-46674, CVE-2025-46675</t>
  </si>
  <si>
    <t>Contained: disclosure only, no downstream state change.
Exposure at L4: [A4.3]</t>
  </si>
  <si>
    <t>Key-management abuse</t>
  </si>
  <si>
    <t>Keys are issued, replaced or revoked by an adversary with access to the key-management system, enabling impersonation of any node or controller.</t>
  </si>
  <si>
    <t>Authorised access to the key-management system</t>
  </si>
  <si>
    <t>#35, #34</t>
  </si>
  <si>
    <t>L4 only: found through key-management audit</t>
  </si>
  <si>
    <t>PER-0004 Replace Cryptographic Keys (high)</t>
  </si>
  <si>
    <t>T1078 Valid Accounts (medium)</t>
  </si>
  <si>
    <t>Malicious configuration or update</t>
  </si>
  <si>
    <t>Parameters, thresholds or firmware baselines are changed through the configuration and update channel, entered through a management network.</t>
  </si>
  <si>
    <t>Misconfigured remote access to the management network</t>
  </si>
  <si>
    <t>A4.4, A4.8</t>
  </si>
  <si>
    <t>#74, #67</t>
  </si>
  <si>
    <t>M04; M10; M13; M24</t>
  </si>
  <si>
    <t>L4 only: found through configuration audit</t>
  </si>
  <si>
    <t>IA-0007.01 Compromise On-Orbit Update (high)</t>
  </si>
  <si>
    <t>L1 &gt; L2 &gt; L3 &gt; L4  (4 of 4 layers)
L1: A1.4†, A1.5†, A1.6, A1.7† | L2: A2.1†, A2.2†, A2.3†, A2.4†, A2.5 | L3: A3.1†, A3.2, A3.3, A3.4, A3.5, A3.6 | L4: [A4.4], [A4.8], A4.1, A4.2, A4.3, A4.5, A4.6
Boundaries to first check A3.4/A3.5: 1 | to ATM A4.6: 2</t>
  </si>
  <si>
    <t>Destructive update or command push</t>
  </si>
  <si>
    <t>Updates or commands pushed through management systems disable or wipe terminals or payloads.</t>
  </si>
  <si>
    <t>Management-network access used to push destructive commands</t>
  </si>
  <si>
    <t>#74</t>
  </si>
  <si>
    <t>M10; M13</t>
  </si>
  <si>
    <t>L2: loss of service is immediately visible</t>
  </si>
  <si>
    <t>EX-0010.02 Malicious Code: Wiper Malware; IMP-0005 Destruction (high)</t>
  </si>
  <si>
    <t>T1485 Data Destruction; T1561 Disk Wipe (high)</t>
  </si>
  <si>
    <t>Verdict and picture tampering</t>
  </si>
  <si>
    <t>Integrity verdicts or the target picture are altered at the delivery stage, downstream of every check.</t>
  </si>
  <si>
    <t>Write access to the delivery stage</t>
  </si>
  <si>
    <t>#78</t>
  </si>
  <si>
    <t>Interruption of delivery to ATM</t>
  </si>
  <si>
    <t>The feed to ATM is stopped, delayed or degraded; the controller loses the surveillance picture.</t>
  </si>
  <si>
    <t>Disruption of the delivery interface</t>
  </si>
  <si>
    <t>L4 only: the controller notices a missing feed</t>
  </si>
  <si>
    <t>IMP-0003 Denial (medium)</t>
  </si>
  <si>
    <t>T0815 Denial of View (high)</t>
  </si>
  <si>
    <t>T4.10</t>
  </si>
  <si>
    <t>Output and interface deception</t>
  </si>
  <si>
    <t>The display or interface presented to the controller is altered to show fabricated or suppressed content, bypassing every check.</t>
  </si>
  <si>
    <t>Access to the controller working position or its interface</t>
  </si>
  <si>
    <t>T4.11</t>
  </si>
  <si>
    <t>Disclosure of ephemerides and coverage</t>
  </si>
  <si>
    <t>Precise orbit, coverage and geometry information is revealed. An enabler: it informs geometry-targeted dropping (T2.04) and the placement of synchronised emitters (T1.05).</t>
  </si>
  <si>
    <t>Read access to coverage and orbit data</t>
  </si>
  <si>
    <t>REC-0009 Gather Mission Information (medium)</t>
  </si>
  <si>
    <t>T0882 Theft of Operational Information (medium)</t>
  </si>
  <si>
    <t>Contained: disclosure only, no downstream state change.
Exposure at L4: [A4.5]
Enabler: raises the feasibility of other threats.</t>
  </si>
  <si>
    <t>Insider misuse of authorised access</t>
  </si>
  <si>
    <t>A person with authorised access alters thresholds, ephemerides, keys or configuration, or reveals them.</t>
  </si>
  <si>
    <t>Authorised access to L3 and L4 assets</t>
  </si>
  <si>
    <t>A4.7, A4.8</t>
  </si>
  <si>
    <t>E, I</t>
  </si>
  <si>
    <t>#67, #30</t>
  </si>
  <si>
    <t>M04; M06; M08; M22; M24</t>
  </si>
  <si>
    <t>L4 only: found through audit and review</t>
  </si>
  <si>
    <t>IA-0009.02 Trusted Relationship: Vendor; PER-0005 Valid Credentials (medium)</t>
  </si>
  <si>
    <t>T1078 Valid Accounts (high)</t>
  </si>
  <si>
    <t>L1 &gt; L2 &gt; L3 &gt; L4  (4 of 4 layers)
L1: A1.4†, A1.5†, A1.6, A1.7† | L2: A2.1†, A2.2†, A2.3†, A2.4†, A2.5 | L3: A3.1, A3.2, A3.3, A3.4, A3.5, A3.6, A3.7 | L4: [A4.7], [A4.8], A4.1, A4.2, A4.3, A4.4, A4.5, A4.6
Boundaries to first check A3.4/A3.5: 1 | to ATM A4.6: 2</t>
  </si>
  <si>
    <t>Supply-chain compromise</t>
  </si>
  <si>
    <t>Software, firmware or hardware is altered before delivery by a supplier, affecting the assets it administers or provides.</t>
  </si>
  <si>
    <t>Compromise of a supplier before delivery</t>
  </si>
  <si>
    <t>A4.4, A4.7</t>
  </si>
  <si>
    <t>#30, #35</t>
  </si>
  <si>
    <t>M06; M08; M09; M22; M25</t>
  </si>
  <si>
    <t>None: dormant until activated</t>
  </si>
  <si>
    <t>IA-0001 Compromise Supply Chain (high)</t>
  </si>
  <si>
    <t>T1195 Supply Chain Compromise (high); T0862 Supply Chain Compromise (high)</t>
  </si>
  <si>
    <t>L1 &gt; L2 &gt; L3 &gt; L4  (4 of 4 layers)
L1: A1.4†, A1.5†, A1.6, A1.7† | L2: A2.1†, A2.2†, A2.3†, A2.4†, A2.5 | L3: A3.1, A3.2, A3.3, A3.4, A3.5, A3.6, A3.7 | L4: [A4.4], [A4.7], A4.1, A4.2, A4.3, A4.5, A4.6, A4.8
Boundaries to first check A3.4/A3.5: 1 | to ATM A4.6: 2</t>
  </si>
  <si>
    <t>T4.14</t>
  </si>
  <si>
    <t>Unattributable changes</t>
  </si>
  <si>
    <t>Changes to configuration, keys or policy are made without reliable attribution, so a deceptive state persists without an owner.</t>
  </si>
  <si>
    <t>Absence of per-actor audit on policy and key changes</t>
  </si>
  <si>
    <t>A4.1, A4.3</t>
  </si>
  <si>
    <t>None: records are missing by construction</t>
  </si>
  <si>
    <t>T1070 Indicator Removal (medium)</t>
  </si>
  <si>
    <t>L1 &gt; L2 &gt; L3 &gt; L4  (4 of 4 layers)
L1: A1.4†, A1.5†, A1.6, A1.7† | L2: A2.1†, A2.2†, A2.3†, A2.4†, A2.5 | L3: A3.1†, A3.2†, A3.3†, A3.4†, A3.5†, A3.6† | L4: [A4.1], [A4.3], A4.5†, A4.6†
Boundaries to first check A3.4/A3.5: 5 | to ATM A4.6: 6</t>
  </si>
  <si>
    <t>Management-network intrusion</t>
  </si>
  <si>
    <t>Entry through remote access or the management network into the operations centre gives control of the hosted L4 assets.</t>
  </si>
  <si>
    <t>Misconfigured remote-access service on the management network</t>
  </si>
  <si>
    <t>#74, #68, #65</t>
  </si>
  <si>
    <t>L4 only: found by intrusion monitoring</t>
  </si>
  <si>
    <t>T1133 External Remote Services (high)</t>
  </si>
  <si>
    <t>26 CVEs: OpenC3 COSMOS (7), Yamcs (8), NASA Open MCT (3), NASA F Prime (2), NASA AIT-Core (6)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</si>
</sst>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b/>
      <sz val="14.0"/>
      <color rgb="FF1F3864"/>
      <name val="Arial"/>
    </font>
    <font>
      <i/>
      <sz val="9.0"/>
      <color rgb="FF595959"/>
      <name val="Arial"/>
    </font>
    <font>
      <b/>
      <sz val="9.0"/>
      <color theme="1"/>
      <name val="Arial"/>
    </font>
    <font>
      <b/>
      <sz val="9.0"/>
      <color rgb="FFFFFFFF"/>
      <name val="Arial"/>
    </font>
    <font>
      <sz val="9.0"/>
      <color theme="1"/>
      <name val="Arial"/>
    </font>
    <font/>
    <font>
      <sz val="9.0"/>
      <color rgb="FF0000FF"/>
      <name val="Arial"/>
    </font>
    <font>
      <b/>
      <sz val="9.0"/>
      <color theme="1"/>
      <name val="Consolas"/>
    </font>
    <font>
      <u/>
      <sz val="9.0"/>
      <color rgb="FF0563C1"/>
      <name val="Arial"/>
    </font>
    <font>
      <sz val="9.0"/>
      <color rgb="FF595959"/>
      <name val="Arial"/>
    </font>
  </fonts>
  <fills count="8">
    <fill>
      <patternFill patternType="none"/>
    </fill>
    <fill>
      <patternFill patternType="lightGray"/>
    </fill>
    <fill>
      <patternFill patternType="solid">
        <fgColor rgb="FF1F3864"/>
        <bgColor rgb="FF1F3864"/>
      </patternFill>
    </fill>
    <fill>
      <patternFill patternType="solid">
        <fgColor rgb="FFD9E2F3"/>
        <bgColor rgb="FFD9E2F3"/>
      </patternFill>
    </fill>
    <fill>
      <patternFill patternType="solid">
        <fgColor rgb="FFEAF1FB"/>
        <bgColor rgb="FFEAF1FB"/>
      </patternFill>
    </fill>
    <fill>
      <patternFill patternType="solid">
        <fgColor rgb="FFEEF7EA"/>
        <bgColor rgb="FFEEF7EA"/>
      </patternFill>
    </fill>
    <fill>
      <patternFill patternType="solid">
        <fgColor rgb="FFFFF6E5"/>
        <bgColor rgb="FFFFF6E5"/>
      </patternFill>
    </fill>
    <fill>
      <patternFill patternType="solid">
        <fgColor rgb="FFF3ECF8"/>
        <bgColor rgb="FFF3ECF8"/>
      </patternFill>
    </fill>
  </fills>
  <borders count="8">
    <border/>
    <border>
      <left style="thin">
        <color rgb="FFBFBFBF"/>
      </left>
      <right style="thin">
        <color rgb="FFBFBFBF"/>
      </right>
      <top style="thin">
        <color rgb="FFBFBFBF"/>
      </top>
      <bottom style="thin">
        <color rgb="FFBFBFBF"/>
      </bottom>
    </border>
    <border>
      <left/>
      <top/>
      <bottom/>
    </border>
    <border>
      <top/>
      <bottom/>
    </border>
    <border>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0" fontId="3" numFmtId="0" xfId="0" applyAlignment="1" applyBorder="1" applyFont="1">
      <alignment shrinkToFit="0" vertical="top" wrapText="1"/>
    </xf>
    <xf borderId="1" fillId="2" fontId="4" numFmtId="0" xfId="0" applyAlignment="1" applyBorder="1" applyFill="1" applyFont="1">
      <alignment horizontal="center" shrinkToFit="0" vertical="center" wrapText="1"/>
    </xf>
    <xf borderId="1" fillId="0" fontId="5" numFmtId="0" xfId="0" applyAlignment="1" applyBorder="1" applyFont="1">
      <alignment shrinkToFit="0" vertical="top" wrapText="1"/>
    </xf>
    <xf borderId="2" fillId="3" fontId="3" numFmtId="0" xfId="0" applyAlignment="1" applyBorder="1" applyFill="1" applyFont="1">
      <alignment horizontal="center" shrinkToFit="0" vertical="top" wrapText="1"/>
    </xf>
    <xf borderId="3" fillId="0" fontId="6" numFmtId="0" xfId="0" applyBorder="1" applyFont="1"/>
    <xf borderId="1" fillId="2" fontId="4" numFmtId="0" xfId="0" applyAlignment="1" applyBorder="1" applyFill="1" applyFont="1">
      <alignment horizontal="center" shrinkToFit="0" vertical="top" wrapText="1"/>
    </xf>
    <xf borderId="4" fillId="0" fontId="6" numFmtId="0" xfId="0" applyBorder="1" applyFont="1"/>
    <xf borderId="1" fillId="0" fontId="7" numFmtId="0" xfId="0" applyAlignment="1" applyBorder="1" applyFont="1">
      <alignment horizontal="center" shrinkToFit="0" vertical="top" wrapText="1"/>
    </xf>
    <xf borderId="1" fillId="0" fontId="3" numFmtId="0" xfId="0" applyAlignment="1" applyBorder="1" applyFont="1">
      <alignment horizontal="left" shrinkToFit="0" vertical="bottom" wrapText="0"/>
    </xf>
    <xf borderId="0" fillId="0" fontId="3" numFmtId="0" xfId="0" applyAlignment="1" applyFont="1">
      <alignment shrinkToFit="0" vertical="bottom" wrapText="0"/>
    </xf>
    <xf borderId="1" fillId="0" fontId="3" numFmtId="2" xfId="0" applyAlignment="1" applyBorder="1" applyFont="1" applyNumberFormat="1">
      <alignment horizontal="center" shrinkToFit="0" vertical="top" wrapText="1"/>
    </xf>
    <xf borderId="1" fillId="0" fontId="5" numFmtId="1" xfId="0" applyAlignment="1" applyBorder="1" applyFont="1" applyNumberFormat="1">
      <alignment horizontal="center" shrinkToFit="0" vertical="top" wrapText="1"/>
    </xf>
    <xf borderId="5" fillId="0" fontId="5" numFmtId="0" xfId="0" applyAlignment="1" applyBorder="1" applyFont="1">
      <alignment shrinkToFit="0" vertical="top" wrapText="1"/>
    </xf>
    <xf borderId="6" fillId="0" fontId="6" numFmtId="0" xfId="0" applyBorder="1" applyFont="1"/>
    <xf borderId="7" fillId="0" fontId="6" numFmtId="0" xfId="0" applyBorder="1" applyFont="1"/>
    <xf borderId="1" fillId="4" fontId="3" numFmtId="0" xfId="0" applyAlignment="1" applyBorder="1" applyFill="1" applyFont="1">
      <alignment horizontal="center" shrinkToFit="0" vertical="top" wrapText="1"/>
    </xf>
    <xf borderId="1" fillId="4" fontId="5" numFmtId="0" xfId="0" applyAlignment="1" applyBorder="1" applyFill="1" applyFont="1">
      <alignment horizontal="center" shrinkToFit="0" vertical="top" wrapText="1"/>
    </xf>
    <xf borderId="1" fillId="4" fontId="3" numFmtId="0" xfId="0" applyAlignment="1" applyBorder="1" applyFill="1" applyFont="1">
      <alignment shrinkToFit="0" vertical="top" wrapText="1"/>
    </xf>
    <xf borderId="1" fillId="0" fontId="5" numFmtId="0" xfId="0" applyAlignment="1" applyBorder="1" applyFont="1">
      <alignment horizontal="center" shrinkToFit="0" vertical="top" wrapText="1"/>
    </xf>
    <xf borderId="1" fillId="0" fontId="8" numFmtId="0" xfId="0" applyAlignment="1" applyBorder="1" applyFont="1">
      <alignment shrinkToFit="0" vertical="top" wrapText="1"/>
    </xf>
    <xf borderId="1" fillId="0" fontId="9" numFmtId="0" xfId="0" applyAlignment="1" applyBorder="1" applyFont="1">
      <alignment shrinkToFit="0" vertical="top" wrapText="1"/>
    </xf>
    <xf borderId="1" fillId="0" fontId="3" numFmtId="0" xfId="0" applyAlignment="1" applyBorder="1" applyFont="1">
      <alignment horizontal="center" shrinkToFit="0" vertical="top" wrapText="1"/>
    </xf>
    <xf borderId="1" fillId="0" fontId="5" numFmtId="0" xfId="0" applyAlignment="1" applyBorder="1" applyFont="1">
      <alignment horizontal="left" shrinkToFit="0" vertical="top" wrapText="1"/>
    </xf>
    <xf borderId="5" fillId="0" fontId="3" numFmtId="0" xfId="0" applyAlignment="1" applyBorder="1" applyFont="1">
      <alignment shrinkToFit="0" vertical="top" wrapText="1"/>
    </xf>
    <xf borderId="1" fillId="0" fontId="2" numFmtId="0" xfId="0" applyAlignment="1" applyBorder="1" applyFont="1">
      <alignment shrinkToFit="0" vertical="top" wrapText="1"/>
    </xf>
    <xf borderId="0" fillId="0" fontId="10" numFmtId="0" xfId="0" applyAlignment="1" applyFont="1">
      <alignment shrinkToFit="0" vertical="top" wrapText="1"/>
    </xf>
    <xf borderId="1" fillId="5" fontId="3" numFmtId="0" xfId="0" applyAlignment="1" applyBorder="1" applyFill="1" applyFont="1">
      <alignment horizontal="center" shrinkToFit="0" vertical="top" wrapText="1"/>
    </xf>
    <xf borderId="1" fillId="5" fontId="5" numFmtId="0" xfId="0" applyAlignment="1" applyBorder="1" applyFill="1" applyFont="1">
      <alignment horizontal="center" shrinkToFit="0" vertical="top" wrapText="1"/>
    </xf>
    <xf borderId="1" fillId="6" fontId="3" numFmtId="0" xfId="0" applyAlignment="1" applyBorder="1" applyFill="1" applyFont="1">
      <alignment horizontal="center" shrinkToFit="0" vertical="top" wrapText="1"/>
    </xf>
    <xf borderId="1" fillId="6" fontId="5" numFmtId="0" xfId="0" applyAlignment="1" applyBorder="1" applyFill="1" applyFont="1">
      <alignment horizontal="center" shrinkToFit="0" vertical="top" wrapText="1"/>
    </xf>
    <xf borderId="1" fillId="7" fontId="3" numFmtId="0" xfId="0" applyAlignment="1" applyBorder="1" applyFill="1" applyFont="1">
      <alignment horizontal="center" shrinkToFit="0" vertical="top" wrapText="1"/>
    </xf>
    <xf borderId="1" fillId="7" fontId="5" numFmtId="0" xfId="0" applyAlignment="1" applyBorder="1" applyFill="1" applyFont="1">
      <alignment horizontal="center" shrinkToFit="0" vertical="top" wrapText="1"/>
    </xf>
    <xf borderId="1" fillId="0" fontId="3" numFmtId="164" xfId="0" applyAlignment="1" applyBorder="1" applyFont="1" applyNumberFormat="1">
      <alignment horizontal="center" shrinkToFit="0" vertical="top" wrapText="1"/>
    </xf>
    <xf borderId="1" fillId="0" fontId="7" numFmtId="164" xfId="0" applyAlignment="1" applyBorder="1" applyFont="1" applyNumberFormat="1">
      <alignment horizontal="center" shrinkToFit="0" vertical="top" wrapText="1"/>
    </xf>
    <xf borderId="1" fillId="0" fontId="3" numFmtId="1" xfId="0" applyAlignment="1" applyBorder="1" applyFont="1" applyNumberFormat="1">
      <alignment horizontal="center" shrinkToFit="0" vertical="top" wrapText="1"/>
    </xf>
    <xf borderId="1" fillId="0" fontId="7" numFmtId="1" xfId="0" applyAlignment="1" applyBorder="1" applyFont="1" applyNumberFormat="1">
      <alignment horizontal="center" shrinkToFit="0" vertical="top" wrapText="1"/>
    </xf>
    <xf borderId="1" fillId="0" fontId="7" numFmtId="2" xfId="0" applyAlignment="1" applyBorder="1" applyFont="1" applyNumberFormat="1">
      <alignment horizontal="center" shrinkToFit="0" vertical="top" wrapText="1"/>
    </xf>
    <xf borderId="1" fillId="5" fontId="3" numFmtId="0" xfId="0" applyAlignment="1" applyBorder="1" applyFill="1" applyFont="1">
      <alignment shrinkToFit="0" vertical="top" wrapText="1"/>
    </xf>
    <xf borderId="1" fillId="6" fontId="3" numFmtId="0" xfId="0" applyAlignment="1" applyBorder="1" applyFill="1" applyFont="1">
      <alignment shrinkToFit="0" vertical="top" wrapText="1"/>
    </xf>
    <xf borderId="1" fillId="7" fontId="3" numFmtId="0" xfId="0" applyAlignment="1" applyBorder="1" applyFill="1" applyFont="1">
      <alignment shrinkToFit="0" vertical="top" wrapText="1"/>
    </xf>
  </cellXfs>
  <cellStyles count="1">
    <cellStyle xfId="0" name="Normal" builtinId="0"/>
  </cellStyles>
  <dxfs count="8">
    <dxf>
      <font>
        <b/>
        <color rgb="FFFFFFFF"/>
      </font>
      <fill>
        <patternFill patternType="solid">
          <fgColor rgb="FFB03A2E"/>
          <bgColor rgb="FFB03A2E"/>
        </patternFill>
      </fill>
      <border/>
    </dxf>
    <dxf>
      <font>
        <b/>
        <color rgb="FFFFFFFF"/>
      </font>
      <fill>
        <patternFill patternType="solid">
          <fgColor rgb="FFC77C0E"/>
          <bgColor rgb="FFC77C0E"/>
        </patternFill>
      </fill>
      <border/>
    </dxf>
    <dxf>
      <font/>
      <fill>
        <patternFill patternType="solid">
          <fgColor rgb="FFFEF4E2"/>
          <bgColor rgb="FFFEF4E2"/>
        </patternFill>
      </fill>
      <border/>
    </dxf>
    <dxf>
      <font/>
      <fill>
        <patternFill patternType="solid">
          <fgColor rgb="FFE8F1F9"/>
          <bgColor rgb="FFE8F1F9"/>
        </patternFill>
      </fill>
      <border/>
    </dxf>
    <dxf>
      <font/>
      <fill>
        <patternFill patternType="solid">
          <fgColor rgb="FFF4B183"/>
          <bgColor rgb="FFF4B183"/>
        </patternFill>
      </fill>
      <border/>
    </dxf>
    <dxf>
      <font/>
      <fill>
        <patternFill patternType="solid">
          <fgColor rgb="FFFFE699"/>
          <bgColor rgb="FFFFE699"/>
        </patternFill>
      </fill>
      <border/>
    </dxf>
    <dxf>
      <font/>
      <fill>
        <patternFill patternType="solid">
          <fgColor rgb="FFC6E0B4"/>
          <bgColor rgb="FFC6E0B4"/>
        </patternFill>
      </fill>
      <border/>
    </dxf>
    <dxf>
      <font/>
      <fill>
        <patternFill patternType="solid">
          <fgColor rgb="FFFF7C80"/>
          <bgColor rgb="FFFF7C8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cve.org/CVERecord?id=CVE-2024-35058" TargetMode="External"/><Relationship Id="rId42" Type="http://schemas.openxmlformats.org/officeDocument/2006/relationships/hyperlink" Target="https://www.cve.org/CVERecord?id=CVE-2024-35060" TargetMode="External"/><Relationship Id="rId41" Type="http://schemas.openxmlformats.org/officeDocument/2006/relationships/hyperlink" Target="https://www.cve.org/CVERecord?id=CVE-2024-35059" TargetMode="External"/><Relationship Id="rId44" Type="http://schemas.openxmlformats.org/officeDocument/2006/relationships/hyperlink" Target="https://www.cve.org/CVERecord?id=CVE-2024-44910" TargetMode="External"/><Relationship Id="rId43" Type="http://schemas.openxmlformats.org/officeDocument/2006/relationships/hyperlink" Target="https://www.cve.org/CVERecord?id=CVE-2024-35061" TargetMode="External"/><Relationship Id="rId46" Type="http://schemas.openxmlformats.org/officeDocument/2006/relationships/hyperlink" Target="https://www.cve.org/CVERecord?id=CVE-2024-44912" TargetMode="External"/><Relationship Id="rId45" Type="http://schemas.openxmlformats.org/officeDocument/2006/relationships/hyperlink" Target="https://www.cve.org/CVERecord?id=CVE-2024-44911" TargetMode="External"/><Relationship Id="rId1" Type="http://schemas.openxmlformats.org/officeDocument/2006/relationships/hyperlink" Target="https://www.cve.org/CVERecord?id=CVE-2015-7704" TargetMode="External"/><Relationship Id="rId2" Type="http://schemas.openxmlformats.org/officeDocument/2006/relationships/hyperlink" Target="https://www.cve.org/CVERecord?id=CVE-2015-7705" TargetMode="External"/><Relationship Id="rId3" Type="http://schemas.openxmlformats.org/officeDocument/2006/relationships/hyperlink" Target="https://www.cve.org/CVERecord?id=CVE-2015-5300" TargetMode="External"/><Relationship Id="rId4" Type="http://schemas.openxmlformats.org/officeDocument/2006/relationships/hyperlink" Target="https://www.cve.org/CVERecord?id=CVE-2015-8138" TargetMode="External"/><Relationship Id="rId9" Type="http://schemas.openxmlformats.org/officeDocument/2006/relationships/hyperlink" Target="https://www.cve.org/CVERecord?id=CVE-2026-3893" TargetMode="External"/><Relationship Id="rId48" Type="http://schemas.openxmlformats.org/officeDocument/2006/relationships/hyperlink" Target="https://www.cve.org/CVERecord?id=CVE-2025-29910" TargetMode="External"/><Relationship Id="rId47" Type="http://schemas.openxmlformats.org/officeDocument/2006/relationships/hyperlink" Target="https://www.cve.org/CVERecord?id=CVE-2025-29909" TargetMode="External"/><Relationship Id="rId49" Type="http://schemas.openxmlformats.org/officeDocument/2006/relationships/hyperlink" Target="https://www.cve.org/CVERecord?id=CVE-2025-29911" TargetMode="External"/><Relationship Id="rId5" Type="http://schemas.openxmlformats.org/officeDocument/2006/relationships/hyperlink" Target="https://www.cve.org/CVERecord?id=CVE-2016-1547" TargetMode="External"/><Relationship Id="rId6" Type="http://schemas.openxmlformats.org/officeDocument/2006/relationships/hyperlink" Target="https://www.cve.org/CVERecord?id=CVE-2021-3570" TargetMode="External"/><Relationship Id="rId7" Type="http://schemas.openxmlformats.org/officeDocument/2006/relationships/hyperlink" Target="https://www.cve.org/CVERecord?id=CVE-2021-3571" TargetMode="External"/><Relationship Id="rId8" Type="http://schemas.openxmlformats.org/officeDocument/2006/relationships/hyperlink" Target="https://www.cve.org/CVERecord?id=CVE-2022-40022" TargetMode="External"/><Relationship Id="rId31" Type="http://schemas.openxmlformats.org/officeDocument/2006/relationships/hyperlink" Target="https://www.cve.org/CVERecord?id=CVE-2025-25371" TargetMode="External"/><Relationship Id="rId30" Type="http://schemas.openxmlformats.org/officeDocument/2006/relationships/hyperlink" Target="https://www.cve.org/CVERecord?id=CVE-2023-45885" TargetMode="External"/><Relationship Id="rId33" Type="http://schemas.openxmlformats.org/officeDocument/2006/relationships/hyperlink" Target="https://www.cve.org/CVERecord?id=CVE-2025-25373" TargetMode="External"/><Relationship Id="rId32" Type="http://schemas.openxmlformats.org/officeDocument/2006/relationships/hyperlink" Target="https://www.cve.org/CVERecord?id=CVE-2025-25372" TargetMode="External"/><Relationship Id="rId35" Type="http://schemas.openxmlformats.org/officeDocument/2006/relationships/hyperlink" Target="https://www.cve.org/CVERecord?id=CVE-2024-55028" TargetMode="External"/><Relationship Id="rId34" Type="http://schemas.openxmlformats.org/officeDocument/2006/relationships/hyperlink" Target="https://www.cve.org/CVERecord?id=CVE-2025-25374" TargetMode="External"/><Relationship Id="rId37" Type="http://schemas.openxmlformats.org/officeDocument/2006/relationships/hyperlink" Target="https://www.cve.org/CVERecord?id=CVE-2024-55030" TargetMode="External"/><Relationship Id="rId36" Type="http://schemas.openxmlformats.org/officeDocument/2006/relationships/hyperlink" Target="https://www.cve.org/CVERecord?id=CVE-2024-55029" TargetMode="External"/><Relationship Id="rId39" Type="http://schemas.openxmlformats.org/officeDocument/2006/relationships/hyperlink" Target="https://www.cve.org/CVERecord?id=CVE-2024-35057" TargetMode="External"/><Relationship Id="rId38" Type="http://schemas.openxmlformats.org/officeDocument/2006/relationships/hyperlink" Target="https://www.cve.org/CVERecord?id=CVE-2024-35056" TargetMode="External"/><Relationship Id="rId20" Type="http://schemas.openxmlformats.org/officeDocument/2006/relationships/hyperlink" Target="https://www.cve.org/CVERecord?id=CVE-2023-45277" TargetMode="External"/><Relationship Id="rId22" Type="http://schemas.openxmlformats.org/officeDocument/2006/relationships/hyperlink" Target="https://www.cve.org/CVERecord?id=CVE-2023-45279" TargetMode="External"/><Relationship Id="rId21" Type="http://schemas.openxmlformats.org/officeDocument/2006/relationships/hyperlink" Target="https://www.cve.org/CVERecord?id=CVE-2023-45278" TargetMode="External"/><Relationship Id="rId24" Type="http://schemas.openxmlformats.org/officeDocument/2006/relationships/hyperlink" Target="https://www.cve.org/CVERecord?id=CVE-2023-45281" TargetMode="External"/><Relationship Id="rId23" Type="http://schemas.openxmlformats.org/officeDocument/2006/relationships/hyperlink" Target="https://www.cve.org/CVERecord?id=CVE-2023-45280" TargetMode="External"/><Relationship Id="rId26" Type="http://schemas.openxmlformats.org/officeDocument/2006/relationships/hyperlink" Target="https://www.cve.org/CVERecord?id=CVE-2023-46471" TargetMode="External"/><Relationship Id="rId25" Type="http://schemas.openxmlformats.org/officeDocument/2006/relationships/hyperlink" Target="https://www.cve.org/CVERecord?id=CVE-2023-46470" TargetMode="External"/><Relationship Id="rId28" Type="http://schemas.openxmlformats.org/officeDocument/2006/relationships/hyperlink" Target="https://www.cve.org/CVERecord?id=CVE-2023-45282" TargetMode="External"/><Relationship Id="rId27" Type="http://schemas.openxmlformats.org/officeDocument/2006/relationships/hyperlink" Target="https://www.cve.org/CVERecord?id=CVE-2023-47311" TargetMode="External"/><Relationship Id="rId29" Type="http://schemas.openxmlformats.org/officeDocument/2006/relationships/hyperlink" Target="https://www.cve.org/CVERecord?id=CVE-2023-45884" TargetMode="External"/><Relationship Id="rId51" Type="http://schemas.openxmlformats.org/officeDocument/2006/relationships/hyperlink" Target="https://www.cve.org/CVERecord?id=CVE-2025-29913" TargetMode="External"/><Relationship Id="rId50" Type="http://schemas.openxmlformats.org/officeDocument/2006/relationships/hyperlink" Target="https://www.cve.org/CVERecord?id=CVE-2025-29912" TargetMode="External"/><Relationship Id="rId53" Type="http://schemas.openxmlformats.org/officeDocument/2006/relationships/hyperlink" Target="https://www.cve.org/CVERecord?id=CVE-2025-30356" TargetMode="External"/><Relationship Id="rId52" Type="http://schemas.openxmlformats.org/officeDocument/2006/relationships/hyperlink" Target="https://www.cve.org/CVERecord?id=CVE-2025-30216" TargetMode="External"/><Relationship Id="rId11" Type="http://schemas.openxmlformats.org/officeDocument/2006/relationships/hyperlink" Target="https://www.cve.org/CVERecord?id=CVE-2014-2942" TargetMode="External"/><Relationship Id="rId55" Type="http://schemas.openxmlformats.org/officeDocument/2006/relationships/hyperlink" Target="https://www.cve.org/CVERecord?id=CVE-2025-46673" TargetMode="External"/><Relationship Id="rId10" Type="http://schemas.openxmlformats.org/officeDocument/2006/relationships/hyperlink" Target="https://www.cve.org/CVERecord?id=CVE-2014-2941" TargetMode="External"/><Relationship Id="rId54" Type="http://schemas.openxmlformats.org/officeDocument/2006/relationships/hyperlink" Target="https://www.cve.org/CVERecord?id=CVE-2025-46672" TargetMode="External"/><Relationship Id="rId13" Type="http://schemas.openxmlformats.org/officeDocument/2006/relationships/hyperlink" Target="https://www.cve.org/CVERecord?id=CVE-2025-28380" TargetMode="External"/><Relationship Id="rId57" Type="http://schemas.openxmlformats.org/officeDocument/2006/relationships/hyperlink" Target="https://www.cve.org/CVERecord?id=CVE-2025-46675" TargetMode="External"/><Relationship Id="rId12" Type="http://schemas.openxmlformats.org/officeDocument/2006/relationships/hyperlink" Target="https://www.cve.org/CVERecord?id=CVE-2014-2964" TargetMode="External"/><Relationship Id="rId56" Type="http://schemas.openxmlformats.org/officeDocument/2006/relationships/hyperlink" Target="https://www.cve.org/CVERecord?id=CVE-2025-46674" TargetMode="External"/><Relationship Id="rId15" Type="http://schemas.openxmlformats.org/officeDocument/2006/relationships/hyperlink" Target="https://www.cve.org/CVERecord?id=CVE-2025-28382" TargetMode="External"/><Relationship Id="rId14" Type="http://schemas.openxmlformats.org/officeDocument/2006/relationships/hyperlink" Target="https://www.cve.org/CVERecord?id=CVE-2025-28381" TargetMode="External"/><Relationship Id="rId58" Type="http://schemas.openxmlformats.org/officeDocument/2006/relationships/drawing" Target="../drawings/drawing5.xml"/><Relationship Id="rId17" Type="http://schemas.openxmlformats.org/officeDocument/2006/relationships/hyperlink" Target="https://www.cve.org/CVERecord?id=CVE-2025-28386" TargetMode="External"/><Relationship Id="rId16" Type="http://schemas.openxmlformats.org/officeDocument/2006/relationships/hyperlink" Target="https://www.cve.org/CVERecord?id=CVE-2025-28384" TargetMode="External"/><Relationship Id="rId19" Type="http://schemas.openxmlformats.org/officeDocument/2006/relationships/hyperlink" Target="https://www.cve.org/CVERecord?id=CVE-2025-28389" TargetMode="External"/><Relationship Id="rId18" Type="http://schemas.openxmlformats.org/officeDocument/2006/relationships/hyperlink" Target="https://www.cve.org/CVERecord?id=CVE-2025-2838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fitToPage="1"/>
  </sheetPr>
  <sheetViews>
    <sheetView showGridLines="0" workbookViewId="0"/>
  </sheetViews>
  <sheetFormatPr customHeight="1" defaultColWidth="14.43" defaultRowHeight="15.0"/>
  <cols>
    <col customWidth="1" min="1" max="1" width="20.0"/>
    <col customWidth="1" min="2" max="2" width="150.0"/>
    <col customWidth="1" min="3" max="6" width="8.71"/>
  </cols>
  <sheetData>
    <row r="1">
      <c r="A1" s="1" t="s">
        <v>0</v>
      </c>
    </row>
    <row r="2">
      <c r="A2" s="2" t="s">
        <v>4</v>
      </c>
    </row>
    <row r="4" ht="78.0" customHeight="1">
      <c r="A4" s="3" t="s">
        <v>8</v>
      </c>
      <c r="B4" s="5" t="s">
        <v>12</v>
      </c>
    </row>
    <row r="5" ht="78.0" customHeight="1">
      <c r="A5" s="3" t="s">
        <v>21</v>
      </c>
      <c r="B5" s="5" t="s">
        <v>25</v>
      </c>
    </row>
    <row r="6" ht="78.0" customHeight="1">
      <c r="A6" s="3" t="s">
        <v>28</v>
      </c>
      <c r="B6" s="5" t="s">
        <v>31</v>
      </c>
    </row>
    <row r="7" ht="51.75" customHeight="1">
      <c r="A7" s="3" t="s">
        <v>32</v>
      </c>
      <c r="B7" s="5" t="s">
        <v>33</v>
      </c>
    </row>
    <row r="8" ht="78.0" customHeight="1">
      <c r="A8" s="3" t="s">
        <v>34</v>
      </c>
      <c r="B8" s="5" t="s">
        <v>36</v>
      </c>
    </row>
    <row r="9" ht="78.0" customHeight="1">
      <c r="A9" s="3" t="s">
        <v>42</v>
      </c>
      <c r="B9" s="5" t="s">
        <v>48</v>
      </c>
    </row>
    <row r="10" ht="51.75" customHeight="1">
      <c r="A10" s="3" t="s">
        <v>53</v>
      </c>
      <c r="B10" s="5" t="s">
        <v>55</v>
      </c>
    </row>
    <row r="11" ht="51.75" customHeight="1">
      <c r="A11" s="3" t="s">
        <v>57</v>
      </c>
      <c r="B11" s="5" t="s">
        <v>58</v>
      </c>
    </row>
    <row r="12" ht="78.0" customHeight="1">
      <c r="A12" s="3" t="s">
        <v>60</v>
      </c>
      <c r="B12" s="5" t="s">
        <v>61</v>
      </c>
    </row>
    <row r="13">
      <c r="A13" s="3"/>
      <c r="B13" s="5"/>
    </row>
    <row r="14">
      <c r="A14" s="3" t="s">
        <v>62</v>
      </c>
    </row>
    <row r="15">
      <c r="A15" s="5" t="s">
        <v>63</v>
      </c>
      <c r="B15" s="11">
        <f>COUNTA(Catalogue!$A$5:$A$59)</f>
        <v>55</v>
      </c>
    </row>
    <row r="16">
      <c r="A16" s="5" t="s">
        <v>113</v>
      </c>
      <c r="B16" s="11">
        <f>Checks!C118</f>
        <v>112</v>
      </c>
    </row>
    <row r="17">
      <c r="A17" s="5" t="s">
        <v>129</v>
      </c>
      <c r="B17" s="11">
        <f>Checks!C119</f>
        <v>0</v>
      </c>
    </row>
    <row r="18">
      <c r="A18" s="5" t="s">
        <v>138</v>
      </c>
      <c r="B18" s="11">
        <f>COUNTIF(Catalogue!$AJ$5:$AJ$59,"High")+COUNTIF(Catalogue!$AJ$5:$AJ$59,"Critical")</f>
        <v>47</v>
      </c>
    </row>
    <row r="19">
      <c r="A19" s="5" t="s">
        <v>184</v>
      </c>
      <c r="B19" s="11">
        <f>COUNTIF(Catalogue!$AK$5:$AK$59,"High")+COUNTIF(Catalogue!$AK$5:$AK$59,"Critical")</f>
        <v>47</v>
      </c>
    </row>
    <row r="20">
      <c r="A20" s="5" t="s">
        <v>204</v>
      </c>
      <c r="B20" s="11">
        <f>COUNTA('CVE Register'!$B$5:$B$61)</f>
        <v>57</v>
      </c>
    </row>
    <row r="21" ht="15.75" customHeight="1">
      <c r="A21" s="5" t="s">
        <v>213</v>
      </c>
      <c r="B21" s="11">
        <f>COUNTIF(Catalogue!$AT$5:$AT$59,"&gt;0")</f>
        <v>12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7.0"/>
    <col customWidth="1" min="2" max="2" width="6.0"/>
    <col customWidth="1" min="3" max="3" width="26.0"/>
    <col customWidth="1" min="4" max="4" width="58.0"/>
    <col customWidth="1" min="5" max="5" width="30.0"/>
    <col customWidth="1" min="6" max="6" width="12.0"/>
    <col customWidth="1" min="7" max="7" width="14.0"/>
    <col customWidth="1" min="8" max="9" width="9.0"/>
    <col customWidth="1" min="10" max="10" width="34.0"/>
    <col customWidth="1" min="11" max="12" width="9.0"/>
    <col customWidth="1" min="13" max="13" width="7.0"/>
    <col customWidth="1" min="14" max="14" width="9.0"/>
    <col customWidth="1" min="15" max="15" width="7.0"/>
    <col customWidth="1" min="16" max="17" width="8.0"/>
    <col customWidth="1" min="18" max="18" width="6.0"/>
    <col customWidth="1" min="19" max="21" width="8.0"/>
    <col customWidth="1" min="22" max="22" width="11.0"/>
    <col customWidth="1" min="23" max="23" width="14.0"/>
    <col customWidth="1" min="24" max="24" width="9.0"/>
    <col customWidth="1" min="25" max="25" width="18.0"/>
    <col customWidth="1" min="26" max="27" width="7.0"/>
    <col customWidth="1" min="28" max="31" width="5.0"/>
    <col customWidth="1" min="32" max="35" width="7.0"/>
    <col customWidth="1" min="36" max="37" width="9.0"/>
    <col customWidth="1" min="38" max="38" width="36.0"/>
    <col customWidth="1" min="39" max="39" width="14.0"/>
    <col customWidth="1" min="40" max="40" width="18.0"/>
    <col customWidth="1" min="41" max="41" width="12.0"/>
    <col customWidth="1" min="42" max="42" width="36.0"/>
    <col customWidth="1" min="43" max="43" width="32.0"/>
    <col customWidth="1" min="44" max="44" width="10.0"/>
    <col customWidth="1" min="45" max="45" width="22.0"/>
    <col customWidth="1" min="46" max="46" width="10.0"/>
    <col customWidth="1" min="47" max="47" width="40.0"/>
    <col customWidth="1" min="48" max="48" width="72.0"/>
  </cols>
  <sheetData>
    <row r="1">
      <c r="A1" s="1" t="s">
        <v>3</v>
      </c>
    </row>
    <row r="2">
      <c r="A2" s="2" t="s">
        <v>5</v>
      </c>
    </row>
    <row r="3" ht="21.75" customHeight="1">
      <c r="A3" s="6" t="s">
        <v>9</v>
      </c>
      <c r="B3" s="7"/>
      <c r="C3" s="7"/>
      <c r="D3" s="7"/>
      <c r="E3" s="7"/>
      <c r="F3" s="7"/>
      <c r="G3" s="9"/>
      <c r="H3" s="6" t="s">
        <v>39</v>
      </c>
      <c r="I3" s="7"/>
      <c r="J3" s="7"/>
      <c r="K3" s="9"/>
      <c r="L3" s="6" t="s">
        <v>56</v>
      </c>
      <c r="M3" s="7"/>
      <c r="N3" s="7"/>
      <c r="O3" s="7"/>
      <c r="P3" s="7"/>
      <c r="Q3" s="7"/>
      <c r="R3" s="7"/>
      <c r="S3" s="9"/>
      <c r="T3" s="6" t="s">
        <v>64</v>
      </c>
      <c r="U3" s="7"/>
      <c r="V3" s="7"/>
      <c r="W3" s="7"/>
      <c r="X3" s="7"/>
      <c r="Y3" s="9"/>
      <c r="Z3" s="6" t="s">
        <v>72</v>
      </c>
      <c r="AA3" s="9"/>
      <c r="AB3" s="6" t="s">
        <v>79</v>
      </c>
      <c r="AC3" s="7"/>
      <c r="AD3" s="7"/>
      <c r="AE3" s="7"/>
      <c r="AF3" s="7"/>
      <c r="AG3" s="7"/>
      <c r="AH3" s="7"/>
      <c r="AI3" s="7"/>
      <c r="AJ3" s="7"/>
      <c r="AK3" s="9"/>
      <c r="AL3" s="6" t="s">
        <v>98</v>
      </c>
      <c r="AM3" s="7"/>
      <c r="AN3" s="9"/>
      <c r="AO3" s="6" t="s">
        <v>105</v>
      </c>
      <c r="AP3" s="7"/>
      <c r="AQ3" s="7"/>
      <c r="AR3" s="7"/>
      <c r="AS3" s="9"/>
      <c r="AT3" s="6" t="s">
        <v>114</v>
      </c>
      <c r="AU3" s="7"/>
      <c r="AV3" s="9"/>
    </row>
    <row r="4" ht="54.0" customHeight="1">
      <c r="A4" s="4" t="s">
        <v>122</v>
      </c>
      <c r="B4" s="4" t="s">
        <v>124</v>
      </c>
      <c r="C4" s="4" t="s">
        <v>10</v>
      </c>
      <c r="D4" s="4" t="s">
        <v>130</v>
      </c>
      <c r="E4" s="4" t="s">
        <v>131</v>
      </c>
      <c r="F4" s="4" t="s">
        <v>132</v>
      </c>
      <c r="G4" s="4" t="s">
        <v>133</v>
      </c>
      <c r="H4" s="4" t="s">
        <v>134</v>
      </c>
      <c r="I4" s="4" t="s">
        <v>135</v>
      </c>
      <c r="J4" s="4" t="s">
        <v>136</v>
      </c>
      <c r="K4" s="4" t="s">
        <v>137</v>
      </c>
      <c r="L4" s="4" t="s">
        <v>139</v>
      </c>
      <c r="M4" s="4" t="s">
        <v>23</v>
      </c>
      <c r="N4" s="4" t="s">
        <v>67</v>
      </c>
      <c r="O4" s="4" t="s">
        <v>140</v>
      </c>
      <c r="P4" s="4" t="s">
        <v>74</v>
      </c>
      <c r="Q4" s="4" t="s">
        <v>141</v>
      </c>
      <c r="R4" s="4" t="s">
        <v>144</v>
      </c>
      <c r="S4" s="4" t="s">
        <v>145</v>
      </c>
      <c r="T4" s="4" t="s">
        <v>146</v>
      </c>
      <c r="U4" s="4" t="s">
        <v>148</v>
      </c>
      <c r="V4" s="4" t="s">
        <v>151</v>
      </c>
      <c r="W4" s="4" t="s">
        <v>153</v>
      </c>
      <c r="X4" s="4" t="s">
        <v>156</v>
      </c>
      <c r="Y4" s="4" t="s">
        <v>160</v>
      </c>
      <c r="Z4" s="4" t="s">
        <v>161</v>
      </c>
      <c r="AA4" s="4" t="s">
        <v>162</v>
      </c>
      <c r="AB4" s="4" t="s">
        <v>45</v>
      </c>
      <c r="AC4" s="4" t="s">
        <v>165</v>
      </c>
      <c r="AD4" s="4" t="s">
        <v>37</v>
      </c>
      <c r="AE4" s="4" t="s">
        <v>169</v>
      </c>
      <c r="AF4" s="4" t="s">
        <v>171</v>
      </c>
      <c r="AG4" s="4" t="s">
        <v>172</v>
      </c>
      <c r="AH4" s="4" t="s">
        <v>174</v>
      </c>
      <c r="AI4" s="4" t="s">
        <v>176</v>
      </c>
      <c r="AJ4" s="4" t="s">
        <v>179</v>
      </c>
      <c r="AK4" s="4" t="s">
        <v>181</v>
      </c>
      <c r="AL4" s="4" t="s">
        <v>182</v>
      </c>
      <c r="AM4" s="4" t="s">
        <v>183</v>
      </c>
      <c r="AN4" s="4" t="s">
        <v>188</v>
      </c>
      <c r="AO4" s="4" t="s">
        <v>191</v>
      </c>
      <c r="AP4" s="4" t="s">
        <v>193</v>
      </c>
      <c r="AQ4" s="4" t="s">
        <v>194</v>
      </c>
      <c r="AR4" s="4" t="s">
        <v>195</v>
      </c>
      <c r="AS4" s="4" t="s">
        <v>196</v>
      </c>
      <c r="AT4" s="4" t="s">
        <v>197</v>
      </c>
      <c r="AU4" s="4" t="s">
        <v>198</v>
      </c>
      <c r="AV4" s="4" t="s">
        <v>203</v>
      </c>
    </row>
    <row r="5" ht="78.0" customHeight="1">
      <c r="A5" s="18" t="s">
        <v>35</v>
      </c>
      <c r="B5" s="19" t="s">
        <v>82</v>
      </c>
      <c r="C5" s="20" t="s">
        <v>217</v>
      </c>
      <c r="D5" s="5" t="s">
        <v>220</v>
      </c>
      <c r="E5" s="5" t="s">
        <v>221</v>
      </c>
      <c r="F5" s="21" t="s">
        <v>222</v>
      </c>
      <c r="G5" s="5" t="s">
        <v>226</v>
      </c>
      <c r="H5" s="10" t="s">
        <v>227</v>
      </c>
      <c r="I5" s="10" t="s">
        <v>228</v>
      </c>
      <c r="J5" s="5" t="s">
        <v>229</v>
      </c>
      <c r="K5" s="10"/>
      <c r="L5" s="10" t="s">
        <v>234</v>
      </c>
      <c r="M5" s="10" t="s">
        <v>65</v>
      </c>
      <c r="N5" s="10"/>
      <c r="O5" s="10"/>
      <c r="P5" s="10" t="s">
        <v>246</v>
      </c>
      <c r="Q5" s="10"/>
      <c r="R5" s="21">
        <f t="shared" ref="R5:R59" si="1">COUNTIF(N5:Q5,"Y")</f>
        <v>1</v>
      </c>
      <c r="S5" s="10" t="s">
        <v>260</v>
      </c>
      <c r="T5" s="21" t="str">
        <f>IF(COUNTIFS(Binding!$A$5:$A$108,A5,Binding!$C$5:$C$108,"Attack")=0,"P","E"&amp;MAXIFS(Binding!$J$5:$J$108,Binding!$A$5:$A$108,A5,Binding!$C$5:$C$108,"Attack"))</f>
        <v>E2</v>
      </c>
      <c r="U5" s="10" t="s">
        <v>298</v>
      </c>
      <c r="V5" s="21" t="str">
        <f>IF(T5="P","",IF(COUNTIFS(Binding!$A$5:$A$108,A5,Binding!$C$5:$C$108,"Attack",Binding!$J$5:$J$108,MAXIFS(Binding!$J$5:$J$108,Binding!$A$5:$A$108,A5,Binding!$C$5:$C$108,"Attack"),Binding!$H$5:$H$108,"Yes")=0,"Yes","No"))</f>
        <v>No</v>
      </c>
      <c r="W5" s="5" t="s">
        <v>330</v>
      </c>
      <c r="X5" s="5"/>
      <c r="Y5" s="5" t="s">
        <v>116</v>
      </c>
      <c r="Z5" s="10">
        <v>2.0</v>
      </c>
      <c r="AA5" s="10">
        <v>3.0</v>
      </c>
      <c r="AB5" s="21">
        <f>IF(S5="Enabler","",MAX(IF(N5="Y",Rubric!$I$5,0),IF(P5="Y",Rubric!$I$6,0),IF(O5="Y",IF(AE5&gt;=3,Rubric!$I$7,Rubric!$I$8),0),IF(Q5="Y",Rubric!$I$9,0)))</f>
        <v>4</v>
      </c>
      <c r="AC5" s="21">
        <f t="array" ref="AC5">MAX(1,INDEX(Rubric!$B$5:$B$9,MATCH(T5,Rubric!$A$5:$A$9,0))-IF(AND(U5="Y",T5&lt;&gt;"P"),Rubric!$I$11,0))</f>
        <v>4</v>
      </c>
      <c r="AD5" s="21">
        <f t="array" ref="AD5">INDEX(Rubric!$E$5:$E$9,MATCH(M5,Rubric!$D$5:$D$9,0))</f>
        <v>5</v>
      </c>
      <c r="AE5" s="10">
        <v>2.0</v>
      </c>
      <c r="AF5" s="10">
        <v>3.0</v>
      </c>
      <c r="AG5" s="10">
        <v>3.0</v>
      </c>
      <c r="AH5" s="21">
        <f t="shared" ref="AH5:AH59" si="2">IF(S5="Enabler","",AB5+AC5+AD5+AE5+AF5)</f>
        <v>18</v>
      </c>
      <c r="AI5" s="21">
        <f t="shared" ref="AI5:AI59" si="3">IF(S5="Enabler","",AB5+AC5+AD5+AE5+AG5)</f>
        <v>18</v>
      </c>
      <c r="AJ5" s="21" t="str">
        <f t="array" ref="AJ5">IF(AH5="","",INDEX(Rubric!$M$5:$M$8,MATCH(AH5,Rubric!$L$5:$L$8,1)))</f>
        <v>High</v>
      </c>
      <c r="AK5" s="21" t="str">
        <f t="array" ref="AK5">IF(AI5="","",INDEX(Rubric!$M$5:$M$8,MATCH(AI5,Rubric!$L$5:$L$8,1)))</f>
        <v>High</v>
      </c>
      <c r="AL5" s="5" t="s">
        <v>568</v>
      </c>
      <c r="AM5" s="5" t="s">
        <v>572</v>
      </c>
      <c r="AN5" s="5"/>
      <c r="AO5" s="21" t="s">
        <v>576</v>
      </c>
      <c r="AP5" s="5" t="s">
        <v>578</v>
      </c>
      <c r="AQ5" s="5" t="s">
        <v>580</v>
      </c>
      <c r="AR5" s="21" t="s">
        <v>583</v>
      </c>
      <c r="AS5" s="5" t="s">
        <v>587</v>
      </c>
      <c r="AT5" s="21">
        <f>COUNTIF('CVE Register'!$X$5:$X$61,"*"&amp;A5&amp;"*")</f>
        <v>0</v>
      </c>
      <c r="AU5" s="25" t="s">
        <v>599</v>
      </c>
      <c r="AV5" s="5" t="s">
        <v>609</v>
      </c>
    </row>
    <row r="6" ht="78.0" customHeight="1">
      <c r="A6" s="18" t="s">
        <v>128</v>
      </c>
      <c r="B6" s="19" t="s">
        <v>82</v>
      </c>
      <c r="C6" s="20" t="s">
        <v>614</v>
      </c>
      <c r="D6" s="5" t="s">
        <v>616</v>
      </c>
      <c r="E6" s="5" t="s">
        <v>619</v>
      </c>
      <c r="F6" s="21" t="s">
        <v>222</v>
      </c>
      <c r="G6" s="5" t="s">
        <v>226</v>
      </c>
      <c r="H6" s="10" t="s">
        <v>227</v>
      </c>
      <c r="I6" s="10" t="s">
        <v>228</v>
      </c>
      <c r="J6" s="5" t="s">
        <v>229</v>
      </c>
      <c r="K6" s="10"/>
      <c r="L6" s="10" t="s">
        <v>234</v>
      </c>
      <c r="M6" s="10" t="s">
        <v>65</v>
      </c>
      <c r="N6" s="10"/>
      <c r="O6" s="10"/>
      <c r="P6" s="10" t="s">
        <v>246</v>
      </c>
      <c r="Q6" s="10"/>
      <c r="R6" s="21">
        <f t="shared" si="1"/>
        <v>1</v>
      </c>
      <c r="S6" s="10" t="s">
        <v>260</v>
      </c>
      <c r="T6" s="21" t="str">
        <f>IF(COUNTIFS(Binding!$A$5:$A$108,A6,Binding!$C$5:$C$108,"Attack")=0,"P","E"&amp;MAXIFS(Binding!$J$5:$J$108,Binding!$A$5:$A$108,A6,Binding!$C$5:$C$108,"Attack"))</f>
        <v>E2</v>
      </c>
      <c r="U6" s="10" t="s">
        <v>298</v>
      </c>
      <c r="V6" s="21" t="str">
        <f>IF(T6="P","",IF(COUNTIFS(Binding!$A$5:$A$108,A6,Binding!$C$5:$C$108,"Attack",Binding!$J$5:$J$108,MAXIFS(Binding!$J$5:$J$108,Binding!$A$5:$A$108,A6,Binding!$C$5:$C$108,"Attack"),Binding!$H$5:$H$108,"Yes")=0,"Yes","No"))</f>
        <v>No</v>
      </c>
      <c r="W6" s="5" t="s">
        <v>645</v>
      </c>
      <c r="X6" s="5"/>
      <c r="Y6" s="5" t="s">
        <v>87</v>
      </c>
      <c r="Z6" s="10">
        <v>2.0</v>
      </c>
      <c r="AA6" s="10">
        <v>3.0</v>
      </c>
      <c r="AB6" s="21">
        <f>IF(S6="Enabler","",MAX(IF(N6="Y",Rubric!$I$5,0),IF(P6="Y",Rubric!$I$6,0),IF(O6="Y",IF(AE6&gt;=3,Rubric!$I$7,Rubric!$I$8),0),IF(Q6="Y",Rubric!$I$9,0)))</f>
        <v>4</v>
      </c>
      <c r="AC6" s="21">
        <f t="array" ref="AC6">MAX(1,INDEX(Rubric!$B$5:$B$9,MATCH(T6,Rubric!$A$5:$A$9,0))-IF(AND(U6="Y",T6&lt;&gt;"P"),Rubric!$I$11,0))</f>
        <v>4</v>
      </c>
      <c r="AD6" s="21">
        <f t="array" ref="AD6">INDEX(Rubric!$E$5:$E$9,MATCH(M6,Rubric!$D$5:$D$9,0))</f>
        <v>5</v>
      </c>
      <c r="AE6" s="10">
        <v>2.0</v>
      </c>
      <c r="AF6" s="10">
        <v>3.0</v>
      </c>
      <c r="AG6" s="10">
        <v>3.0</v>
      </c>
      <c r="AH6" s="21">
        <f t="shared" si="2"/>
        <v>18</v>
      </c>
      <c r="AI6" s="21">
        <f t="shared" si="3"/>
        <v>18</v>
      </c>
      <c r="AJ6" s="21" t="str">
        <f t="array" ref="AJ6">IF(AH6="","",INDEX(Rubric!$M$5:$M$8,MATCH(AH6,Rubric!$L$5:$L$8,1)))</f>
        <v>High</v>
      </c>
      <c r="AK6" s="21" t="str">
        <f t="array" ref="AK6">IF(AI6="","",INDEX(Rubric!$M$5:$M$8,MATCH(AI6,Rubric!$L$5:$L$8,1)))</f>
        <v>High</v>
      </c>
      <c r="AL6" s="5" t="s">
        <v>710</v>
      </c>
      <c r="AM6" s="5" t="s">
        <v>572</v>
      </c>
      <c r="AN6" s="5"/>
      <c r="AO6" s="21" t="s">
        <v>576</v>
      </c>
      <c r="AP6" s="5" t="s">
        <v>712</v>
      </c>
      <c r="AQ6" s="5" t="s">
        <v>580</v>
      </c>
      <c r="AR6" s="21" t="s">
        <v>583</v>
      </c>
      <c r="AS6" s="5" t="s">
        <v>587</v>
      </c>
      <c r="AT6" s="21">
        <f>COUNTIF('CVE Register'!$X$5:$X$61,"*"&amp;A6&amp;"*")</f>
        <v>0</v>
      </c>
      <c r="AU6" s="25" t="s">
        <v>599</v>
      </c>
      <c r="AV6" s="5" t="s">
        <v>609</v>
      </c>
    </row>
    <row r="7" ht="78.0" customHeight="1">
      <c r="A7" s="18" t="s">
        <v>152</v>
      </c>
      <c r="B7" s="19" t="s">
        <v>82</v>
      </c>
      <c r="C7" s="20" t="s">
        <v>721</v>
      </c>
      <c r="D7" s="5" t="s">
        <v>722</v>
      </c>
      <c r="E7" s="5" t="s">
        <v>723</v>
      </c>
      <c r="F7" s="21" t="s">
        <v>222</v>
      </c>
      <c r="G7" s="5" t="s">
        <v>226</v>
      </c>
      <c r="H7" s="10" t="s">
        <v>227</v>
      </c>
      <c r="I7" s="10" t="s">
        <v>228</v>
      </c>
      <c r="J7" s="5" t="s">
        <v>229</v>
      </c>
      <c r="K7" s="10" t="s">
        <v>728</v>
      </c>
      <c r="L7" s="10" t="s">
        <v>730</v>
      </c>
      <c r="M7" s="10" t="s">
        <v>71</v>
      </c>
      <c r="N7" s="10" t="s">
        <v>246</v>
      </c>
      <c r="O7" s="10"/>
      <c r="P7" s="10" t="s">
        <v>246</v>
      </c>
      <c r="Q7" s="10"/>
      <c r="R7" s="21">
        <f t="shared" si="1"/>
        <v>2</v>
      </c>
      <c r="S7" s="10" t="s">
        <v>260</v>
      </c>
      <c r="T7" s="21" t="str">
        <f>IF(COUNTIFS(Binding!$A$5:$A$108,A7,Binding!$C$5:$C$108,"Attack")=0,"P","E"&amp;MAXIFS(Binding!$J$5:$J$108,Binding!$A$5:$A$108,A7,Binding!$C$5:$C$108,"Attack"))</f>
        <v>E3</v>
      </c>
      <c r="U7" s="10" t="s">
        <v>298</v>
      </c>
      <c r="V7" s="21" t="str">
        <f>IF(T7="P","",IF(COUNTIFS(Binding!$A$5:$A$108,A7,Binding!$C$5:$C$108,"Attack",Binding!$J$5:$J$108,MAXIFS(Binding!$J$5:$J$108,Binding!$A$5:$A$108,A7,Binding!$C$5:$C$108,"Attack"),Binding!$H$5:$H$108,"Yes")=0,"Yes","No"))</f>
        <v>Yes</v>
      </c>
      <c r="W7" s="5" t="s">
        <v>760</v>
      </c>
      <c r="X7" s="5"/>
      <c r="Y7" s="5" t="s">
        <v>763</v>
      </c>
      <c r="Z7" s="10">
        <v>2.0</v>
      </c>
      <c r="AA7" s="10">
        <v>3.0</v>
      </c>
      <c r="AB7" s="21">
        <f>IF(S7="Enabler","",MAX(IF(N7="Y",Rubric!$I$5,0),IF(P7="Y",Rubric!$I$6,0),IF(O7="Y",IF(AE7&gt;=3,Rubric!$I$7,Rubric!$I$8),0),IF(Q7="Y",Rubric!$I$9,0)))</f>
        <v>5</v>
      </c>
      <c r="AC7" s="21">
        <f t="array" ref="AC7">MAX(1,INDEX(Rubric!$B$5:$B$9,MATCH(T7,Rubric!$A$5:$A$9,0))-IF(AND(U7="Y",T7&lt;&gt;"P"),Rubric!$I$11,0))</f>
        <v>5</v>
      </c>
      <c r="AD7" s="21">
        <f t="array" ref="AD7">INDEX(Rubric!$E$5:$E$9,MATCH(M7,Rubric!$D$5:$D$9,0))</f>
        <v>4</v>
      </c>
      <c r="AE7" s="10">
        <v>1.0</v>
      </c>
      <c r="AF7" s="10">
        <v>3.0</v>
      </c>
      <c r="AG7" s="10">
        <v>3.0</v>
      </c>
      <c r="AH7" s="21">
        <f t="shared" si="2"/>
        <v>18</v>
      </c>
      <c r="AI7" s="21">
        <f t="shared" si="3"/>
        <v>18</v>
      </c>
      <c r="AJ7" s="21" t="str">
        <f t="array" ref="AJ7">IF(AH7="","",INDEX(Rubric!$M$5:$M$8,MATCH(AH7,Rubric!$L$5:$L$8,1)))</f>
        <v>High</v>
      </c>
      <c r="AK7" s="21" t="str">
        <f t="array" ref="AK7">IF(AI7="","",INDEX(Rubric!$M$5:$M$8,MATCH(AI7,Rubric!$L$5:$L$8,1)))</f>
        <v>High</v>
      </c>
      <c r="AL7" s="5" t="s">
        <v>866</v>
      </c>
      <c r="AM7" s="5" t="s">
        <v>869</v>
      </c>
      <c r="AN7" s="5" t="s">
        <v>871</v>
      </c>
      <c r="AO7" s="21" t="s">
        <v>576</v>
      </c>
      <c r="AP7" s="5" t="s">
        <v>872</v>
      </c>
      <c r="AQ7" s="5" t="s">
        <v>873</v>
      </c>
      <c r="AR7" s="21" t="s">
        <v>583</v>
      </c>
      <c r="AS7" s="5" t="s">
        <v>587</v>
      </c>
      <c r="AT7" s="21">
        <f>COUNTIF('CVE Register'!$X$5:$X$61,"*"&amp;A7&amp;"*")</f>
        <v>0</v>
      </c>
      <c r="AU7" s="25" t="s">
        <v>599</v>
      </c>
      <c r="AV7" s="5" t="s">
        <v>609</v>
      </c>
    </row>
    <row r="8" ht="78.0" customHeight="1">
      <c r="A8" s="18" t="s">
        <v>189</v>
      </c>
      <c r="B8" s="19" t="s">
        <v>82</v>
      </c>
      <c r="C8" s="20" t="s">
        <v>883</v>
      </c>
      <c r="D8" s="5" t="s">
        <v>884</v>
      </c>
      <c r="E8" s="5" t="s">
        <v>885</v>
      </c>
      <c r="F8" s="21" t="s">
        <v>726</v>
      </c>
      <c r="G8" s="5" t="s">
        <v>226</v>
      </c>
      <c r="H8" s="10" t="s">
        <v>45</v>
      </c>
      <c r="I8" s="10"/>
      <c r="J8" s="5" t="s">
        <v>229</v>
      </c>
      <c r="K8" s="10"/>
      <c r="L8" s="10" t="s">
        <v>234</v>
      </c>
      <c r="M8" s="10" t="s">
        <v>65</v>
      </c>
      <c r="N8" s="10"/>
      <c r="O8" s="10" t="s">
        <v>246</v>
      </c>
      <c r="P8" s="10"/>
      <c r="Q8" s="10"/>
      <c r="R8" s="21">
        <f t="shared" si="1"/>
        <v>1</v>
      </c>
      <c r="S8" s="10" t="s">
        <v>260</v>
      </c>
      <c r="T8" s="21" t="str">
        <f>IF(COUNTIFS(Binding!$A$5:$A$108,A8,Binding!$C$5:$C$108,"Attack")=0,"P","E"&amp;MAXIFS(Binding!$J$5:$J$108,Binding!$A$5:$A$108,A8,Binding!$C$5:$C$108,"Attack"))</f>
        <v>E2</v>
      </c>
      <c r="U8" s="10" t="s">
        <v>298</v>
      </c>
      <c r="V8" s="21" t="str">
        <f>IF(T8="P","",IF(COUNTIFS(Binding!$A$5:$A$108,A8,Binding!$C$5:$C$108,"Attack",Binding!$J$5:$J$108,MAXIFS(Binding!$J$5:$J$108,Binding!$A$5:$A$108,A8,Binding!$C$5:$C$108,"Attack"),Binding!$H$5:$H$108,"Yes")=0,"Yes","No"))</f>
        <v>No</v>
      </c>
      <c r="W8" s="5" t="s">
        <v>920</v>
      </c>
      <c r="X8" s="5"/>
      <c r="Y8" s="5" t="s">
        <v>116</v>
      </c>
      <c r="Z8" s="10">
        <v>2.0</v>
      </c>
      <c r="AA8" s="10">
        <v>3.0</v>
      </c>
      <c r="AB8" s="21">
        <f>IF(S8="Enabler","",MAX(IF(N8="Y",Rubric!$I$5,0),IF(P8="Y",Rubric!$I$6,0),IF(O8="Y",IF(AE8&gt;=3,Rubric!$I$7,Rubric!$I$8),0),IF(Q8="Y",Rubric!$I$9,0)))</f>
        <v>3</v>
      </c>
      <c r="AC8" s="21">
        <f t="array" ref="AC8">MAX(1,INDEX(Rubric!$B$5:$B$9,MATCH(T8,Rubric!$A$5:$A$9,0))-IF(AND(U8="Y",T8&lt;&gt;"P"),Rubric!$I$11,0))</f>
        <v>4</v>
      </c>
      <c r="AD8" s="21">
        <f t="array" ref="AD8">INDEX(Rubric!$E$5:$E$9,MATCH(M8,Rubric!$D$5:$D$9,0))</f>
        <v>5</v>
      </c>
      <c r="AE8" s="10">
        <v>3.0</v>
      </c>
      <c r="AF8" s="10">
        <v>1.0</v>
      </c>
      <c r="AG8" s="10">
        <v>1.0</v>
      </c>
      <c r="AH8" s="21">
        <f t="shared" si="2"/>
        <v>16</v>
      </c>
      <c r="AI8" s="21">
        <f t="shared" si="3"/>
        <v>16</v>
      </c>
      <c r="AJ8" s="21" t="str">
        <f t="array" ref="AJ8">IF(AH8="","",INDEX(Rubric!$M$5:$M$8,MATCH(AH8,Rubric!$L$5:$L$8,1)))</f>
        <v>High</v>
      </c>
      <c r="AK8" s="21" t="str">
        <f t="array" ref="AK8">IF(AI8="","",INDEX(Rubric!$M$5:$M$8,MATCH(AI8,Rubric!$L$5:$L$8,1)))</f>
        <v>High</v>
      </c>
      <c r="AL8" s="5" t="s">
        <v>974</v>
      </c>
      <c r="AM8" s="5" t="s">
        <v>975</v>
      </c>
      <c r="AN8" s="5"/>
      <c r="AO8" s="21"/>
      <c r="AP8" s="5" t="s">
        <v>977</v>
      </c>
      <c r="AQ8" s="5" t="s">
        <v>978</v>
      </c>
      <c r="AR8" s="21" t="s">
        <v>583</v>
      </c>
      <c r="AS8" s="5" t="s">
        <v>587</v>
      </c>
      <c r="AT8" s="21">
        <f>COUNTIF('CVE Register'!$X$5:$X$61,"*"&amp;A8&amp;"*")</f>
        <v>0</v>
      </c>
      <c r="AU8" s="25" t="s">
        <v>599</v>
      </c>
      <c r="AV8" s="5" t="s">
        <v>736</v>
      </c>
    </row>
    <row r="9" ht="78.0" customHeight="1">
      <c r="A9" s="18" t="s">
        <v>199</v>
      </c>
      <c r="B9" s="19" t="s">
        <v>82</v>
      </c>
      <c r="C9" s="20" t="s">
        <v>985</v>
      </c>
      <c r="D9" s="5" t="s">
        <v>986</v>
      </c>
      <c r="E9" s="5" t="s">
        <v>988</v>
      </c>
      <c r="F9" s="21" t="s">
        <v>222</v>
      </c>
      <c r="G9" s="5" t="s">
        <v>226</v>
      </c>
      <c r="H9" s="10" t="s">
        <v>227</v>
      </c>
      <c r="I9" s="10" t="s">
        <v>228</v>
      </c>
      <c r="J9" s="5" t="s">
        <v>989</v>
      </c>
      <c r="K9" s="10" t="s">
        <v>990</v>
      </c>
      <c r="L9" s="10" t="s">
        <v>991</v>
      </c>
      <c r="M9" s="10" t="s">
        <v>78</v>
      </c>
      <c r="N9" s="10"/>
      <c r="O9" s="10"/>
      <c r="P9" s="10" t="s">
        <v>246</v>
      </c>
      <c r="Q9" s="10"/>
      <c r="R9" s="21">
        <f t="shared" si="1"/>
        <v>1</v>
      </c>
      <c r="S9" s="10" t="s">
        <v>260</v>
      </c>
      <c r="T9" s="21" t="str">
        <f>IF(COUNTIFS(Binding!$A$5:$A$108,A9,Binding!$C$5:$C$108,"Attack")=0,"P","E"&amp;MAXIFS(Binding!$J$5:$J$108,Binding!$A$5:$A$108,A9,Binding!$C$5:$C$108,"Attack"))</f>
        <v>E2</v>
      </c>
      <c r="U9" s="10" t="s">
        <v>246</v>
      </c>
      <c r="V9" s="21" t="str">
        <f>IF(T9="P","",IF(COUNTIFS(Binding!$A$5:$A$108,A9,Binding!$C$5:$C$108,"Attack",Binding!$J$5:$J$108,MAXIFS(Binding!$J$5:$J$108,Binding!$A$5:$A$108,A9,Binding!$C$5:$C$108,"Attack"),Binding!$H$5:$H$108,"Yes")=0,"Yes","No"))</f>
        <v>No</v>
      </c>
      <c r="W9" s="5" t="s">
        <v>1004</v>
      </c>
      <c r="X9" s="5"/>
      <c r="Y9" s="5" t="s">
        <v>206</v>
      </c>
      <c r="Z9" s="10">
        <v>2.0</v>
      </c>
      <c r="AA9" s="10">
        <v>3.0</v>
      </c>
      <c r="AB9" s="21">
        <f>IF(S9="Enabler","",MAX(IF(N9="Y",Rubric!$I$5,0),IF(P9="Y",Rubric!$I$6,0),IF(O9="Y",IF(AE9&gt;=3,Rubric!$I$7,Rubric!$I$8),0),IF(Q9="Y",Rubric!$I$9,0)))</f>
        <v>4</v>
      </c>
      <c r="AC9" s="21">
        <f t="array" ref="AC9">MAX(1,INDEX(Rubric!$B$5:$B$9,MATCH(T9,Rubric!$A$5:$A$9,0))-IF(AND(U9="Y",T9&lt;&gt;"P"),Rubric!$I$11,0))</f>
        <v>3</v>
      </c>
      <c r="AD9" s="21">
        <f t="array" ref="AD9">INDEX(Rubric!$E$5:$E$9,MATCH(M9,Rubric!$D$5:$D$9,0))</f>
        <v>3</v>
      </c>
      <c r="AE9" s="10">
        <v>2.0</v>
      </c>
      <c r="AF9" s="10">
        <v>3.0</v>
      </c>
      <c r="AG9" s="10">
        <v>5.0</v>
      </c>
      <c r="AH9" s="21">
        <f t="shared" si="2"/>
        <v>15</v>
      </c>
      <c r="AI9" s="21">
        <f t="shared" si="3"/>
        <v>17</v>
      </c>
      <c r="AJ9" s="21" t="str">
        <f t="array" ref="AJ9">IF(AH9="","",INDEX(Rubric!$M$5:$M$8,MATCH(AH9,Rubric!$L$5:$L$8,1)))</f>
        <v>High</v>
      </c>
      <c r="AK9" s="21" t="str">
        <f t="array" ref="AK9">IF(AI9="","",INDEX(Rubric!$M$5:$M$8,MATCH(AI9,Rubric!$L$5:$L$8,1)))</f>
        <v>High</v>
      </c>
      <c r="AL9" s="5" t="s">
        <v>1127</v>
      </c>
      <c r="AM9" s="5" t="s">
        <v>572</v>
      </c>
      <c r="AN9" s="5"/>
      <c r="AO9" s="21" t="s">
        <v>576</v>
      </c>
      <c r="AP9" s="5" t="s">
        <v>578</v>
      </c>
      <c r="AQ9" s="5" t="s">
        <v>873</v>
      </c>
      <c r="AR9" s="21" t="s">
        <v>583</v>
      </c>
      <c r="AS9" s="5" t="s">
        <v>587</v>
      </c>
      <c r="AT9" s="21">
        <f>COUNTIF('CVE Register'!$X$5:$X$61,"*"&amp;A9&amp;"*")</f>
        <v>0</v>
      </c>
      <c r="AU9" s="25" t="s">
        <v>599</v>
      </c>
      <c r="AV9" s="5" t="s">
        <v>609</v>
      </c>
    </row>
    <row r="10" ht="78.0" customHeight="1">
      <c r="A10" s="18" t="s">
        <v>216</v>
      </c>
      <c r="B10" s="19" t="s">
        <v>82</v>
      </c>
      <c r="C10" s="20" t="s">
        <v>1142</v>
      </c>
      <c r="D10" s="5" t="s">
        <v>1143</v>
      </c>
      <c r="E10" s="5" t="s">
        <v>1144</v>
      </c>
      <c r="F10" s="21" t="s">
        <v>222</v>
      </c>
      <c r="G10" s="5" t="s">
        <v>226</v>
      </c>
      <c r="H10" s="10" t="s">
        <v>227</v>
      </c>
      <c r="I10" s="10" t="s">
        <v>228</v>
      </c>
      <c r="J10" s="5" t="s">
        <v>1147</v>
      </c>
      <c r="K10" s="10" t="s">
        <v>990</v>
      </c>
      <c r="L10" s="10" t="s">
        <v>991</v>
      </c>
      <c r="M10" s="10" t="s">
        <v>78</v>
      </c>
      <c r="N10" s="10" t="s">
        <v>246</v>
      </c>
      <c r="O10" s="10"/>
      <c r="P10" s="10"/>
      <c r="Q10" s="10"/>
      <c r="R10" s="21">
        <f t="shared" si="1"/>
        <v>1</v>
      </c>
      <c r="S10" s="10" t="s">
        <v>260</v>
      </c>
      <c r="T10" s="21" t="str">
        <f>IF(COUNTIFS(Binding!$A$5:$A$108,A10,Binding!$C$5:$C$108,"Attack")=0,"P","E"&amp;MAXIFS(Binding!$J$5:$J$108,Binding!$A$5:$A$108,A10,Binding!$C$5:$C$108,"Attack"))</f>
        <v>E2</v>
      </c>
      <c r="U10" s="10" t="s">
        <v>246</v>
      </c>
      <c r="V10" s="21" t="str">
        <f>IF(T10="P","",IF(COUNTIFS(Binding!$A$5:$A$108,A10,Binding!$C$5:$C$108,"Attack",Binding!$J$5:$J$108,MAXIFS(Binding!$J$5:$J$108,Binding!$A$5:$A$108,A10,Binding!$C$5:$C$108,"Attack"),Binding!$H$5:$H$108,"Yes")=0,"Yes","No"))</f>
        <v>No</v>
      </c>
      <c r="W10" s="5" t="s">
        <v>1187</v>
      </c>
      <c r="X10" s="5"/>
      <c r="Y10" s="5" t="s">
        <v>206</v>
      </c>
      <c r="Z10" s="10">
        <v>2.0</v>
      </c>
      <c r="AA10" s="10">
        <v>3.0</v>
      </c>
      <c r="AB10" s="21">
        <f>IF(S10="Enabler","",MAX(IF(N10="Y",Rubric!$I$5,0),IF(P10="Y",Rubric!$I$6,0),IF(O10="Y",IF(AE10&gt;=3,Rubric!$I$7,Rubric!$I$8),0),IF(Q10="Y",Rubric!$I$9,0)))</f>
        <v>5</v>
      </c>
      <c r="AC10" s="21">
        <f t="array" ref="AC10">MAX(1,INDEX(Rubric!$B$5:$B$9,MATCH(T10,Rubric!$A$5:$A$9,0))-IF(AND(U10="Y",T10&lt;&gt;"P"),Rubric!$I$11,0))</f>
        <v>3</v>
      </c>
      <c r="AD10" s="21">
        <f t="array" ref="AD10">INDEX(Rubric!$E$5:$E$9,MATCH(M10,Rubric!$D$5:$D$9,0))</f>
        <v>3</v>
      </c>
      <c r="AE10" s="10">
        <v>2.0</v>
      </c>
      <c r="AF10" s="10">
        <v>3.0</v>
      </c>
      <c r="AG10" s="10">
        <v>5.0</v>
      </c>
      <c r="AH10" s="21">
        <f t="shared" si="2"/>
        <v>16</v>
      </c>
      <c r="AI10" s="21">
        <f t="shared" si="3"/>
        <v>18</v>
      </c>
      <c r="AJ10" s="21" t="str">
        <f t="array" ref="AJ10">IF(AH10="","",INDEX(Rubric!$M$5:$M$8,MATCH(AH10,Rubric!$L$5:$L$8,1)))</f>
        <v>High</v>
      </c>
      <c r="AK10" s="21" t="str">
        <f t="array" ref="AK10">IF(AI10="","",INDEX(Rubric!$M$5:$M$8,MATCH(AI10,Rubric!$L$5:$L$8,1)))</f>
        <v>High</v>
      </c>
      <c r="AL10" s="5" t="s">
        <v>1309</v>
      </c>
      <c r="AM10" s="5" t="s">
        <v>572</v>
      </c>
      <c r="AN10" s="5" t="s">
        <v>871</v>
      </c>
      <c r="AO10" s="21" t="s">
        <v>576</v>
      </c>
      <c r="AP10" s="5" t="s">
        <v>578</v>
      </c>
      <c r="AQ10" s="5" t="s">
        <v>873</v>
      </c>
      <c r="AR10" s="21" t="s">
        <v>583</v>
      </c>
      <c r="AS10" s="5" t="s">
        <v>587</v>
      </c>
      <c r="AT10" s="21">
        <f>COUNTIF('CVE Register'!$X$5:$X$61,"*"&amp;A10&amp;"*")</f>
        <v>0</v>
      </c>
      <c r="AU10" s="25" t="s">
        <v>599</v>
      </c>
      <c r="AV10" s="5" t="s">
        <v>609</v>
      </c>
    </row>
    <row r="11" ht="78.0" customHeight="1">
      <c r="A11" s="18" t="s">
        <v>225</v>
      </c>
      <c r="B11" s="19" t="s">
        <v>82</v>
      </c>
      <c r="C11" s="20" t="s">
        <v>1312</v>
      </c>
      <c r="D11" s="5" t="s">
        <v>1313</v>
      </c>
      <c r="E11" s="5" t="s">
        <v>1315</v>
      </c>
      <c r="F11" s="21" t="s">
        <v>726</v>
      </c>
      <c r="G11" s="5" t="s">
        <v>226</v>
      </c>
      <c r="H11" s="10" t="s">
        <v>45</v>
      </c>
      <c r="I11" s="10"/>
      <c r="J11" s="5" t="s">
        <v>229</v>
      </c>
      <c r="K11" s="10"/>
      <c r="L11" s="10" t="s">
        <v>234</v>
      </c>
      <c r="M11" s="10" t="s">
        <v>71</v>
      </c>
      <c r="N11" s="10"/>
      <c r="O11" s="10" t="s">
        <v>246</v>
      </c>
      <c r="P11" s="10"/>
      <c r="Q11" s="10"/>
      <c r="R11" s="21">
        <f t="shared" si="1"/>
        <v>1</v>
      </c>
      <c r="S11" s="10" t="s">
        <v>260</v>
      </c>
      <c r="T11" s="21" t="str">
        <f>IF(COUNTIFS(Binding!$A$5:$A$108,A11,Binding!$C$5:$C$108,"Attack")=0,"P","E"&amp;MAXIFS(Binding!$J$5:$J$108,Binding!$A$5:$A$108,A11,Binding!$C$5:$C$108,"Attack"))</f>
        <v>E2</v>
      </c>
      <c r="U11" s="10" t="s">
        <v>298</v>
      </c>
      <c r="V11" s="21" t="str">
        <f>IF(T11="P","",IF(COUNTIFS(Binding!$A$5:$A$108,A11,Binding!$C$5:$C$108,"Attack",Binding!$J$5:$J$108,MAXIFS(Binding!$J$5:$J$108,Binding!$A$5:$A$108,A11,Binding!$C$5:$C$108,"Attack"),Binding!$H$5:$H$108,"Yes")=0,"Yes","No"))</f>
        <v>No</v>
      </c>
      <c r="W11" s="5" t="s">
        <v>1323</v>
      </c>
      <c r="X11" s="5"/>
      <c r="Y11" s="5" t="s">
        <v>87</v>
      </c>
      <c r="Z11" s="10">
        <v>2.0</v>
      </c>
      <c r="AA11" s="10">
        <v>3.0</v>
      </c>
      <c r="AB11" s="21">
        <f>IF(S11="Enabler","",MAX(IF(N11="Y",Rubric!$I$5,0),IF(P11="Y",Rubric!$I$6,0),IF(O11="Y",IF(AE11&gt;=3,Rubric!$I$7,Rubric!$I$8),0),IF(Q11="Y",Rubric!$I$9,0)))</f>
        <v>2</v>
      </c>
      <c r="AC11" s="21">
        <f t="array" ref="AC11">MAX(1,INDEX(Rubric!$B$5:$B$9,MATCH(T11,Rubric!$A$5:$A$9,0))-IF(AND(U11="Y",T11&lt;&gt;"P"),Rubric!$I$11,0))</f>
        <v>4</v>
      </c>
      <c r="AD11" s="21">
        <f t="array" ref="AD11">INDEX(Rubric!$E$5:$E$9,MATCH(M11,Rubric!$D$5:$D$9,0))</f>
        <v>4</v>
      </c>
      <c r="AE11" s="10">
        <v>2.0</v>
      </c>
      <c r="AF11" s="10">
        <v>2.0</v>
      </c>
      <c r="AG11" s="10">
        <v>2.0</v>
      </c>
      <c r="AH11" s="21">
        <f t="shared" si="2"/>
        <v>14</v>
      </c>
      <c r="AI11" s="21">
        <f t="shared" si="3"/>
        <v>14</v>
      </c>
      <c r="AJ11" s="21" t="str">
        <f t="array" ref="AJ11">IF(AH11="","",INDEX(Rubric!$M$5:$M$8,MATCH(AH11,Rubric!$L$5:$L$8,1)))</f>
        <v>Medium</v>
      </c>
      <c r="AK11" s="21" t="str">
        <f t="array" ref="AK11">IF(AI11="","",INDEX(Rubric!$M$5:$M$8,MATCH(AI11,Rubric!$L$5:$L$8,1)))</f>
        <v>Medium</v>
      </c>
      <c r="AL11" s="5" t="s">
        <v>1324</v>
      </c>
      <c r="AM11" s="5" t="s">
        <v>572</v>
      </c>
      <c r="AN11" s="5"/>
      <c r="AO11" s="21"/>
      <c r="AP11" s="5" t="s">
        <v>1325</v>
      </c>
      <c r="AQ11" s="5" t="s">
        <v>978</v>
      </c>
      <c r="AR11" s="21" t="s">
        <v>583</v>
      </c>
      <c r="AS11" s="5" t="s">
        <v>587</v>
      </c>
      <c r="AT11" s="21">
        <f>COUNTIF('CVE Register'!$X$5:$X$61,"*"&amp;A11&amp;"*")</f>
        <v>0</v>
      </c>
      <c r="AU11" s="25" t="s">
        <v>599</v>
      </c>
      <c r="AV11" s="5" t="s">
        <v>736</v>
      </c>
    </row>
    <row r="12" ht="78.0" customHeight="1">
      <c r="A12" s="18" t="s">
        <v>237</v>
      </c>
      <c r="B12" s="19" t="s">
        <v>82</v>
      </c>
      <c r="C12" s="20" t="s">
        <v>1326</v>
      </c>
      <c r="D12" s="5" t="s">
        <v>1327</v>
      </c>
      <c r="E12" s="5" t="s">
        <v>1328</v>
      </c>
      <c r="F12" s="21" t="s">
        <v>222</v>
      </c>
      <c r="G12" s="5" t="s">
        <v>226</v>
      </c>
      <c r="H12" s="10" t="s">
        <v>45</v>
      </c>
      <c r="I12" s="10"/>
      <c r="J12" s="5" t="s">
        <v>229</v>
      </c>
      <c r="K12" s="10"/>
      <c r="L12" s="10" t="s">
        <v>234</v>
      </c>
      <c r="M12" s="10" t="s">
        <v>71</v>
      </c>
      <c r="N12" s="10"/>
      <c r="O12" s="10" t="s">
        <v>246</v>
      </c>
      <c r="P12" s="10"/>
      <c r="Q12" s="10"/>
      <c r="R12" s="21">
        <f t="shared" si="1"/>
        <v>1</v>
      </c>
      <c r="S12" s="10" t="s">
        <v>260</v>
      </c>
      <c r="T12" s="21" t="str">
        <f>IF(COUNTIFS(Binding!$A$5:$A$108,A12,Binding!$C$5:$C$108,"Attack")=0,"P","E"&amp;MAXIFS(Binding!$J$5:$J$108,Binding!$A$5:$A$108,A12,Binding!$C$5:$C$108,"Attack"))</f>
        <v>E1</v>
      </c>
      <c r="U12" s="10" t="s">
        <v>246</v>
      </c>
      <c r="V12" s="21" t="str">
        <f>IF(T12="P","",IF(COUNTIFS(Binding!$A$5:$A$108,A12,Binding!$C$5:$C$108,"Attack",Binding!$J$5:$J$108,MAXIFS(Binding!$J$5:$J$108,Binding!$A$5:$A$108,A12,Binding!$C$5:$C$108,"Attack"),Binding!$H$5:$H$108,"Yes")=0,"Yes","No"))</f>
        <v>No</v>
      </c>
      <c r="W12" s="5" t="s">
        <v>1336</v>
      </c>
      <c r="X12" s="5"/>
      <c r="Y12" s="5" t="s">
        <v>242</v>
      </c>
      <c r="Z12" s="10">
        <v>2.0</v>
      </c>
      <c r="AA12" s="10">
        <v>3.0</v>
      </c>
      <c r="AB12" s="21">
        <f>IF(S12="Enabler","",MAX(IF(N12="Y",Rubric!$I$5,0),IF(P12="Y",Rubric!$I$6,0),IF(O12="Y",IF(AE12&gt;=3,Rubric!$I$7,Rubric!$I$8),0),IF(Q12="Y",Rubric!$I$9,0)))</f>
        <v>3</v>
      </c>
      <c r="AC12" s="21">
        <f t="array" ref="AC12">MAX(1,INDEX(Rubric!$B$5:$B$9,MATCH(T12,Rubric!$A$5:$A$9,0))-IF(AND(U12="Y",T12&lt;&gt;"P"),Rubric!$I$11,0))</f>
        <v>2</v>
      </c>
      <c r="AD12" s="21">
        <f t="array" ref="AD12">INDEX(Rubric!$E$5:$E$9,MATCH(M12,Rubric!$D$5:$D$9,0))</f>
        <v>4</v>
      </c>
      <c r="AE12" s="10">
        <v>3.0</v>
      </c>
      <c r="AF12" s="10">
        <v>1.0</v>
      </c>
      <c r="AG12" s="10">
        <v>1.0</v>
      </c>
      <c r="AH12" s="21">
        <f t="shared" si="2"/>
        <v>13</v>
      </c>
      <c r="AI12" s="21">
        <f t="shared" si="3"/>
        <v>13</v>
      </c>
      <c r="AJ12" s="21" t="str">
        <f t="array" ref="AJ12">IF(AH12="","",INDEX(Rubric!$M$5:$M$8,MATCH(AH12,Rubric!$L$5:$L$8,1)))</f>
        <v>Medium</v>
      </c>
      <c r="AK12" s="21" t="str">
        <f t="array" ref="AK12">IF(AI12="","",INDEX(Rubric!$M$5:$M$8,MATCH(AI12,Rubric!$L$5:$L$8,1)))</f>
        <v>Medium</v>
      </c>
      <c r="AL12" s="5" t="s">
        <v>1362</v>
      </c>
      <c r="AM12" s="5" t="s">
        <v>975</v>
      </c>
      <c r="AN12" s="5"/>
      <c r="AO12" s="21"/>
      <c r="AP12" s="5" t="s">
        <v>1363</v>
      </c>
      <c r="AQ12" s="5" t="s">
        <v>1364</v>
      </c>
      <c r="AR12" s="21" t="s">
        <v>583</v>
      </c>
      <c r="AS12" s="5" t="s">
        <v>587</v>
      </c>
      <c r="AT12" s="21">
        <f>COUNTIF('CVE Register'!$X$5:$X$61,"*"&amp;A12&amp;"*")</f>
        <v>0</v>
      </c>
      <c r="AU12" s="25" t="s">
        <v>599</v>
      </c>
      <c r="AV12" s="5" t="s">
        <v>609</v>
      </c>
    </row>
    <row r="13" ht="78.0" customHeight="1">
      <c r="A13" s="18" t="s">
        <v>251</v>
      </c>
      <c r="B13" s="19" t="s">
        <v>82</v>
      </c>
      <c r="C13" s="20" t="s">
        <v>1368</v>
      </c>
      <c r="D13" s="5" t="s">
        <v>1369</v>
      </c>
      <c r="E13" s="5" t="s">
        <v>1371</v>
      </c>
      <c r="F13" s="21" t="s">
        <v>737</v>
      </c>
      <c r="G13" s="5" t="s">
        <v>613</v>
      </c>
      <c r="H13" s="10" t="s">
        <v>228</v>
      </c>
      <c r="I13" s="10" t="s">
        <v>227</v>
      </c>
      <c r="J13" s="5" t="s">
        <v>229</v>
      </c>
      <c r="K13" s="10"/>
      <c r="L13" s="10" t="s">
        <v>991</v>
      </c>
      <c r="M13" s="10" t="s">
        <v>78</v>
      </c>
      <c r="N13" s="10" t="s">
        <v>246</v>
      </c>
      <c r="O13" s="10"/>
      <c r="P13" s="10"/>
      <c r="Q13" s="10"/>
      <c r="R13" s="21">
        <f t="shared" si="1"/>
        <v>1</v>
      </c>
      <c r="S13" s="10" t="s">
        <v>260</v>
      </c>
      <c r="T13" s="21" t="str">
        <f>IF(COUNTIFS(Binding!$A$5:$A$108,A13,Binding!$C$5:$C$108,"Attack")=0,"P","E"&amp;MAXIFS(Binding!$J$5:$J$108,Binding!$A$5:$A$108,A13,Binding!$C$5:$C$108,"Attack"))</f>
        <v>E1</v>
      </c>
      <c r="U13" s="10" t="s">
        <v>246</v>
      </c>
      <c r="V13" s="21" t="str">
        <f>IF(T13="P","",IF(COUNTIFS(Binding!$A$5:$A$108,A13,Binding!$C$5:$C$108,"Attack",Binding!$J$5:$J$108,MAXIFS(Binding!$J$5:$J$108,Binding!$A$5:$A$108,A13,Binding!$C$5:$C$108,"Attack"),Binding!$H$5:$H$108,"Yes")=0,"Yes","No"))</f>
        <v>No</v>
      </c>
      <c r="W13" s="5" t="s">
        <v>1437</v>
      </c>
      <c r="X13" s="5"/>
      <c r="Y13" s="5" t="s">
        <v>1440</v>
      </c>
      <c r="Z13" s="10">
        <v>2.0</v>
      </c>
      <c r="AA13" s="10">
        <v>3.0</v>
      </c>
      <c r="AB13" s="21">
        <f>IF(S13="Enabler","",MAX(IF(N13="Y",Rubric!$I$5,0),IF(P13="Y",Rubric!$I$6,0),IF(O13="Y",IF(AE13&gt;=3,Rubric!$I$7,Rubric!$I$8),0),IF(Q13="Y",Rubric!$I$9,0)))</f>
        <v>5</v>
      </c>
      <c r="AC13" s="21">
        <f t="array" ref="AC13">MAX(1,INDEX(Rubric!$B$5:$B$9,MATCH(T13,Rubric!$A$5:$A$9,0))-IF(AND(U13="Y",T13&lt;&gt;"P"),Rubric!$I$11,0))</f>
        <v>2</v>
      </c>
      <c r="AD13" s="21">
        <f t="array" ref="AD13">INDEX(Rubric!$E$5:$E$9,MATCH(M13,Rubric!$D$5:$D$9,0))</f>
        <v>3</v>
      </c>
      <c r="AE13" s="10">
        <v>3.0</v>
      </c>
      <c r="AF13" s="10">
        <v>3.0</v>
      </c>
      <c r="AG13" s="10">
        <v>5.0</v>
      </c>
      <c r="AH13" s="21">
        <f t="shared" si="2"/>
        <v>16</v>
      </c>
      <c r="AI13" s="21">
        <f t="shared" si="3"/>
        <v>18</v>
      </c>
      <c r="AJ13" s="21" t="str">
        <f t="array" ref="AJ13">IF(AH13="","",INDEX(Rubric!$M$5:$M$8,MATCH(AH13,Rubric!$L$5:$L$8,1)))</f>
        <v>High</v>
      </c>
      <c r="AK13" s="21" t="str">
        <f t="array" ref="AK13">IF(AI13="","",INDEX(Rubric!$M$5:$M$8,MATCH(AI13,Rubric!$L$5:$L$8,1)))</f>
        <v>High</v>
      </c>
      <c r="AL13" s="5" t="s">
        <v>1464</v>
      </c>
      <c r="AM13" s="5" t="s">
        <v>975</v>
      </c>
      <c r="AN13" s="5" t="s">
        <v>1467</v>
      </c>
      <c r="AO13" s="21" t="s">
        <v>1081</v>
      </c>
      <c r="AP13" s="5" t="s">
        <v>1468</v>
      </c>
      <c r="AQ13" s="5" t="s">
        <v>1469</v>
      </c>
      <c r="AR13" s="21" t="s">
        <v>583</v>
      </c>
      <c r="AS13" s="5" t="s">
        <v>587</v>
      </c>
      <c r="AT13" s="21">
        <f>COUNTIF('CVE Register'!$X$5:$X$61,"*"&amp;A13&amp;"*")</f>
        <v>0</v>
      </c>
      <c r="AU13" s="25" t="s">
        <v>599</v>
      </c>
      <c r="AV13" s="5" t="s">
        <v>743</v>
      </c>
    </row>
    <row r="14" ht="78.0" customHeight="1">
      <c r="A14" s="18" t="s">
        <v>262</v>
      </c>
      <c r="B14" s="19" t="s">
        <v>82</v>
      </c>
      <c r="C14" s="20" t="s">
        <v>1479</v>
      </c>
      <c r="D14" s="5" t="s">
        <v>1481</v>
      </c>
      <c r="E14" s="5" t="s">
        <v>1483</v>
      </c>
      <c r="F14" s="21" t="s">
        <v>1484</v>
      </c>
      <c r="G14" s="5" t="s">
        <v>748</v>
      </c>
      <c r="H14" s="10" t="s">
        <v>45</v>
      </c>
      <c r="I14" s="10" t="s">
        <v>1487</v>
      </c>
      <c r="J14" s="5" t="s">
        <v>1491</v>
      </c>
      <c r="K14" s="10" t="s">
        <v>990</v>
      </c>
      <c r="L14" s="10" t="s">
        <v>1494</v>
      </c>
      <c r="M14" s="10" t="s">
        <v>78</v>
      </c>
      <c r="N14" s="10" t="s">
        <v>246</v>
      </c>
      <c r="O14" s="10" t="s">
        <v>246</v>
      </c>
      <c r="P14" s="10"/>
      <c r="Q14" s="10"/>
      <c r="R14" s="21">
        <f t="shared" si="1"/>
        <v>2</v>
      </c>
      <c r="S14" s="10" t="s">
        <v>260</v>
      </c>
      <c r="T14" s="21" t="str">
        <f>IF(COUNTIFS(Binding!$A$5:$A$108,A14,Binding!$C$5:$C$108,"Attack")=0,"P","E"&amp;MAXIFS(Binding!$J$5:$J$108,Binding!$A$5:$A$108,A14,Binding!$C$5:$C$108,"Attack"))</f>
        <v>E3</v>
      </c>
      <c r="U14" s="10" t="s">
        <v>246</v>
      </c>
      <c r="V14" s="21" t="str">
        <f>IF(T14="P","",IF(COUNTIFS(Binding!$A$5:$A$108,A14,Binding!$C$5:$C$108,"Attack",Binding!$J$5:$J$108,MAXIFS(Binding!$J$5:$J$108,Binding!$A$5:$A$108,A14,Binding!$C$5:$C$108,"Attack"),Binding!$H$5:$H$108,"Yes")=0,"Yes","No"))</f>
        <v>No</v>
      </c>
      <c r="W14" s="5" t="s">
        <v>1587</v>
      </c>
      <c r="X14" s="5"/>
      <c r="Y14" s="5" t="s">
        <v>1592</v>
      </c>
      <c r="Z14" s="10">
        <v>2.0</v>
      </c>
      <c r="AA14" s="10">
        <v>3.0</v>
      </c>
      <c r="AB14" s="21">
        <f>IF(S14="Enabler","",MAX(IF(N14="Y",Rubric!$I$5,0),IF(P14="Y",Rubric!$I$6,0),IF(O14="Y",IF(AE14&gt;=3,Rubric!$I$7,Rubric!$I$8),0),IF(Q14="Y",Rubric!$I$9,0)))</f>
        <v>5</v>
      </c>
      <c r="AC14" s="21">
        <f t="array" ref="AC14">MAX(1,INDEX(Rubric!$B$5:$B$9,MATCH(T14,Rubric!$A$5:$A$9,0))-IF(AND(U14="Y",T14&lt;&gt;"P"),Rubric!$I$11,0))</f>
        <v>4</v>
      </c>
      <c r="AD14" s="21">
        <f t="array" ref="AD14">INDEX(Rubric!$E$5:$E$9,MATCH(M14,Rubric!$D$5:$D$9,0))</f>
        <v>3</v>
      </c>
      <c r="AE14" s="10">
        <v>4.0</v>
      </c>
      <c r="AF14" s="10">
        <v>1.0</v>
      </c>
      <c r="AG14" s="10">
        <v>1.0</v>
      </c>
      <c r="AH14" s="21">
        <f t="shared" si="2"/>
        <v>17</v>
      </c>
      <c r="AI14" s="21">
        <f t="shared" si="3"/>
        <v>17</v>
      </c>
      <c r="AJ14" s="21" t="str">
        <f t="array" ref="AJ14">IF(AH14="","",INDEX(Rubric!$M$5:$M$8,MATCH(AH14,Rubric!$L$5:$L$8,1)))</f>
        <v>High</v>
      </c>
      <c r="AK14" s="21" t="str">
        <f t="array" ref="AK14">IF(AI14="","",INDEX(Rubric!$M$5:$M$8,MATCH(AI14,Rubric!$L$5:$L$8,1)))</f>
        <v>High</v>
      </c>
      <c r="AL14" s="5" t="s">
        <v>1749</v>
      </c>
      <c r="AM14" s="5" t="s">
        <v>1750</v>
      </c>
      <c r="AN14" s="5" t="s">
        <v>1576</v>
      </c>
      <c r="AO14" s="21" t="s">
        <v>1131</v>
      </c>
      <c r="AP14" s="5" t="s">
        <v>1751</v>
      </c>
      <c r="AQ14" s="5" t="s">
        <v>1752</v>
      </c>
      <c r="AR14" s="21" t="s">
        <v>1593</v>
      </c>
      <c r="AS14" s="5" t="s">
        <v>587</v>
      </c>
      <c r="AT14" s="21">
        <f>COUNTIF('CVE Register'!$X$5:$X$61,"*"&amp;A14&amp;"*")</f>
        <v>1</v>
      </c>
      <c r="AU14" s="25" t="s">
        <v>604</v>
      </c>
      <c r="AV14" s="5" t="s">
        <v>1755</v>
      </c>
    </row>
    <row r="15" ht="78.0" customHeight="1">
      <c r="A15" s="18" t="s">
        <v>294</v>
      </c>
      <c r="B15" s="19" t="s">
        <v>82</v>
      </c>
      <c r="C15" s="20" t="s">
        <v>1757</v>
      </c>
      <c r="D15" s="5" t="s">
        <v>1758</v>
      </c>
      <c r="E15" s="5" t="s">
        <v>1759</v>
      </c>
      <c r="F15" s="21" t="s">
        <v>1484</v>
      </c>
      <c r="G15" s="5" t="s">
        <v>748</v>
      </c>
      <c r="H15" s="10" t="s">
        <v>1487</v>
      </c>
      <c r="I15" s="10" t="s">
        <v>227</v>
      </c>
      <c r="J15" s="5" t="s">
        <v>1760</v>
      </c>
      <c r="K15" s="10" t="s">
        <v>990</v>
      </c>
      <c r="L15" s="10" t="s">
        <v>1494</v>
      </c>
      <c r="M15" s="10" t="s">
        <v>88</v>
      </c>
      <c r="N15" s="10" t="s">
        <v>246</v>
      </c>
      <c r="O15" s="10"/>
      <c r="P15" s="10"/>
      <c r="Q15" s="10"/>
      <c r="R15" s="21">
        <f t="shared" si="1"/>
        <v>1</v>
      </c>
      <c r="S15" s="10" t="s">
        <v>260</v>
      </c>
      <c r="T15" s="21" t="str">
        <f>IF(COUNTIFS(Binding!$A$5:$A$108,A15,Binding!$C$5:$C$108,"Attack")=0,"P","E"&amp;MAXIFS(Binding!$J$5:$J$108,Binding!$A$5:$A$108,A15,Binding!$C$5:$C$108,"Attack"))</f>
        <v>E2</v>
      </c>
      <c r="U15" s="10" t="s">
        <v>246</v>
      </c>
      <c r="V15" s="21" t="str">
        <f>IF(T15="P","",IF(COUNTIFS(Binding!$A$5:$A$108,A15,Binding!$C$5:$C$108,"Attack",Binding!$J$5:$J$108,MAXIFS(Binding!$J$5:$J$108,Binding!$A$5:$A$108,A15,Binding!$C$5:$C$108,"Attack"),Binding!$H$5:$H$108,"Yes")=0,"Yes","No"))</f>
        <v>No</v>
      </c>
      <c r="W15" s="5" t="s">
        <v>1768</v>
      </c>
      <c r="X15" s="5" t="s">
        <v>1769</v>
      </c>
      <c r="Y15" s="5" t="s">
        <v>1770</v>
      </c>
      <c r="Z15" s="10">
        <v>2.0</v>
      </c>
      <c r="AA15" s="10">
        <v>3.0</v>
      </c>
      <c r="AB15" s="21">
        <f>IF(S15="Enabler","",MAX(IF(N15="Y",Rubric!$I$5,0),IF(P15="Y",Rubric!$I$6,0),IF(O15="Y",IF(AE15&gt;=3,Rubric!$I$7,Rubric!$I$8),0),IF(Q15="Y",Rubric!$I$9,0)))</f>
        <v>5</v>
      </c>
      <c r="AC15" s="21">
        <f t="array" ref="AC15">MAX(1,INDEX(Rubric!$B$5:$B$9,MATCH(T15,Rubric!$A$5:$A$9,0))-IF(AND(U15="Y",T15&lt;&gt;"P"),Rubric!$I$11,0))</f>
        <v>3</v>
      </c>
      <c r="AD15" s="21">
        <f t="array" ref="AD15">INDEX(Rubric!$E$5:$E$9,MATCH(M15,Rubric!$D$5:$D$9,0))</f>
        <v>2</v>
      </c>
      <c r="AE15" s="10">
        <v>3.0</v>
      </c>
      <c r="AF15" s="10">
        <v>3.0</v>
      </c>
      <c r="AG15" s="10">
        <v>5.0</v>
      </c>
      <c r="AH15" s="21">
        <f t="shared" si="2"/>
        <v>16</v>
      </c>
      <c r="AI15" s="21">
        <f t="shared" si="3"/>
        <v>18</v>
      </c>
      <c r="AJ15" s="21" t="str">
        <f t="array" ref="AJ15">IF(AH15="","",INDEX(Rubric!$M$5:$M$8,MATCH(AH15,Rubric!$L$5:$L$8,1)))</f>
        <v>High</v>
      </c>
      <c r="AK15" s="21" t="str">
        <f t="array" ref="AK15">IF(AI15="","",INDEX(Rubric!$M$5:$M$8,MATCH(AI15,Rubric!$L$5:$L$8,1)))</f>
        <v>High</v>
      </c>
      <c r="AL15" s="5" t="s">
        <v>1789</v>
      </c>
      <c r="AM15" s="5" t="s">
        <v>975</v>
      </c>
      <c r="AN15" s="5" t="s">
        <v>1576</v>
      </c>
      <c r="AO15" s="21" t="s">
        <v>1790</v>
      </c>
      <c r="AP15" s="5" t="s">
        <v>1791</v>
      </c>
      <c r="AQ15" s="5" t="s">
        <v>1752</v>
      </c>
      <c r="AR15" s="21" t="s">
        <v>1593</v>
      </c>
      <c r="AS15" s="5" t="s">
        <v>1792</v>
      </c>
      <c r="AT15" s="21">
        <f>COUNTIF('CVE Register'!$X$5:$X$61,"*"&amp;A15&amp;"*")</f>
        <v>1</v>
      </c>
      <c r="AU15" s="25" t="s">
        <v>604</v>
      </c>
      <c r="AV15" s="5" t="s">
        <v>1755</v>
      </c>
    </row>
    <row r="16" ht="78.0" customHeight="1">
      <c r="A16" s="18" t="s">
        <v>326</v>
      </c>
      <c r="B16" s="19" t="s">
        <v>82</v>
      </c>
      <c r="C16" s="20" t="s">
        <v>1797</v>
      </c>
      <c r="D16" s="5" t="s">
        <v>1798</v>
      </c>
      <c r="E16" s="5" t="s">
        <v>1799</v>
      </c>
      <c r="F16" s="21" t="s">
        <v>752</v>
      </c>
      <c r="G16" s="5" t="s">
        <v>613</v>
      </c>
      <c r="H16" s="10" t="s">
        <v>37</v>
      </c>
      <c r="I16" s="10" t="s">
        <v>227</v>
      </c>
      <c r="J16" s="5" t="s">
        <v>229</v>
      </c>
      <c r="K16" s="10"/>
      <c r="L16" s="10" t="s">
        <v>1510</v>
      </c>
      <c r="M16" s="10" t="s">
        <v>78</v>
      </c>
      <c r="N16" s="10" t="s">
        <v>246</v>
      </c>
      <c r="O16" s="10" t="s">
        <v>246</v>
      </c>
      <c r="P16" s="10"/>
      <c r="Q16" s="10"/>
      <c r="R16" s="21">
        <f t="shared" si="1"/>
        <v>2</v>
      </c>
      <c r="S16" s="10" t="s">
        <v>260</v>
      </c>
      <c r="T16" s="21" t="str">
        <f>IF(COUNTIFS(Binding!$A$5:$A$108,A16,Binding!$C$5:$C$108,"Attack")=0,"P","E"&amp;MAXIFS(Binding!$J$5:$J$108,Binding!$A$5:$A$108,A16,Binding!$C$5:$C$108,"Attack"))</f>
        <v>E2</v>
      </c>
      <c r="U16" s="10" t="s">
        <v>298</v>
      </c>
      <c r="V16" s="21" t="str">
        <f>IF(T16="P","",IF(COUNTIFS(Binding!$A$5:$A$108,A16,Binding!$C$5:$C$108,"Attack",Binding!$J$5:$J$108,MAXIFS(Binding!$J$5:$J$108,Binding!$A$5:$A$108,A16,Binding!$C$5:$C$108,"Attack"),Binding!$H$5:$H$108,"Yes")=0,"Yes","No"))</f>
        <v>Yes</v>
      </c>
      <c r="W16" s="5" t="s">
        <v>1804</v>
      </c>
      <c r="X16" s="5"/>
      <c r="Y16" s="5" t="s">
        <v>1805</v>
      </c>
      <c r="Z16" s="10">
        <v>2.0</v>
      </c>
      <c r="AA16" s="10">
        <v>3.0</v>
      </c>
      <c r="AB16" s="21">
        <f>IF(S16="Enabler","",MAX(IF(N16="Y",Rubric!$I$5,0),IF(P16="Y",Rubric!$I$6,0),IF(O16="Y",IF(AE16&gt;=3,Rubric!$I$7,Rubric!$I$8),0),IF(Q16="Y",Rubric!$I$9,0)))</f>
        <v>5</v>
      </c>
      <c r="AC16" s="21">
        <f t="array" ref="AC16">MAX(1,INDEX(Rubric!$B$5:$B$9,MATCH(T16,Rubric!$A$5:$A$9,0))-IF(AND(U16="Y",T16&lt;&gt;"P"),Rubric!$I$11,0))</f>
        <v>4</v>
      </c>
      <c r="AD16" s="21">
        <f t="array" ref="AD16">INDEX(Rubric!$E$5:$E$9,MATCH(M16,Rubric!$D$5:$D$9,0))</f>
        <v>3</v>
      </c>
      <c r="AE16" s="10">
        <v>4.0</v>
      </c>
      <c r="AF16" s="10">
        <v>4.0</v>
      </c>
      <c r="AG16" s="10">
        <v>4.0</v>
      </c>
      <c r="AH16" s="21">
        <f t="shared" si="2"/>
        <v>20</v>
      </c>
      <c r="AI16" s="21">
        <f t="shared" si="3"/>
        <v>20</v>
      </c>
      <c r="AJ16" s="21" t="str">
        <f t="array" ref="AJ16">IF(AH16="","",INDEX(Rubric!$M$5:$M$8,MATCH(AH16,Rubric!$L$5:$L$8,1)))</f>
        <v>Critical</v>
      </c>
      <c r="AK16" s="21" t="str">
        <f t="array" ref="AK16">IF(AI16="","",INDEX(Rubric!$M$5:$M$8,MATCH(AI16,Rubric!$L$5:$L$8,1)))</f>
        <v>Critical</v>
      </c>
      <c r="AL16" s="5" t="s">
        <v>1822</v>
      </c>
      <c r="AM16" s="5" t="s">
        <v>1750</v>
      </c>
      <c r="AN16" s="5" t="s">
        <v>1583</v>
      </c>
      <c r="AO16" s="21" t="s">
        <v>1824</v>
      </c>
      <c r="AP16" s="5" t="s">
        <v>1825</v>
      </c>
      <c r="AQ16" s="5" t="s">
        <v>1752</v>
      </c>
      <c r="AR16" s="21" t="s">
        <v>583</v>
      </c>
      <c r="AS16" s="5" t="s">
        <v>587</v>
      </c>
      <c r="AT16" s="21">
        <f>COUNTIF('CVE Register'!$X$5:$X$61,"*"&amp;A16&amp;"*")</f>
        <v>0</v>
      </c>
      <c r="AU16" s="25" t="s">
        <v>599</v>
      </c>
      <c r="AV16" s="5" t="s">
        <v>761</v>
      </c>
    </row>
    <row r="17" ht="78.0" customHeight="1">
      <c r="A17" s="18" t="s">
        <v>342</v>
      </c>
      <c r="B17" s="19" t="s">
        <v>82</v>
      </c>
      <c r="C17" s="20" t="s">
        <v>1829</v>
      </c>
      <c r="D17" s="5" t="s">
        <v>1830</v>
      </c>
      <c r="E17" s="5" t="s">
        <v>1831</v>
      </c>
      <c r="F17" s="21" t="s">
        <v>752</v>
      </c>
      <c r="G17" s="5" t="s">
        <v>613</v>
      </c>
      <c r="H17" s="10" t="s">
        <v>37</v>
      </c>
      <c r="I17" s="10" t="s">
        <v>228</v>
      </c>
      <c r="J17" s="5" t="s">
        <v>229</v>
      </c>
      <c r="K17" s="10"/>
      <c r="L17" s="10" t="s">
        <v>1510</v>
      </c>
      <c r="M17" s="10" t="s">
        <v>78</v>
      </c>
      <c r="N17" s="10" t="s">
        <v>246</v>
      </c>
      <c r="O17" s="10" t="s">
        <v>246</v>
      </c>
      <c r="P17" s="10"/>
      <c r="Q17" s="10"/>
      <c r="R17" s="21">
        <f t="shared" si="1"/>
        <v>2</v>
      </c>
      <c r="S17" s="10" t="s">
        <v>260</v>
      </c>
      <c r="T17" s="21" t="str">
        <f>IF(COUNTIFS(Binding!$A$5:$A$108,A17,Binding!$C$5:$C$108,"Attack")=0,"P","E"&amp;MAXIFS(Binding!$J$5:$J$108,Binding!$A$5:$A$108,A17,Binding!$C$5:$C$108,"Attack"))</f>
        <v>E2</v>
      </c>
      <c r="U17" s="10" t="s">
        <v>246</v>
      </c>
      <c r="V17" s="21" t="str">
        <f>IF(T17="P","",IF(COUNTIFS(Binding!$A$5:$A$108,A17,Binding!$C$5:$C$108,"Attack",Binding!$J$5:$J$108,MAXIFS(Binding!$J$5:$J$108,Binding!$A$5:$A$108,A17,Binding!$C$5:$C$108,"Attack"),Binding!$H$5:$H$108,"Yes")=0,"Yes","No"))</f>
        <v>Yes</v>
      </c>
      <c r="W17" s="5" t="s">
        <v>1841</v>
      </c>
      <c r="X17" s="5"/>
      <c r="Y17" s="5" t="s">
        <v>1842</v>
      </c>
      <c r="Z17" s="10">
        <v>2.0</v>
      </c>
      <c r="AA17" s="10">
        <v>3.0</v>
      </c>
      <c r="AB17" s="21">
        <f>IF(S17="Enabler","",MAX(IF(N17="Y",Rubric!$I$5,0),IF(P17="Y",Rubric!$I$6,0),IF(O17="Y",IF(AE17&gt;=3,Rubric!$I$7,Rubric!$I$8),0),IF(Q17="Y",Rubric!$I$9,0)))</f>
        <v>5</v>
      </c>
      <c r="AC17" s="21">
        <f t="array" ref="AC17">MAX(1,INDEX(Rubric!$B$5:$B$9,MATCH(T17,Rubric!$A$5:$A$9,0))-IF(AND(U17="Y",T17&lt;&gt;"P"),Rubric!$I$11,0))</f>
        <v>3</v>
      </c>
      <c r="AD17" s="21">
        <f t="array" ref="AD17">INDEX(Rubric!$E$5:$E$9,MATCH(M17,Rubric!$D$5:$D$9,0))</f>
        <v>3</v>
      </c>
      <c r="AE17" s="10">
        <v>4.0</v>
      </c>
      <c r="AF17" s="10">
        <v>4.0</v>
      </c>
      <c r="AG17" s="10">
        <v>4.0</v>
      </c>
      <c r="AH17" s="21">
        <f t="shared" si="2"/>
        <v>19</v>
      </c>
      <c r="AI17" s="21">
        <f t="shared" si="3"/>
        <v>19</v>
      </c>
      <c r="AJ17" s="21" t="str">
        <f t="array" ref="AJ17">IF(AH17="","",INDEX(Rubric!$M$5:$M$8,MATCH(AH17,Rubric!$L$5:$L$8,1)))</f>
        <v>High</v>
      </c>
      <c r="AK17" s="21" t="str">
        <f t="array" ref="AK17">IF(AI17="","",INDEX(Rubric!$M$5:$M$8,MATCH(AI17,Rubric!$L$5:$L$8,1)))</f>
        <v>High</v>
      </c>
      <c r="AL17" s="5" t="s">
        <v>1845</v>
      </c>
      <c r="AM17" s="5" t="s">
        <v>1750</v>
      </c>
      <c r="AN17" s="5" t="s">
        <v>1583</v>
      </c>
      <c r="AO17" s="21" t="s">
        <v>1114</v>
      </c>
      <c r="AP17" s="5" t="s">
        <v>1846</v>
      </c>
      <c r="AQ17" s="5" t="s">
        <v>1847</v>
      </c>
      <c r="AR17" s="21" t="s">
        <v>583</v>
      </c>
      <c r="AS17" s="5" t="s">
        <v>587</v>
      </c>
      <c r="AT17" s="21">
        <f>COUNTIF('CVE Register'!$X$5:$X$61,"*"&amp;A17&amp;"*")</f>
        <v>5</v>
      </c>
      <c r="AU17" s="25" t="s">
        <v>1848</v>
      </c>
      <c r="AV17" s="5" t="s">
        <v>761</v>
      </c>
    </row>
    <row r="18" ht="78.0" customHeight="1">
      <c r="A18" s="18" t="s">
        <v>348</v>
      </c>
      <c r="B18" s="19" t="s">
        <v>82</v>
      </c>
      <c r="C18" s="20" t="s">
        <v>1849</v>
      </c>
      <c r="D18" s="5" t="s">
        <v>1850</v>
      </c>
      <c r="E18" s="5" t="s">
        <v>1851</v>
      </c>
      <c r="F18" s="21" t="s">
        <v>752</v>
      </c>
      <c r="G18" s="5" t="s">
        <v>613</v>
      </c>
      <c r="H18" s="10" t="s">
        <v>37</v>
      </c>
      <c r="I18" s="10" t="s">
        <v>228</v>
      </c>
      <c r="J18" s="5" t="s">
        <v>229</v>
      </c>
      <c r="K18" s="10"/>
      <c r="L18" s="10" t="s">
        <v>1510</v>
      </c>
      <c r="M18" s="10" t="s">
        <v>88</v>
      </c>
      <c r="N18" s="10" t="s">
        <v>246</v>
      </c>
      <c r="O18" s="10" t="s">
        <v>246</v>
      </c>
      <c r="P18" s="10"/>
      <c r="Q18" s="10"/>
      <c r="R18" s="21">
        <f t="shared" si="1"/>
        <v>2</v>
      </c>
      <c r="S18" s="10" t="s">
        <v>260</v>
      </c>
      <c r="T18" s="21" t="str">
        <f>IF(COUNTIFS(Binding!$A$5:$A$108,A18,Binding!$C$5:$C$108,"Attack")=0,"P","E"&amp;MAXIFS(Binding!$J$5:$J$108,Binding!$A$5:$A$108,A18,Binding!$C$5:$C$108,"Attack"))</f>
        <v>E2</v>
      </c>
      <c r="U18" s="10" t="s">
        <v>246</v>
      </c>
      <c r="V18" s="21" t="str">
        <f>IF(T18="P","",IF(COUNTIFS(Binding!$A$5:$A$108,A18,Binding!$C$5:$C$108,"Attack",Binding!$J$5:$J$108,MAXIFS(Binding!$J$5:$J$108,Binding!$A$5:$A$108,A18,Binding!$C$5:$C$108,"Attack"),Binding!$H$5:$H$108,"Yes")=0,"Yes","No"))</f>
        <v>Yes</v>
      </c>
      <c r="W18" s="5" t="s">
        <v>1852</v>
      </c>
      <c r="X18" s="5"/>
      <c r="Y18" s="5" t="s">
        <v>1853</v>
      </c>
      <c r="Z18" s="10">
        <v>2.0</v>
      </c>
      <c r="AA18" s="10">
        <v>3.0</v>
      </c>
      <c r="AB18" s="21">
        <f>IF(S18="Enabler","",MAX(IF(N18="Y",Rubric!$I$5,0),IF(P18="Y",Rubric!$I$6,0),IF(O18="Y",IF(AE18&gt;=3,Rubric!$I$7,Rubric!$I$8),0),IF(Q18="Y",Rubric!$I$9,0)))</f>
        <v>5</v>
      </c>
      <c r="AC18" s="21">
        <f t="array" ref="AC18">MAX(1,INDEX(Rubric!$B$5:$B$9,MATCH(T18,Rubric!$A$5:$A$9,0))-IF(AND(U18="Y",T18&lt;&gt;"P"),Rubric!$I$11,0))</f>
        <v>3</v>
      </c>
      <c r="AD18" s="21">
        <f t="array" ref="AD18">INDEX(Rubric!$E$5:$E$9,MATCH(M18,Rubric!$D$5:$D$9,0))</f>
        <v>2</v>
      </c>
      <c r="AE18" s="10">
        <v>5.0</v>
      </c>
      <c r="AF18" s="10">
        <v>4.0</v>
      </c>
      <c r="AG18" s="10">
        <v>4.0</v>
      </c>
      <c r="AH18" s="21">
        <f t="shared" si="2"/>
        <v>19</v>
      </c>
      <c r="AI18" s="21">
        <f t="shared" si="3"/>
        <v>19</v>
      </c>
      <c r="AJ18" s="21" t="str">
        <f t="array" ref="AJ18">IF(AH18="","",INDEX(Rubric!$M$5:$M$8,MATCH(AH18,Rubric!$L$5:$L$8,1)))</f>
        <v>High</v>
      </c>
      <c r="AK18" s="21" t="str">
        <f t="array" ref="AK18">IF(AI18="","",INDEX(Rubric!$M$5:$M$8,MATCH(AI18,Rubric!$L$5:$L$8,1)))</f>
        <v>High</v>
      </c>
      <c r="AL18" s="5" t="s">
        <v>1854</v>
      </c>
      <c r="AM18" s="5" t="s">
        <v>1855</v>
      </c>
      <c r="AN18" s="5" t="s">
        <v>1583</v>
      </c>
      <c r="AO18" s="21" t="s">
        <v>1114</v>
      </c>
      <c r="AP18" s="5" t="s">
        <v>1856</v>
      </c>
      <c r="AQ18" s="5" t="s">
        <v>1752</v>
      </c>
      <c r="AR18" s="21" t="s">
        <v>583</v>
      </c>
      <c r="AS18" s="5" t="s">
        <v>587</v>
      </c>
      <c r="AT18" s="21">
        <f>COUNTIF('CVE Register'!$X$5:$X$61,"*"&amp;A18&amp;"*")</f>
        <v>0</v>
      </c>
      <c r="AU18" s="25" t="s">
        <v>599</v>
      </c>
      <c r="AV18" s="5" t="s">
        <v>761</v>
      </c>
    </row>
    <row r="19" ht="78.0" customHeight="1">
      <c r="A19" s="18" t="s">
        <v>354</v>
      </c>
      <c r="B19" s="19" t="s">
        <v>82</v>
      </c>
      <c r="C19" s="20" t="s">
        <v>1857</v>
      </c>
      <c r="D19" s="5" t="s">
        <v>1858</v>
      </c>
      <c r="E19" s="5" t="s">
        <v>1859</v>
      </c>
      <c r="F19" s="21" t="s">
        <v>633</v>
      </c>
      <c r="G19" s="5" t="s">
        <v>765</v>
      </c>
      <c r="H19" s="10" t="s">
        <v>45</v>
      </c>
      <c r="I19" s="10" t="s">
        <v>37</v>
      </c>
      <c r="J19" s="5" t="s">
        <v>229</v>
      </c>
      <c r="K19" s="10"/>
      <c r="L19" s="10" t="s">
        <v>1510</v>
      </c>
      <c r="M19" s="10" t="s">
        <v>78</v>
      </c>
      <c r="N19" s="10"/>
      <c r="O19" s="10" t="s">
        <v>246</v>
      </c>
      <c r="P19" s="10"/>
      <c r="Q19" s="10"/>
      <c r="R19" s="21">
        <f t="shared" si="1"/>
        <v>1</v>
      </c>
      <c r="S19" s="10" t="s">
        <v>260</v>
      </c>
      <c r="T19" s="21" t="str">
        <f>IF(COUNTIFS(Binding!$A$5:$A$108,A19,Binding!$C$5:$C$108,"Attack")=0,"P","E"&amp;MAXIFS(Binding!$J$5:$J$108,Binding!$A$5:$A$108,A19,Binding!$C$5:$C$108,"Attack"))</f>
        <v>E3</v>
      </c>
      <c r="U19" s="10" t="s">
        <v>246</v>
      </c>
      <c r="V19" s="21" t="str">
        <f>IF(T19="P","",IF(COUNTIFS(Binding!$A$5:$A$108,A19,Binding!$C$5:$C$108,"Attack",Binding!$J$5:$J$108,MAXIFS(Binding!$J$5:$J$108,Binding!$A$5:$A$108,A19,Binding!$C$5:$C$108,"Attack"),Binding!$H$5:$H$108,"Yes")=0,"Yes","No"))</f>
        <v>Yes</v>
      </c>
      <c r="W19" s="5" t="s">
        <v>1860</v>
      </c>
      <c r="X19" s="5"/>
      <c r="Y19" s="5" t="s">
        <v>1861</v>
      </c>
      <c r="Z19" s="10">
        <v>2.0</v>
      </c>
      <c r="AA19" s="10">
        <v>3.0</v>
      </c>
      <c r="AB19" s="21">
        <f>IF(S19="Enabler","",MAX(IF(N19="Y",Rubric!$I$5,0),IF(P19="Y",Rubric!$I$6,0),IF(O19="Y",IF(AE19&gt;=3,Rubric!$I$7,Rubric!$I$8),0),IF(Q19="Y",Rubric!$I$9,0)))</f>
        <v>3</v>
      </c>
      <c r="AC19" s="21">
        <f t="array" ref="AC19">MAX(1,INDEX(Rubric!$B$5:$B$9,MATCH(T19,Rubric!$A$5:$A$9,0))-IF(AND(U19="Y",T19&lt;&gt;"P"),Rubric!$I$11,0))</f>
        <v>4</v>
      </c>
      <c r="AD19" s="21">
        <f t="array" ref="AD19">INDEX(Rubric!$E$5:$E$9,MATCH(M19,Rubric!$D$5:$D$9,0))</f>
        <v>3</v>
      </c>
      <c r="AE19" s="10">
        <v>4.0</v>
      </c>
      <c r="AF19" s="10">
        <v>4.0</v>
      </c>
      <c r="AG19" s="10">
        <v>4.0</v>
      </c>
      <c r="AH19" s="21">
        <f t="shared" si="2"/>
        <v>18</v>
      </c>
      <c r="AI19" s="21">
        <f t="shared" si="3"/>
        <v>18</v>
      </c>
      <c r="AJ19" s="21" t="str">
        <f t="array" ref="AJ19">IF(AH19="","",INDEX(Rubric!$M$5:$M$8,MATCH(AH19,Rubric!$L$5:$L$8,1)))</f>
        <v>High</v>
      </c>
      <c r="AK19" s="21" t="str">
        <f t="array" ref="AK19">IF(AI19="","",INDEX(Rubric!$M$5:$M$8,MATCH(AI19,Rubric!$L$5:$L$8,1)))</f>
        <v>High</v>
      </c>
      <c r="AL19" s="5" t="s">
        <v>1862</v>
      </c>
      <c r="AM19" s="5" t="s">
        <v>1750</v>
      </c>
      <c r="AN19" s="5"/>
      <c r="AO19" s="21"/>
      <c r="AP19" s="5" t="s">
        <v>1863</v>
      </c>
      <c r="AQ19" s="5" t="s">
        <v>1864</v>
      </c>
      <c r="AR19" s="21" t="s">
        <v>583</v>
      </c>
      <c r="AS19" s="5" t="s">
        <v>587</v>
      </c>
      <c r="AT19" s="21">
        <f>COUNTIF('CVE Register'!$X$5:$X$61,"*"&amp;A19&amp;"*")</f>
        <v>3</v>
      </c>
      <c r="AU19" s="25" t="s">
        <v>1865</v>
      </c>
      <c r="AV19" s="5" t="s">
        <v>635</v>
      </c>
    </row>
    <row r="20" ht="78.0" customHeight="1">
      <c r="A20" s="18" t="s">
        <v>365</v>
      </c>
      <c r="B20" s="19" t="s">
        <v>82</v>
      </c>
      <c r="C20" s="20" t="s">
        <v>1866</v>
      </c>
      <c r="D20" s="5" t="s">
        <v>1867</v>
      </c>
      <c r="E20" s="5" t="s">
        <v>1868</v>
      </c>
      <c r="F20" s="21" t="s">
        <v>633</v>
      </c>
      <c r="G20" s="5" t="s">
        <v>765</v>
      </c>
      <c r="H20" s="10" t="s">
        <v>45</v>
      </c>
      <c r="I20" s="10"/>
      <c r="J20" s="5" t="s">
        <v>229</v>
      </c>
      <c r="K20" s="10"/>
      <c r="L20" s="10" t="s">
        <v>1507</v>
      </c>
      <c r="M20" s="10" t="s">
        <v>78</v>
      </c>
      <c r="N20" s="10"/>
      <c r="O20" s="10" t="s">
        <v>246</v>
      </c>
      <c r="P20" s="10"/>
      <c r="Q20" s="10"/>
      <c r="R20" s="21">
        <f t="shared" si="1"/>
        <v>1</v>
      </c>
      <c r="S20" s="10" t="s">
        <v>260</v>
      </c>
      <c r="T20" s="21" t="str">
        <f>IF(COUNTIFS(Binding!$A$5:$A$108,A20,Binding!$C$5:$C$108,"Attack")=0,"P","E"&amp;MAXIFS(Binding!$J$5:$J$108,Binding!$A$5:$A$108,A20,Binding!$C$5:$C$108,"Attack"))</f>
        <v>E1</v>
      </c>
      <c r="U20" s="10" t="s">
        <v>246</v>
      </c>
      <c r="V20" s="21" t="str">
        <f>IF(T20="P","",IF(COUNTIFS(Binding!$A$5:$A$108,A20,Binding!$C$5:$C$108,"Attack",Binding!$J$5:$J$108,MAXIFS(Binding!$J$5:$J$108,Binding!$A$5:$A$108,A20,Binding!$C$5:$C$108,"Attack"),Binding!$H$5:$H$108,"Yes")=0,"Yes","No"))</f>
        <v>No</v>
      </c>
      <c r="W20" s="5" t="s">
        <v>1869</v>
      </c>
      <c r="X20" s="5"/>
      <c r="Y20" s="5" t="s">
        <v>242</v>
      </c>
      <c r="Z20" s="10">
        <v>2.0</v>
      </c>
      <c r="AA20" s="10">
        <v>3.0</v>
      </c>
      <c r="AB20" s="21">
        <f>IF(S20="Enabler","",MAX(IF(N20="Y",Rubric!$I$5,0),IF(P20="Y",Rubric!$I$6,0),IF(O20="Y",IF(AE20&gt;=3,Rubric!$I$7,Rubric!$I$8),0),IF(Q20="Y",Rubric!$I$9,0)))</f>
        <v>3</v>
      </c>
      <c r="AC20" s="21">
        <f t="array" ref="AC20">MAX(1,INDEX(Rubric!$B$5:$B$9,MATCH(T20,Rubric!$A$5:$A$9,0))-IF(AND(U20="Y",T20&lt;&gt;"P"),Rubric!$I$11,0))</f>
        <v>2</v>
      </c>
      <c r="AD20" s="21">
        <f t="array" ref="AD20">INDEX(Rubric!$E$5:$E$9,MATCH(M20,Rubric!$D$5:$D$9,0))</f>
        <v>3</v>
      </c>
      <c r="AE20" s="10">
        <v>3.0</v>
      </c>
      <c r="AF20" s="10">
        <v>2.0</v>
      </c>
      <c r="AG20" s="10">
        <v>2.0</v>
      </c>
      <c r="AH20" s="21">
        <f t="shared" si="2"/>
        <v>13</v>
      </c>
      <c r="AI20" s="21">
        <f t="shared" si="3"/>
        <v>13</v>
      </c>
      <c r="AJ20" s="21" t="str">
        <f t="array" ref="AJ20">IF(AH20="","",INDEX(Rubric!$M$5:$M$8,MATCH(AH20,Rubric!$L$5:$L$8,1)))</f>
        <v>Medium</v>
      </c>
      <c r="AK20" s="21" t="str">
        <f t="array" ref="AK20">IF(AI20="","",INDEX(Rubric!$M$5:$M$8,MATCH(AI20,Rubric!$L$5:$L$8,1)))</f>
        <v>Medium</v>
      </c>
      <c r="AL20" s="5" t="s">
        <v>1870</v>
      </c>
      <c r="AM20" s="5" t="s">
        <v>975</v>
      </c>
      <c r="AN20" s="5"/>
      <c r="AO20" s="21"/>
      <c r="AP20" s="5" t="s">
        <v>1871</v>
      </c>
      <c r="AQ20" s="5" t="s">
        <v>978</v>
      </c>
      <c r="AR20" s="21" t="s">
        <v>583</v>
      </c>
      <c r="AS20" s="5" t="s">
        <v>587</v>
      </c>
      <c r="AT20" s="21">
        <f>COUNTIF('CVE Register'!$X$5:$X$61,"*"&amp;A20&amp;"*")</f>
        <v>0</v>
      </c>
      <c r="AU20" s="25" t="s">
        <v>599</v>
      </c>
      <c r="AV20" s="5" t="s">
        <v>635</v>
      </c>
    </row>
    <row r="21" ht="78.0" customHeight="1">
      <c r="A21" s="29" t="s">
        <v>370</v>
      </c>
      <c r="B21" s="30" t="s">
        <v>84</v>
      </c>
      <c r="C21" s="40" t="s">
        <v>1872</v>
      </c>
      <c r="D21" s="5" t="s">
        <v>1873</v>
      </c>
      <c r="E21" s="5" t="s">
        <v>1874</v>
      </c>
      <c r="F21" s="21" t="s">
        <v>769</v>
      </c>
      <c r="G21" s="5" t="s">
        <v>765</v>
      </c>
      <c r="H21" s="10" t="s">
        <v>228</v>
      </c>
      <c r="I21" s="10"/>
      <c r="J21" s="5" t="s">
        <v>229</v>
      </c>
      <c r="K21" s="10" t="s">
        <v>728</v>
      </c>
      <c r="L21" s="10" t="s">
        <v>1507</v>
      </c>
      <c r="M21" s="10" t="s">
        <v>78</v>
      </c>
      <c r="N21" s="10" t="s">
        <v>246</v>
      </c>
      <c r="O21" s="10"/>
      <c r="P21" s="10"/>
      <c r="Q21" s="10"/>
      <c r="R21" s="21">
        <f t="shared" si="1"/>
        <v>1</v>
      </c>
      <c r="S21" s="10" t="s">
        <v>260</v>
      </c>
      <c r="T21" s="21" t="str">
        <f>IF(COUNTIFS(Binding!$A$5:$A$108,A21,Binding!$C$5:$C$108,"Attack")=0,"P","E"&amp;MAXIFS(Binding!$J$5:$J$108,Binding!$A$5:$A$108,A21,Binding!$C$5:$C$108,"Attack"))</f>
        <v>E1</v>
      </c>
      <c r="U21" s="10" t="s">
        <v>246</v>
      </c>
      <c r="V21" s="21" t="str">
        <f>IF(T21="P","",IF(COUNTIFS(Binding!$A$5:$A$108,A21,Binding!$C$5:$C$108,"Attack",Binding!$J$5:$J$108,MAXIFS(Binding!$J$5:$J$108,Binding!$A$5:$A$108,A21,Binding!$C$5:$C$108,"Attack"),Binding!$H$5:$H$108,"Yes")=0,"Yes","No"))</f>
        <v>No</v>
      </c>
      <c r="W21" s="5" t="s">
        <v>1875</v>
      </c>
      <c r="X21" s="5"/>
      <c r="Y21" s="5" t="s">
        <v>375</v>
      </c>
      <c r="Z21" s="10">
        <v>1.0</v>
      </c>
      <c r="AA21" s="10">
        <v>2.0</v>
      </c>
      <c r="AB21" s="21">
        <f>IF(S21="Enabler","",MAX(IF(N21="Y",Rubric!$I$5,0),IF(P21="Y",Rubric!$I$6,0),IF(O21="Y",IF(AE21&gt;=3,Rubric!$I$7,Rubric!$I$8),0),IF(Q21="Y",Rubric!$I$9,0)))</f>
        <v>5</v>
      </c>
      <c r="AC21" s="21">
        <f t="array" ref="AC21">MAX(1,INDEX(Rubric!$B$5:$B$9,MATCH(T21,Rubric!$A$5:$A$9,0))-IF(AND(U21="Y",T21&lt;&gt;"P"),Rubric!$I$11,0))</f>
        <v>2</v>
      </c>
      <c r="AD21" s="21">
        <f t="array" ref="AD21">INDEX(Rubric!$E$5:$E$9,MATCH(M21,Rubric!$D$5:$D$9,0))</f>
        <v>3</v>
      </c>
      <c r="AE21" s="10">
        <v>4.0</v>
      </c>
      <c r="AF21" s="10">
        <v>3.0</v>
      </c>
      <c r="AG21" s="10">
        <v>5.0</v>
      </c>
      <c r="AH21" s="21">
        <f t="shared" si="2"/>
        <v>17</v>
      </c>
      <c r="AI21" s="21">
        <f t="shared" si="3"/>
        <v>19</v>
      </c>
      <c r="AJ21" s="21" t="str">
        <f t="array" ref="AJ21">IF(AH21="","",INDEX(Rubric!$M$5:$M$8,MATCH(AH21,Rubric!$L$5:$L$8,1)))</f>
        <v>High</v>
      </c>
      <c r="AK21" s="21" t="str">
        <f t="array" ref="AK21">IF(AI21="","",INDEX(Rubric!$M$5:$M$8,MATCH(AI21,Rubric!$L$5:$L$8,1)))</f>
        <v>High</v>
      </c>
      <c r="AL21" s="5" t="s">
        <v>1876</v>
      </c>
      <c r="AM21" s="5" t="s">
        <v>1750</v>
      </c>
      <c r="AN21" s="5" t="s">
        <v>1467</v>
      </c>
      <c r="AO21" s="21" t="s">
        <v>1877</v>
      </c>
      <c r="AP21" s="5" t="s">
        <v>1878</v>
      </c>
      <c r="AQ21" s="5" t="s">
        <v>1879</v>
      </c>
      <c r="AR21" s="21" t="s">
        <v>1593</v>
      </c>
      <c r="AS21" s="5" t="s">
        <v>1792</v>
      </c>
      <c r="AT21" s="21">
        <f>COUNTIF('CVE Register'!$X$5:$X$61,"*"&amp;A21&amp;"*")</f>
        <v>0</v>
      </c>
      <c r="AU21" s="25" t="s">
        <v>599</v>
      </c>
      <c r="AV21" s="5" t="s">
        <v>777</v>
      </c>
    </row>
    <row r="22" ht="78.0" customHeight="1">
      <c r="A22" s="29" t="s">
        <v>384</v>
      </c>
      <c r="B22" s="30" t="s">
        <v>84</v>
      </c>
      <c r="C22" s="40" t="s">
        <v>1880</v>
      </c>
      <c r="D22" s="5" t="s">
        <v>1881</v>
      </c>
      <c r="E22" s="5" t="s">
        <v>1882</v>
      </c>
      <c r="F22" s="21" t="s">
        <v>769</v>
      </c>
      <c r="G22" s="5" t="s">
        <v>765</v>
      </c>
      <c r="H22" s="10" t="s">
        <v>227</v>
      </c>
      <c r="I22" s="10" t="s">
        <v>228</v>
      </c>
      <c r="J22" s="5" t="s">
        <v>229</v>
      </c>
      <c r="K22" s="10"/>
      <c r="L22" s="10" t="s">
        <v>1507</v>
      </c>
      <c r="M22" s="10" t="s">
        <v>78</v>
      </c>
      <c r="N22" s="10" t="s">
        <v>246</v>
      </c>
      <c r="O22" s="10"/>
      <c r="P22" s="10" t="s">
        <v>246</v>
      </c>
      <c r="Q22" s="10"/>
      <c r="R22" s="21">
        <f t="shared" si="1"/>
        <v>2</v>
      </c>
      <c r="S22" s="10" t="s">
        <v>260</v>
      </c>
      <c r="T22" s="21" t="str">
        <f>IF(COUNTIFS(Binding!$A$5:$A$108,A22,Binding!$C$5:$C$108,"Attack")=0,"P","E"&amp;MAXIFS(Binding!$J$5:$J$108,Binding!$A$5:$A$108,A22,Binding!$C$5:$C$108,"Attack"))</f>
        <v>E2</v>
      </c>
      <c r="U22" s="10" t="s">
        <v>246</v>
      </c>
      <c r="V22" s="21" t="str">
        <f>IF(T22="P","",IF(COUNTIFS(Binding!$A$5:$A$108,A22,Binding!$C$5:$C$108,"Attack",Binding!$J$5:$J$108,MAXIFS(Binding!$J$5:$J$108,Binding!$A$5:$A$108,A22,Binding!$C$5:$C$108,"Attack"),Binding!$H$5:$H$108,"Yes")=0,"Yes","No"))</f>
        <v>No</v>
      </c>
      <c r="W22" s="5" t="s">
        <v>1883</v>
      </c>
      <c r="X22" s="5"/>
      <c r="Y22" s="5" t="s">
        <v>391</v>
      </c>
      <c r="Z22" s="10">
        <v>1.0</v>
      </c>
      <c r="AA22" s="10">
        <v>2.0</v>
      </c>
      <c r="AB22" s="21">
        <f>IF(S22="Enabler","",MAX(IF(N22="Y",Rubric!$I$5,0),IF(P22="Y",Rubric!$I$6,0),IF(O22="Y",IF(AE22&gt;=3,Rubric!$I$7,Rubric!$I$8),0),IF(Q22="Y",Rubric!$I$9,0)))</f>
        <v>5</v>
      </c>
      <c r="AC22" s="21">
        <f t="array" ref="AC22">MAX(1,INDEX(Rubric!$B$5:$B$9,MATCH(T22,Rubric!$A$5:$A$9,0))-IF(AND(U22="Y",T22&lt;&gt;"P"),Rubric!$I$11,0))</f>
        <v>3</v>
      </c>
      <c r="AD22" s="21">
        <f t="array" ref="AD22">INDEX(Rubric!$E$5:$E$9,MATCH(M22,Rubric!$D$5:$D$9,0))</f>
        <v>3</v>
      </c>
      <c r="AE22" s="10">
        <v>3.0</v>
      </c>
      <c r="AF22" s="10">
        <v>3.0</v>
      </c>
      <c r="AG22" s="10">
        <v>5.0</v>
      </c>
      <c r="AH22" s="21">
        <f t="shared" si="2"/>
        <v>17</v>
      </c>
      <c r="AI22" s="21">
        <f t="shared" si="3"/>
        <v>19</v>
      </c>
      <c r="AJ22" s="21" t="str">
        <f t="array" ref="AJ22">IF(AH22="","",INDEX(Rubric!$M$5:$M$8,MATCH(AH22,Rubric!$L$5:$L$8,1)))</f>
        <v>High</v>
      </c>
      <c r="AK22" s="21" t="str">
        <f t="array" ref="AK22">IF(AI22="","",INDEX(Rubric!$M$5:$M$8,MATCH(AI22,Rubric!$L$5:$L$8,1)))</f>
        <v>High</v>
      </c>
      <c r="AL22" s="5" t="s">
        <v>1884</v>
      </c>
      <c r="AM22" s="5" t="s">
        <v>975</v>
      </c>
      <c r="AN22" s="5" t="s">
        <v>1467</v>
      </c>
      <c r="AO22" s="21" t="s">
        <v>1149</v>
      </c>
      <c r="AP22" s="5" t="s">
        <v>1885</v>
      </c>
      <c r="AQ22" s="5" t="s">
        <v>580</v>
      </c>
      <c r="AR22" s="21" t="s">
        <v>583</v>
      </c>
      <c r="AS22" s="5" t="s">
        <v>587</v>
      </c>
      <c r="AT22" s="21">
        <f>COUNTIF('CVE Register'!$X$5:$X$61,"*"&amp;A22&amp;"*")</f>
        <v>0</v>
      </c>
      <c r="AU22" s="25" t="s">
        <v>599</v>
      </c>
      <c r="AV22" s="5" t="s">
        <v>777</v>
      </c>
    </row>
    <row r="23" ht="78.0" customHeight="1">
      <c r="A23" s="29" t="s">
        <v>410</v>
      </c>
      <c r="B23" s="30" t="s">
        <v>84</v>
      </c>
      <c r="C23" s="40" t="s">
        <v>1886</v>
      </c>
      <c r="D23" s="5" t="s">
        <v>1887</v>
      </c>
      <c r="E23" s="5" t="s">
        <v>1888</v>
      </c>
      <c r="F23" s="21" t="s">
        <v>769</v>
      </c>
      <c r="G23" s="5" t="s">
        <v>765</v>
      </c>
      <c r="H23" s="10" t="s">
        <v>228</v>
      </c>
      <c r="I23" s="10" t="s">
        <v>45</v>
      </c>
      <c r="J23" s="5" t="s">
        <v>229</v>
      </c>
      <c r="K23" s="10" t="s">
        <v>728</v>
      </c>
      <c r="L23" s="10" t="s">
        <v>1507</v>
      </c>
      <c r="M23" s="10" t="s">
        <v>78</v>
      </c>
      <c r="N23" s="10" t="s">
        <v>246</v>
      </c>
      <c r="O23" s="10" t="s">
        <v>246</v>
      </c>
      <c r="P23" s="10"/>
      <c r="Q23" s="10"/>
      <c r="R23" s="21">
        <f t="shared" si="1"/>
        <v>2</v>
      </c>
      <c r="S23" s="10" t="s">
        <v>260</v>
      </c>
      <c r="T23" s="21" t="str">
        <f>IF(COUNTIFS(Binding!$A$5:$A$108,A23,Binding!$C$5:$C$108,"Attack")=0,"P","E"&amp;MAXIFS(Binding!$J$5:$J$108,Binding!$A$5:$A$108,A23,Binding!$C$5:$C$108,"Attack"))</f>
        <v>E1</v>
      </c>
      <c r="U23" s="10" t="s">
        <v>246</v>
      </c>
      <c r="V23" s="21" t="str">
        <f>IF(T23="P","",IF(COUNTIFS(Binding!$A$5:$A$108,A23,Binding!$C$5:$C$108,"Attack",Binding!$J$5:$J$108,MAXIFS(Binding!$J$5:$J$108,Binding!$A$5:$A$108,A23,Binding!$C$5:$C$108,"Attack"),Binding!$H$5:$H$108,"Yes")=0,"Yes","No"))</f>
        <v>No</v>
      </c>
      <c r="W23" s="5" t="s">
        <v>1889</v>
      </c>
      <c r="X23" s="5"/>
      <c r="Y23" s="5" t="s">
        <v>1890</v>
      </c>
      <c r="Z23" s="10">
        <v>1.0</v>
      </c>
      <c r="AA23" s="10">
        <v>2.0</v>
      </c>
      <c r="AB23" s="21">
        <f>IF(S23="Enabler","",MAX(IF(N23="Y",Rubric!$I$5,0),IF(P23="Y",Rubric!$I$6,0),IF(O23="Y",IF(AE23&gt;=3,Rubric!$I$7,Rubric!$I$8),0),IF(Q23="Y",Rubric!$I$9,0)))</f>
        <v>5</v>
      </c>
      <c r="AC23" s="21">
        <f t="array" ref="AC23">MAX(1,INDEX(Rubric!$B$5:$B$9,MATCH(T23,Rubric!$A$5:$A$9,0))-IF(AND(U23="Y",T23&lt;&gt;"P"),Rubric!$I$11,0))</f>
        <v>2</v>
      </c>
      <c r="AD23" s="21">
        <f t="array" ref="AD23">INDEX(Rubric!$E$5:$E$9,MATCH(M23,Rubric!$D$5:$D$9,0))</f>
        <v>3</v>
      </c>
      <c r="AE23" s="10">
        <v>3.0</v>
      </c>
      <c r="AF23" s="10">
        <v>3.0</v>
      </c>
      <c r="AG23" s="10">
        <v>5.0</v>
      </c>
      <c r="AH23" s="21">
        <f t="shared" si="2"/>
        <v>16</v>
      </c>
      <c r="AI23" s="21">
        <f t="shared" si="3"/>
        <v>18</v>
      </c>
      <c r="AJ23" s="21" t="str">
        <f t="array" ref="AJ23">IF(AH23="","",INDEX(Rubric!$M$5:$M$8,MATCH(AH23,Rubric!$L$5:$L$8,1)))</f>
        <v>High</v>
      </c>
      <c r="AK23" s="21" t="str">
        <f t="array" ref="AK23">IF(AI23="","",INDEX(Rubric!$M$5:$M$8,MATCH(AI23,Rubric!$L$5:$L$8,1)))</f>
        <v>High</v>
      </c>
      <c r="AL23" s="5" t="s">
        <v>1891</v>
      </c>
      <c r="AM23" s="5" t="s">
        <v>975</v>
      </c>
      <c r="AN23" s="5" t="s">
        <v>1467</v>
      </c>
      <c r="AO23" s="21" t="s">
        <v>1189</v>
      </c>
      <c r="AP23" s="5" t="s">
        <v>1878</v>
      </c>
      <c r="AQ23" s="5" t="s">
        <v>1879</v>
      </c>
      <c r="AR23" s="21" t="s">
        <v>583</v>
      </c>
      <c r="AS23" s="5" t="s">
        <v>587</v>
      </c>
      <c r="AT23" s="21">
        <f>COUNTIF('CVE Register'!$X$5:$X$61,"*"&amp;A23&amp;"*")</f>
        <v>0</v>
      </c>
      <c r="AU23" s="25" t="s">
        <v>599</v>
      </c>
      <c r="AV23" s="5" t="s">
        <v>777</v>
      </c>
    </row>
    <row r="24" ht="78.0" customHeight="1">
      <c r="A24" s="29" t="s">
        <v>431</v>
      </c>
      <c r="B24" s="30" t="s">
        <v>84</v>
      </c>
      <c r="C24" s="40" t="s">
        <v>1892</v>
      </c>
      <c r="D24" s="5" t="s">
        <v>1893</v>
      </c>
      <c r="E24" s="5" t="s">
        <v>1894</v>
      </c>
      <c r="F24" s="21" t="s">
        <v>778</v>
      </c>
      <c r="G24" s="5" t="s">
        <v>1895</v>
      </c>
      <c r="H24" s="10" t="s">
        <v>45</v>
      </c>
      <c r="I24" s="10" t="s">
        <v>228</v>
      </c>
      <c r="J24" s="5" t="s">
        <v>229</v>
      </c>
      <c r="K24" s="10"/>
      <c r="L24" s="10" t="s">
        <v>1507</v>
      </c>
      <c r="M24" s="10" t="s">
        <v>88</v>
      </c>
      <c r="N24" s="10" t="s">
        <v>246</v>
      </c>
      <c r="O24" s="10" t="s">
        <v>246</v>
      </c>
      <c r="P24" s="10"/>
      <c r="Q24" s="10"/>
      <c r="R24" s="21">
        <f t="shared" si="1"/>
        <v>2</v>
      </c>
      <c r="S24" s="10" t="s">
        <v>1736</v>
      </c>
      <c r="T24" s="21" t="str">
        <f>IF(COUNTIFS(Binding!$A$5:$A$108,A24,Binding!$C$5:$C$108,"Attack")=0,"P","E"&amp;MAXIFS(Binding!$J$5:$J$108,Binding!$A$5:$A$108,A24,Binding!$C$5:$C$108,"Attack"))</f>
        <v>E1</v>
      </c>
      <c r="U24" s="10" t="s">
        <v>246</v>
      </c>
      <c r="V24" s="21" t="str">
        <f>IF(T24="P","",IF(COUNTIFS(Binding!$A$5:$A$108,A24,Binding!$C$5:$C$108,"Attack",Binding!$J$5:$J$108,MAXIFS(Binding!$J$5:$J$108,Binding!$A$5:$A$108,A24,Binding!$C$5:$C$108,"Attack"),Binding!$H$5:$H$108,"Yes")=0,"Yes","No"))</f>
        <v>No</v>
      </c>
      <c r="W24" s="5" t="s">
        <v>1896</v>
      </c>
      <c r="X24" s="5"/>
      <c r="Y24" s="5" t="s">
        <v>242</v>
      </c>
      <c r="Z24" s="10">
        <v>1.0</v>
      </c>
      <c r="AA24" s="10">
        <v>2.0</v>
      </c>
      <c r="AB24" s="21" t="str">
        <f>IF(S24="Enabler","",MAX(IF(N24="Y",Rubric!$I$5,0),IF(P24="Y",Rubric!$I$6,0),IF(O24="Y",IF(AE24&gt;=3,Rubric!$I$7,Rubric!$I$8),0),IF(Q24="Y",Rubric!$I$9,0)))</f>
        <v/>
      </c>
      <c r="AC24" s="21">
        <f t="array" ref="AC24">MAX(1,INDEX(Rubric!$B$5:$B$9,MATCH(T24,Rubric!$A$5:$A$9,0))-IF(AND(U24="Y",T24&lt;&gt;"P"),Rubric!$I$11,0))</f>
        <v>2</v>
      </c>
      <c r="AD24" s="21">
        <f t="array" ref="AD24">INDEX(Rubric!$E$5:$E$9,MATCH(M24,Rubric!$D$5:$D$9,0))</f>
        <v>2</v>
      </c>
      <c r="AE24" s="10">
        <v>3.0</v>
      </c>
      <c r="AF24" s="10">
        <v>4.0</v>
      </c>
      <c r="AG24" s="10">
        <v>4.0</v>
      </c>
      <c r="AH24" s="21" t="str">
        <f t="shared" si="2"/>
        <v/>
      </c>
      <c r="AI24" s="21" t="str">
        <f t="shared" si="3"/>
        <v/>
      </c>
      <c r="AJ24" s="21" t="str">
        <f t="array" ref="AJ24">IF(AH24="","",INDEX(Rubric!$M$5:$M$8,MATCH(AH24,Rubric!$L$5:$L$8,1)))</f>
        <v/>
      </c>
      <c r="AK24" s="21" t="str">
        <f t="array" ref="AK24">IF(AI24="","",INDEX(Rubric!$M$5:$M$8,MATCH(AI24,Rubric!$L$5:$L$8,1)))</f>
        <v/>
      </c>
      <c r="AL24" s="5" t="s">
        <v>1897</v>
      </c>
      <c r="AM24" s="5" t="s">
        <v>975</v>
      </c>
      <c r="AN24" s="5" t="s">
        <v>1582</v>
      </c>
      <c r="AO24" s="21" t="s">
        <v>1163</v>
      </c>
      <c r="AP24" s="5" t="s">
        <v>1898</v>
      </c>
      <c r="AQ24" s="5" t="s">
        <v>1364</v>
      </c>
      <c r="AR24" s="21" t="s">
        <v>583</v>
      </c>
      <c r="AS24" s="5" t="s">
        <v>1792</v>
      </c>
      <c r="AT24" s="21">
        <f>COUNTIF('CVE Register'!$X$5:$X$61,"*"&amp;A24&amp;"*")</f>
        <v>0</v>
      </c>
      <c r="AU24" s="25" t="s">
        <v>599</v>
      </c>
      <c r="AV24" s="5" t="s">
        <v>1899</v>
      </c>
    </row>
    <row r="25" ht="78.0" customHeight="1">
      <c r="A25" s="29" t="s">
        <v>1900</v>
      </c>
      <c r="B25" s="30" t="s">
        <v>84</v>
      </c>
      <c r="C25" s="40" t="s">
        <v>1901</v>
      </c>
      <c r="D25" s="5" t="s">
        <v>1902</v>
      </c>
      <c r="E25" s="5" t="s">
        <v>1903</v>
      </c>
      <c r="F25" s="21" t="s">
        <v>778</v>
      </c>
      <c r="G25" s="5" t="s">
        <v>1895</v>
      </c>
      <c r="H25" s="10" t="s">
        <v>45</v>
      </c>
      <c r="I25" s="10"/>
      <c r="J25" s="5" t="s">
        <v>229</v>
      </c>
      <c r="K25" s="10"/>
      <c r="L25" s="10" t="s">
        <v>1507</v>
      </c>
      <c r="M25" s="10" t="s">
        <v>88</v>
      </c>
      <c r="N25" s="10"/>
      <c r="O25" s="10" t="s">
        <v>246</v>
      </c>
      <c r="P25" s="10"/>
      <c r="Q25" s="10"/>
      <c r="R25" s="21">
        <f t="shared" si="1"/>
        <v>1</v>
      </c>
      <c r="S25" s="10" t="s">
        <v>260</v>
      </c>
      <c r="T25" s="21" t="str">
        <f>IF(COUNTIFS(Binding!$A$5:$A$108,A25,Binding!$C$5:$C$108,"Attack")=0,"P","E"&amp;MAXIFS(Binding!$J$5:$J$108,Binding!$A$5:$A$108,A25,Binding!$C$5:$C$108,"Attack"))</f>
        <v>P</v>
      </c>
      <c r="U25" s="10"/>
      <c r="V25" s="21" t="str">
        <f>IF(T25="P","",IF(COUNTIFS(Binding!$A$5:$A$108,A25,Binding!$C$5:$C$108,"Attack",Binding!$J$5:$J$108,MAXIFS(Binding!$J$5:$J$108,Binding!$A$5:$A$108,A25,Binding!$C$5:$C$108,"Attack"),Binding!$H$5:$H$108,"Yes")=0,"Yes","No"))</f>
        <v/>
      </c>
      <c r="W25" s="5" t="s">
        <v>1904</v>
      </c>
      <c r="X25" s="5"/>
      <c r="Y25" s="5"/>
      <c r="Z25" s="10">
        <v>1.0</v>
      </c>
      <c r="AA25" s="10">
        <v>2.0</v>
      </c>
      <c r="AB25" s="21">
        <f>IF(S25="Enabler","",MAX(IF(N25="Y",Rubric!$I$5,0),IF(P25="Y",Rubric!$I$6,0),IF(O25="Y",IF(AE25&gt;=3,Rubric!$I$7,Rubric!$I$8),0),IF(Q25="Y",Rubric!$I$9,0)))</f>
        <v>3</v>
      </c>
      <c r="AC25" s="21">
        <f t="array" ref="AC25">MAX(1,INDEX(Rubric!$B$5:$B$9,MATCH(T25,Rubric!$A$5:$A$9,0))-IF(AND(U25="Y",T25&lt;&gt;"P"),Rubric!$I$11,0))</f>
        <v>1</v>
      </c>
      <c r="AD25" s="21">
        <f t="array" ref="AD25">INDEX(Rubric!$E$5:$E$9,MATCH(M25,Rubric!$D$5:$D$9,0))</f>
        <v>2</v>
      </c>
      <c r="AE25" s="10">
        <v>4.0</v>
      </c>
      <c r="AF25" s="10">
        <v>2.0</v>
      </c>
      <c r="AG25" s="10">
        <v>2.0</v>
      </c>
      <c r="AH25" s="21">
        <f t="shared" si="2"/>
        <v>12</v>
      </c>
      <c r="AI25" s="21">
        <f t="shared" si="3"/>
        <v>12</v>
      </c>
      <c r="AJ25" s="21" t="str">
        <f t="array" ref="AJ25">IF(AH25="","",INDEX(Rubric!$M$5:$M$8,MATCH(AH25,Rubric!$L$5:$L$8,1)))</f>
        <v>Medium</v>
      </c>
      <c r="AK25" s="21" t="str">
        <f t="array" ref="AK25">IF(AI25="","",INDEX(Rubric!$M$5:$M$8,MATCH(AI25,Rubric!$L$5:$L$8,1)))</f>
        <v>Medium</v>
      </c>
      <c r="AL25" s="5" t="s">
        <v>1905</v>
      </c>
      <c r="AM25" s="5" t="s">
        <v>1750</v>
      </c>
      <c r="AN25" s="5"/>
      <c r="AO25" s="21" t="s">
        <v>1163</v>
      </c>
      <c r="AP25" s="5" t="s">
        <v>1906</v>
      </c>
      <c r="AQ25" s="5" t="s">
        <v>978</v>
      </c>
      <c r="AR25" s="21" t="s">
        <v>583</v>
      </c>
      <c r="AS25" s="5" t="s">
        <v>587</v>
      </c>
      <c r="AT25" s="21">
        <f>COUNTIF('CVE Register'!$X$5:$X$61,"*"&amp;A25&amp;"*")</f>
        <v>0</v>
      </c>
      <c r="AU25" s="25" t="s">
        <v>599</v>
      </c>
      <c r="AV25" s="5" t="s">
        <v>786</v>
      </c>
    </row>
    <row r="26" ht="78.0" customHeight="1">
      <c r="A26" s="29" t="s">
        <v>437</v>
      </c>
      <c r="B26" s="30" t="s">
        <v>84</v>
      </c>
      <c r="C26" s="40" t="s">
        <v>1907</v>
      </c>
      <c r="D26" s="5" t="s">
        <v>1908</v>
      </c>
      <c r="E26" s="5" t="s">
        <v>1909</v>
      </c>
      <c r="F26" s="21" t="s">
        <v>787</v>
      </c>
      <c r="G26" s="5" t="s">
        <v>613</v>
      </c>
      <c r="H26" s="10" t="s">
        <v>1487</v>
      </c>
      <c r="I26" s="10" t="s">
        <v>228</v>
      </c>
      <c r="J26" s="5" t="s">
        <v>1910</v>
      </c>
      <c r="K26" s="10" t="s">
        <v>990</v>
      </c>
      <c r="L26" s="10" t="s">
        <v>1507</v>
      </c>
      <c r="M26" s="10" t="s">
        <v>88</v>
      </c>
      <c r="N26" s="10" t="s">
        <v>246</v>
      </c>
      <c r="O26" s="10"/>
      <c r="P26" s="10"/>
      <c r="Q26" s="10"/>
      <c r="R26" s="21">
        <f t="shared" si="1"/>
        <v>1</v>
      </c>
      <c r="S26" s="10" t="s">
        <v>260</v>
      </c>
      <c r="T26" s="21" t="str">
        <f>IF(COUNTIFS(Binding!$A$5:$A$108,A26,Binding!$C$5:$C$108,"Attack")=0,"P","E"&amp;MAXIFS(Binding!$J$5:$J$108,Binding!$A$5:$A$108,A26,Binding!$C$5:$C$108,"Attack"))</f>
        <v>E2</v>
      </c>
      <c r="U26" s="10" t="s">
        <v>246</v>
      </c>
      <c r="V26" s="21" t="str">
        <f>IF(T26="P","",IF(COUNTIFS(Binding!$A$5:$A$108,A26,Binding!$C$5:$C$108,"Attack",Binding!$J$5:$J$108,MAXIFS(Binding!$J$5:$J$108,Binding!$A$5:$A$108,A26,Binding!$C$5:$C$108,"Attack"),Binding!$H$5:$H$108,"Yes")=0,"Yes","No"))</f>
        <v>No</v>
      </c>
      <c r="W26" s="5" t="s">
        <v>1911</v>
      </c>
      <c r="X26" s="5"/>
      <c r="Y26" s="5" t="s">
        <v>1912</v>
      </c>
      <c r="Z26" s="10">
        <v>3.0</v>
      </c>
      <c r="AA26" s="10">
        <v>4.0</v>
      </c>
      <c r="AB26" s="21">
        <f>IF(S26="Enabler","",MAX(IF(N26="Y",Rubric!$I$5,0),IF(P26="Y",Rubric!$I$6,0),IF(O26="Y",IF(AE26&gt;=3,Rubric!$I$7,Rubric!$I$8),0),IF(Q26="Y",Rubric!$I$9,0)))</f>
        <v>5</v>
      </c>
      <c r="AC26" s="21">
        <f t="array" ref="AC26">MAX(1,INDEX(Rubric!$B$5:$B$9,MATCH(T26,Rubric!$A$5:$A$9,0))-IF(AND(U26="Y",T26&lt;&gt;"P"),Rubric!$I$11,0))</f>
        <v>3</v>
      </c>
      <c r="AD26" s="21">
        <f t="array" ref="AD26">INDEX(Rubric!$E$5:$E$9,MATCH(M26,Rubric!$D$5:$D$9,0))</f>
        <v>2</v>
      </c>
      <c r="AE26" s="10">
        <v>3.0</v>
      </c>
      <c r="AF26" s="10">
        <v>3.0</v>
      </c>
      <c r="AG26" s="10">
        <v>5.0</v>
      </c>
      <c r="AH26" s="21">
        <f t="shared" si="2"/>
        <v>16</v>
      </c>
      <c r="AI26" s="21">
        <f t="shared" si="3"/>
        <v>18</v>
      </c>
      <c r="AJ26" s="21" t="str">
        <f t="array" ref="AJ26">IF(AH26="","",INDEX(Rubric!$M$5:$M$8,MATCH(AH26,Rubric!$L$5:$L$8,1)))</f>
        <v>High</v>
      </c>
      <c r="AK26" s="21" t="str">
        <f t="array" ref="AK26">IF(AI26="","",INDEX(Rubric!$M$5:$M$8,MATCH(AI26,Rubric!$L$5:$L$8,1)))</f>
        <v>High</v>
      </c>
      <c r="AL26" s="5" t="s">
        <v>1891</v>
      </c>
      <c r="AM26" s="5" t="s">
        <v>975</v>
      </c>
      <c r="AN26" s="5" t="s">
        <v>1576</v>
      </c>
      <c r="AO26" s="21" t="s">
        <v>1096</v>
      </c>
      <c r="AP26" s="5" t="s">
        <v>1913</v>
      </c>
      <c r="AQ26" s="5" t="s">
        <v>1914</v>
      </c>
      <c r="AR26" s="21" t="s">
        <v>583</v>
      </c>
      <c r="AS26" s="5" t="s">
        <v>1792</v>
      </c>
      <c r="AT26" s="21">
        <f>COUNTIF('CVE Register'!$X$5:$X$61,"*"&amp;A26&amp;"*")</f>
        <v>7</v>
      </c>
      <c r="AU26" s="25" t="s">
        <v>1915</v>
      </c>
      <c r="AV26" s="5" t="s">
        <v>796</v>
      </c>
    </row>
    <row r="27" ht="78.0" customHeight="1">
      <c r="A27" s="29" t="s">
        <v>448</v>
      </c>
      <c r="B27" s="30" t="s">
        <v>84</v>
      </c>
      <c r="C27" s="40" t="s">
        <v>1916</v>
      </c>
      <c r="D27" s="5" t="s">
        <v>1917</v>
      </c>
      <c r="E27" s="5" t="s">
        <v>1918</v>
      </c>
      <c r="F27" s="21" t="s">
        <v>787</v>
      </c>
      <c r="G27" s="5" t="s">
        <v>613</v>
      </c>
      <c r="H27" s="10" t="s">
        <v>227</v>
      </c>
      <c r="I27" s="10" t="s">
        <v>1487</v>
      </c>
      <c r="J27" s="5" t="s">
        <v>1919</v>
      </c>
      <c r="K27" s="10" t="s">
        <v>990</v>
      </c>
      <c r="L27" s="10" t="s">
        <v>1507</v>
      </c>
      <c r="M27" s="10" t="s">
        <v>88</v>
      </c>
      <c r="N27" s="10" t="s">
        <v>246</v>
      </c>
      <c r="O27" s="10"/>
      <c r="P27" s="10"/>
      <c r="Q27" s="10"/>
      <c r="R27" s="21">
        <f t="shared" si="1"/>
        <v>1</v>
      </c>
      <c r="S27" s="10" t="s">
        <v>260</v>
      </c>
      <c r="T27" s="21" t="str">
        <f>IF(COUNTIFS(Binding!$A$5:$A$108,A27,Binding!$C$5:$C$108,"Attack")=0,"P","E"&amp;MAXIFS(Binding!$J$5:$J$108,Binding!$A$5:$A$108,A27,Binding!$C$5:$C$108,"Attack"))</f>
        <v>E2</v>
      </c>
      <c r="U27" s="10" t="s">
        <v>246</v>
      </c>
      <c r="V27" s="21" t="str">
        <f>IF(T27="P","",IF(COUNTIFS(Binding!$A$5:$A$108,A27,Binding!$C$5:$C$108,"Attack",Binding!$J$5:$J$108,MAXIFS(Binding!$J$5:$J$108,Binding!$A$5:$A$108,A27,Binding!$C$5:$C$108,"Attack"),Binding!$H$5:$H$108,"Yes")=0,"Yes","No"))</f>
        <v>No</v>
      </c>
      <c r="W27" s="5" t="s">
        <v>1920</v>
      </c>
      <c r="X27" s="5"/>
      <c r="Y27" s="5" t="s">
        <v>1912</v>
      </c>
      <c r="Z27" s="10">
        <v>3.0</v>
      </c>
      <c r="AA27" s="10">
        <v>4.0</v>
      </c>
      <c r="AB27" s="21">
        <f>IF(S27="Enabler","",MAX(IF(N27="Y",Rubric!$I$5,0),IF(P27="Y",Rubric!$I$6,0),IF(O27="Y",IF(AE27&gt;=3,Rubric!$I$7,Rubric!$I$8),0),IF(Q27="Y",Rubric!$I$9,0)))</f>
        <v>5</v>
      </c>
      <c r="AC27" s="21">
        <f t="array" ref="AC27">MAX(1,INDEX(Rubric!$B$5:$B$9,MATCH(T27,Rubric!$A$5:$A$9,0))-IF(AND(U27="Y",T27&lt;&gt;"P"),Rubric!$I$11,0))</f>
        <v>3</v>
      </c>
      <c r="AD27" s="21">
        <f t="array" ref="AD27">INDEX(Rubric!$E$5:$E$9,MATCH(M27,Rubric!$D$5:$D$9,0))</f>
        <v>2</v>
      </c>
      <c r="AE27" s="10">
        <v>3.0</v>
      </c>
      <c r="AF27" s="10">
        <v>3.0</v>
      </c>
      <c r="AG27" s="10">
        <v>5.0</v>
      </c>
      <c r="AH27" s="21">
        <f t="shared" si="2"/>
        <v>16</v>
      </c>
      <c r="AI27" s="21">
        <f t="shared" si="3"/>
        <v>18</v>
      </c>
      <c r="AJ27" s="21" t="str">
        <f t="array" ref="AJ27">IF(AH27="","",INDEX(Rubric!$M$5:$M$8,MATCH(AH27,Rubric!$L$5:$L$8,1)))</f>
        <v>High</v>
      </c>
      <c r="AK27" s="21" t="str">
        <f t="array" ref="AK27">IF(AI27="","",INDEX(Rubric!$M$5:$M$8,MATCH(AI27,Rubric!$L$5:$L$8,1)))</f>
        <v>High</v>
      </c>
      <c r="AL27" s="5" t="s">
        <v>1891</v>
      </c>
      <c r="AM27" s="5" t="s">
        <v>975</v>
      </c>
      <c r="AN27" s="5" t="s">
        <v>1576</v>
      </c>
      <c r="AO27" s="21" t="s">
        <v>1096</v>
      </c>
      <c r="AP27" s="5" t="s">
        <v>1921</v>
      </c>
      <c r="AQ27" s="5" t="s">
        <v>1752</v>
      </c>
      <c r="AR27" s="21" t="s">
        <v>583</v>
      </c>
      <c r="AS27" s="5" t="s">
        <v>587</v>
      </c>
      <c r="AT27" s="21">
        <f>COUNTIF('CVE Register'!$X$5:$X$61,"*"&amp;A27&amp;"*")</f>
        <v>7</v>
      </c>
      <c r="AU27" s="25" t="s">
        <v>1915</v>
      </c>
      <c r="AV27" s="5" t="s">
        <v>796</v>
      </c>
    </row>
    <row r="28" ht="78.0" customHeight="1">
      <c r="A28" s="29" t="s">
        <v>455</v>
      </c>
      <c r="B28" s="30" t="s">
        <v>84</v>
      </c>
      <c r="C28" s="40" t="s">
        <v>1922</v>
      </c>
      <c r="D28" s="5" t="s">
        <v>1923</v>
      </c>
      <c r="E28" s="5" t="s">
        <v>1924</v>
      </c>
      <c r="F28" s="21" t="s">
        <v>797</v>
      </c>
      <c r="G28" s="5" t="s">
        <v>765</v>
      </c>
      <c r="H28" s="10" t="s">
        <v>1182</v>
      </c>
      <c r="I28" s="10"/>
      <c r="J28" s="5" t="s">
        <v>229</v>
      </c>
      <c r="K28" s="10"/>
      <c r="L28" s="10" t="s">
        <v>1507</v>
      </c>
      <c r="M28" s="10" t="s">
        <v>78</v>
      </c>
      <c r="N28" s="10"/>
      <c r="O28" s="10"/>
      <c r="P28" s="10"/>
      <c r="Q28" s="10" t="s">
        <v>246</v>
      </c>
      <c r="R28" s="21">
        <f t="shared" si="1"/>
        <v>1</v>
      </c>
      <c r="S28" s="10" t="s">
        <v>260</v>
      </c>
      <c r="T28" s="21" t="str">
        <f>IF(COUNTIFS(Binding!$A$5:$A$108,A28,Binding!$C$5:$C$108,"Attack")=0,"P","E"&amp;MAXIFS(Binding!$J$5:$J$108,Binding!$A$5:$A$108,A28,Binding!$C$5:$C$108,"Attack"))</f>
        <v>E3</v>
      </c>
      <c r="U28" s="10" t="s">
        <v>246</v>
      </c>
      <c r="V28" s="21" t="str">
        <f>IF(T28="P","",IF(COUNTIFS(Binding!$A$5:$A$108,A28,Binding!$C$5:$C$108,"Attack",Binding!$J$5:$J$108,MAXIFS(Binding!$J$5:$J$108,Binding!$A$5:$A$108,A28,Binding!$C$5:$C$108,"Attack"),Binding!$H$5:$H$108,"Yes")=0,"Yes","No"))</f>
        <v>No</v>
      </c>
      <c r="W28" s="5" t="s">
        <v>1925</v>
      </c>
      <c r="X28" s="5"/>
      <c r="Y28" s="5" t="s">
        <v>1926</v>
      </c>
      <c r="Z28" s="10">
        <v>1.0</v>
      </c>
      <c r="AA28" s="10">
        <v>2.0</v>
      </c>
      <c r="AB28" s="21">
        <f>IF(S28="Enabler","",MAX(IF(N28="Y",Rubric!$I$5,0),IF(P28="Y",Rubric!$I$6,0),IF(O28="Y",IF(AE28&gt;=3,Rubric!$I$7,Rubric!$I$8),0),IF(Q28="Y",Rubric!$I$9,0)))</f>
        <v>1</v>
      </c>
      <c r="AC28" s="21">
        <f t="array" ref="AC28">MAX(1,INDEX(Rubric!$B$5:$B$9,MATCH(T28,Rubric!$A$5:$A$9,0))-IF(AND(U28="Y",T28&lt;&gt;"P"),Rubric!$I$11,0))</f>
        <v>4</v>
      </c>
      <c r="AD28" s="21">
        <f t="array" ref="AD28">INDEX(Rubric!$E$5:$E$9,MATCH(M28,Rubric!$D$5:$D$9,0))</f>
        <v>3</v>
      </c>
      <c r="AE28" s="10">
        <v>4.0</v>
      </c>
      <c r="AF28" s="10">
        <v>5.0</v>
      </c>
      <c r="AG28" s="10">
        <v>5.0</v>
      </c>
      <c r="AH28" s="21">
        <f t="shared" si="2"/>
        <v>17</v>
      </c>
      <c r="AI28" s="21">
        <f t="shared" si="3"/>
        <v>17</v>
      </c>
      <c r="AJ28" s="21" t="str">
        <f t="array" ref="AJ28">IF(AH28="","",INDEX(Rubric!$M$5:$M$8,MATCH(AH28,Rubric!$L$5:$L$8,1)))</f>
        <v>High</v>
      </c>
      <c r="AK28" s="21" t="str">
        <f t="array" ref="AK28">IF(AI28="","",INDEX(Rubric!$M$5:$M$8,MATCH(AI28,Rubric!$L$5:$L$8,1)))</f>
        <v>High</v>
      </c>
      <c r="AL28" s="5" t="s">
        <v>1927</v>
      </c>
      <c r="AM28" s="5" t="s">
        <v>1750</v>
      </c>
      <c r="AN28" s="5"/>
      <c r="AO28" s="21" t="s">
        <v>1176</v>
      </c>
      <c r="AP28" s="5" t="s">
        <v>1928</v>
      </c>
      <c r="AQ28" s="5" t="s">
        <v>1929</v>
      </c>
      <c r="AR28" s="21" t="s">
        <v>1593</v>
      </c>
      <c r="AS28" s="5" t="s">
        <v>587</v>
      </c>
      <c r="AT28" s="21">
        <f>COUNTIF('CVE Register'!$X$5:$X$61,"*"&amp;A28&amp;"*")</f>
        <v>0</v>
      </c>
      <c r="AU28" s="25" t="s">
        <v>599</v>
      </c>
      <c r="AV28" s="5" t="s">
        <v>1930</v>
      </c>
    </row>
    <row r="29" ht="78.0" customHeight="1">
      <c r="A29" s="29" t="s">
        <v>469</v>
      </c>
      <c r="B29" s="30" t="s">
        <v>84</v>
      </c>
      <c r="C29" s="40" t="s">
        <v>1931</v>
      </c>
      <c r="D29" s="5" t="s">
        <v>1932</v>
      </c>
      <c r="E29" s="5" t="s">
        <v>1933</v>
      </c>
      <c r="F29" s="21" t="s">
        <v>797</v>
      </c>
      <c r="G29" s="5" t="s">
        <v>765</v>
      </c>
      <c r="H29" s="10" t="s">
        <v>228</v>
      </c>
      <c r="I29" s="10" t="s">
        <v>227</v>
      </c>
      <c r="J29" s="5" t="s">
        <v>229</v>
      </c>
      <c r="K29" s="10"/>
      <c r="L29" s="10" t="s">
        <v>1507</v>
      </c>
      <c r="M29" s="10" t="s">
        <v>78</v>
      </c>
      <c r="N29" s="10" t="s">
        <v>246</v>
      </c>
      <c r="O29" s="10"/>
      <c r="P29" s="10" t="s">
        <v>246</v>
      </c>
      <c r="Q29" s="10"/>
      <c r="R29" s="21">
        <f t="shared" si="1"/>
        <v>2</v>
      </c>
      <c r="S29" s="10" t="s">
        <v>260</v>
      </c>
      <c r="T29" s="21" t="str">
        <f>IF(COUNTIFS(Binding!$A$5:$A$108,A29,Binding!$C$5:$C$108,"Attack")=0,"P","E"&amp;MAXIFS(Binding!$J$5:$J$108,Binding!$A$5:$A$108,A29,Binding!$C$5:$C$108,"Attack"))</f>
        <v>E3</v>
      </c>
      <c r="U29" s="10" t="s">
        <v>246</v>
      </c>
      <c r="V29" s="21" t="str">
        <f>IF(T29="P","",IF(COUNTIFS(Binding!$A$5:$A$108,A29,Binding!$C$5:$C$108,"Attack",Binding!$J$5:$J$108,MAXIFS(Binding!$J$5:$J$108,Binding!$A$5:$A$108,A29,Binding!$C$5:$C$108,"Attack"),Binding!$H$5:$H$108,"Yes")=0,"Yes","No"))</f>
        <v>No</v>
      </c>
      <c r="W29" s="5" t="s">
        <v>1934</v>
      </c>
      <c r="X29" s="5"/>
      <c r="Y29" s="5" t="s">
        <v>1935</v>
      </c>
      <c r="Z29" s="10">
        <v>1.0</v>
      </c>
      <c r="AA29" s="10">
        <v>2.0</v>
      </c>
      <c r="AB29" s="21">
        <f>IF(S29="Enabler","",MAX(IF(N29="Y",Rubric!$I$5,0),IF(P29="Y",Rubric!$I$6,0),IF(O29="Y",IF(AE29&gt;=3,Rubric!$I$7,Rubric!$I$8),0),IF(Q29="Y",Rubric!$I$9,0)))</f>
        <v>5</v>
      </c>
      <c r="AC29" s="21">
        <f t="array" ref="AC29">MAX(1,INDEX(Rubric!$B$5:$B$9,MATCH(T29,Rubric!$A$5:$A$9,0))-IF(AND(U29="Y",T29&lt;&gt;"P"),Rubric!$I$11,0))</f>
        <v>4</v>
      </c>
      <c r="AD29" s="21">
        <f t="array" ref="AD29">INDEX(Rubric!$E$5:$E$9,MATCH(M29,Rubric!$D$5:$D$9,0))</f>
        <v>3</v>
      </c>
      <c r="AE29" s="10">
        <v>4.0</v>
      </c>
      <c r="AF29" s="10">
        <v>3.0</v>
      </c>
      <c r="AG29" s="10">
        <v>5.0</v>
      </c>
      <c r="AH29" s="21">
        <f t="shared" si="2"/>
        <v>19</v>
      </c>
      <c r="AI29" s="21">
        <f t="shared" si="3"/>
        <v>21</v>
      </c>
      <c r="AJ29" s="21" t="str">
        <f t="array" ref="AJ29">IF(AH29="","",INDEX(Rubric!$M$5:$M$8,MATCH(AH29,Rubric!$L$5:$L$8,1)))</f>
        <v>High</v>
      </c>
      <c r="AK29" s="21" t="str">
        <f t="array" ref="AK29">IF(AI29="","",INDEX(Rubric!$M$5:$M$8,MATCH(AI29,Rubric!$L$5:$L$8,1)))</f>
        <v>Critical</v>
      </c>
      <c r="AL29" s="5" t="s">
        <v>1884</v>
      </c>
      <c r="AM29" s="5" t="s">
        <v>1750</v>
      </c>
      <c r="AN29" s="5" t="s">
        <v>1467</v>
      </c>
      <c r="AO29" s="21"/>
      <c r="AP29" s="5" t="s">
        <v>1936</v>
      </c>
      <c r="AQ29" s="5" t="s">
        <v>580</v>
      </c>
      <c r="AR29" s="21" t="s">
        <v>583</v>
      </c>
      <c r="AS29" s="5" t="s">
        <v>587</v>
      </c>
      <c r="AT29" s="21">
        <f>COUNTIF('CVE Register'!$X$5:$X$61,"*"&amp;A29&amp;"*")</f>
        <v>0</v>
      </c>
      <c r="AU29" s="25" t="s">
        <v>599</v>
      </c>
      <c r="AV29" s="5" t="s">
        <v>804</v>
      </c>
    </row>
    <row r="30" ht="78.0" customHeight="1">
      <c r="A30" s="29" t="s">
        <v>475</v>
      </c>
      <c r="B30" s="30" t="s">
        <v>84</v>
      </c>
      <c r="C30" s="40" t="s">
        <v>1937</v>
      </c>
      <c r="D30" s="5" t="s">
        <v>1938</v>
      </c>
      <c r="E30" s="5" t="s">
        <v>1939</v>
      </c>
      <c r="F30" s="21" t="s">
        <v>805</v>
      </c>
      <c r="G30" s="5" t="s">
        <v>1940</v>
      </c>
      <c r="H30" s="10" t="s">
        <v>1182</v>
      </c>
      <c r="I30" s="10"/>
      <c r="J30" s="5" t="s">
        <v>229</v>
      </c>
      <c r="K30" s="10"/>
      <c r="L30" s="10" t="s">
        <v>1507</v>
      </c>
      <c r="M30" s="10" t="s">
        <v>78</v>
      </c>
      <c r="N30" s="10"/>
      <c r="O30" s="10"/>
      <c r="P30" s="10"/>
      <c r="Q30" s="10" t="s">
        <v>246</v>
      </c>
      <c r="R30" s="21">
        <f t="shared" si="1"/>
        <v>1</v>
      </c>
      <c r="S30" s="10" t="s">
        <v>260</v>
      </c>
      <c r="T30" s="21" t="str">
        <f>IF(COUNTIFS(Binding!$A$5:$A$108,A30,Binding!$C$5:$C$108,"Attack")=0,"P","E"&amp;MAXIFS(Binding!$J$5:$J$108,Binding!$A$5:$A$108,A30,Binding!$C$5:$C$108,"Attack"))</f>
        <v>E3</v>
      </c>
      <c r="U30" s="10" t="s">
        <v>246</v>
      </c>
      <c r="V30" s="21" t="str">
        <f>IF(T30="P","",IF(COUNTIFS(Binding!$A$5:$A$108,A30,Binding!$C$5:$C$108,"Attack",Binding!$J$5:$J$108,MAXIFS(Binding!$J$5:$J$108,Binding!$A$5:$A$108,A30,Binding!$C$5:$C$108,"Attack"),Binding!$H$5:$H$108,"Yes")=0,"Yes","No"))</f>
        <v>Yes</v>
      </c>
      <c r="W30" s="5" t="s">
        <v>1941</v>
      </c>
      <c r="X30" s="5"/>
      <c r="Y30" s="5" t="s">
        <v>1942</v>
      </c>
      <c r="Z30" s="10">
        <v>3.0</v>
      </c>
      <c r="AA30" s="10">
        <v>4.0</v>
      </c>
      <c r="AB30" s="21">
        <f>IF(S30="Enabler","",MAX(IF(N30="Y",Rubric!$I$5,0),IF(P30="Y",Rubric!$I$6,0),IF(O30="Y",IF(AE30&gt;=3,Rubric!$I$7,Rubric!$I$8),0),IF(Q30="Y",Rubric!$I$9,0)))</f>
        <v>1</v>
      </c>
      <c r="AC30" s="21">
        <f t="array" ref="AC30">MAX(1,INDEX(Rubric!$B$5:$B$9,MATCH(T30,Rubric!$A$5:$A$9,0))-IF(AND(U30="Y",T30&lt;&gt;"P"),Rubric!$I$11,0))</f>
        <v>4</v>
      </c>
      <c r="AD30" s="21">
        <f t="array" ref="AD30">INDEX(Rubric!$E$5:$E$9,MATCH(M30,Rubric!$D$5:$D$9,0))</f>
        <v>3</v>
      </c>
      <c r="AE30" s="10">
        <v>4.0</v>
      </c>
      <c r="AF30" s="10">
        <v>5.0</v>
      </c>
      <c r="AG30" s="10">
        <v>5.0</v>
      </c>
      <c r="AH30" s="21">
        <f t="shared" si="2"/>
        <v>17</v>
      </c>
      <c r="AI30" s="21">
        <f t="shared" si="3"/>
        <v>17</v>
      </c>
      <c r="AJ30" s="21" t="str">
        <f t="array" ref="AJ30">IF(AH30="","",INDEX(Rubric!$M$5:$M$8,MATCH(AH30,Rubric!$L$5:$L$8,1)))</f>
        <v>High</v>
      </c>
      <c r="AK30" s="21" t="str">
        <f t="array" ref="AK30">IF(AI30="","",INDEX(Rubric!$M$5:$M$8,MATCH(AI30,Rubric!$L$5:$L$8,1)))</f>
        <v>High</v>
      </c>
      <c r="AL30" s="5" t="s">
        <v>1927</v>
      </c>
      <c r="AM30" s="5" t="s">
        <v>1750</v>
      </c>
      <c r="AN30" s="5"/>
      <c r="AO30" s="21"/>
      <c r="AP30" s="5" t="s">
        <v>1943</v>
      </c>
      <c r="AQ30" s="5" t="s">
        <v>1929</v>
      </c>
      <c r="AR30" s="21" t="s">
        <v>1593</v>
      </c>
      <c r="AS30" s="5" t="s">
        <v>587</v>
      </c>
      <c r="AT30" s="21">
        <f>COUNTIF('CVE Register'!$X$5:$X$61,"*"&amp;A30&amp;"*")</f>
        <v>0</v>
      </c>
      <c r="AU30" s="25" t="s">
        <v>599</v>
      </c>
      <c r="AV30" s="5" t="s">
        <v>1944</v>
      </c>
    </row>
    <row r="31" ht="78.0" customHeight="1">
      <c r="A31" s="29" t="s">
        <v>487</v>
      </c>
      <c r="B31" s="30" t="s">
        <v>84</v>
      </c>
      <c r="C31" s="40" t="s">
        <v>1945</v>
      </c>
      <c r="D31" s="5" t="s">
        <v>1946</v>
      </c>
      <c r="E31" s="5" t="s">
        <v>1947</v>
      </c>
      <c r="F31" s="21" t="s">
        <v>805</v>
      </c>
      <c r="G31" s="5" t="s">
        <v>1940</v>
      </c>
      <c r="H31" s="10" t="s">
        <v>37</v>
      </c>
      <c r="I31" s="10" t="s">
        <v>227</v>
      </c>
      <c r="J31" s="5" t="s">
        <v>229</v>
      </c>
      <c r="K31" s="10"/>
      <c r="L31" s="10" t="s">
        <v>1510</v>
      </c>
      <c r="M31" s="10" t="s">
        <v>78</v>
      </c>
      <c r="N31" s="10" t="s">
        <v>246</v>
      </c>
      <c r="O31" s="10" t="s">
        <v>246</v>
      </c>
      <c r="P31" s="10"/>
      <c r="Q31" s="10"/>
      <c r="R31" s="21">
        <f t="shared" si="1"/>
        <v>2</v>
      </c>
      <c r="S31" s="10" t="s">
        <v>260</v>
      </c>
      <c r="T31" s="21" t="str">
        <f>IF(COUNTIFS(Binding!$A$5:$A$108,A31,Binding!$C$5:$C$108,"Attack")=0,"P","E"&amp;MAXIFS(Binding!$J$5:$J$108,Binding!$A$5:$A$108,A31,Binding!$C$5:$C$108,"Attack"))</f>
        <v>E2</v>
      </c>
      <c r="U31" s="10" t="s">
        <v>298</v>
      </c>
      <c r="V31" s="21" t="str">
        <f>IF(T31="P","",IF(COUNTIFS(Binding!$A$5:$A$108,A31,Binding!$C$5:$C$108,"Attack",Binding!$J$5:$J$108,MAXIFS(Binding!$J$5:$J$108,Binding!$A$5:$A$108,A31,Binding!$C$5:$C$108,"Attack"),Binding!$H$5:$H$108,"Yes")=0,"Yes","No"))</f>
        <v>Yes</v>
      </c>
      <c r="W31" s="5" t="s">
        <v>1804</v>
      </c>
      <c r="X31" s="5"/>
      <c r="Y31" s="5" t="s">
        <v>1805</v>
      </c>
      <c r="Z31" s="10">
        <v>3.0</v>
      </c>
      <c r="AA31" s="10">
        <v>4.0</v>
      </c>
      <c r="AB31" s="21">
        <f>IF(S31="Enabler","",MAX(IF(N31="Y",Rubric!$I$5,0),IF(P31="Y",Rubric!$I$6,0),IF(O31="Y",IF(AE31&gt;=3,Rubric!$I$7,Rubric!$I$8),0),IF(Q31="Y",Rubric!$I$9,0)))</f>
        <v>5</v>
      </c>
      <c r="AC31" s="21">
        <f t="array" ref="AC31">MAX(1,INDEX(Rubric!$B$5:$B$9,MATCH(T31,Rubric!$A$5:$A$9,0))-IF(AND(U31="Y",T31&lt;&gt;"P"),Rubric!$I$11,0))</f>
        <v>4</v>
      </c>
      <c r="AD31" s="21">
        <f t="array" ref="AD31">INDEX(Rubric!$E$5:$E$9,MATCH(M31,Rubric!$D$5:$D$9,0))</f>
        <v>3</v>
      </c>
      <c r="AE31" s="10">
        <v>5.0</v>
      </c>
      <c r="AF31" s="10">
        <v>4.0</v>
      </c>
      <c r="AG31" s="10">
        <v>4.0</v>
      </c>
      <c r="AH31" s="21">
        <f t="shared" si="2"/>
        <v>21</v>
      </c>
      <c r="AI31" s="21">
        <f t="shared" si="3"/>
        <v>21</v>
      </c>
      <c r="AJ31" s="21" t="str">
        <f t="array" ref="AJ31">IF(AH31="","",INDEX(Rubric!$M$5:$M$8,MATCH(AH31,Rubric!$L$5:$L$8,1)))</f>
        <v>Critical</v>
      </c>
      <c r="AK31" s="21" t="str">
        <f t="array" ref="AK31">IF(AI31="","",INDEX(Rubric!$M$5:$M$8,MATCH(AI31,Rubric!$L$5:$L$8,1)))</f>
        <v>Critical</v>
      </c>
      <c r="AL31" s="5" t="s">
        <v>1822</v>
      </c>
      <c r="AM31" s="5" t="s">
        <v>1855</v>
      </c>
      <c r="AN31" s="5" t="s">
        <v>1583</v>
      </c>
      <c r="AO31" s="21" t="s">
        <v>1263</v>
      </c>
      <c r="AP31" s="5" t="s">
        <v>1948</v>
      </c>
      <c r="AQ31" s="5" t="s">
        <v>1752</v>
      </c>
      <c r="AR31" s="21" t="s">
        <v>583</v>
      </c>
      <c r="AS31" s="5" t="s">
        <v>587</v>
      </c>
      <c r="AT31" s="21">
        <f>COUNTIF('CVE Register'!$X$5:$X$61,"*"&amp;A31&amp;"*")</f>
        <v>10</v>
      </c>
      <c r="AU31" s="25" t="s">
        <v>1949</v>
      </c>
      <c r="AV31" s="5" t="s">
        <v>814</v>
      </c>
    </row>
    <row r="32" ht="78.0" customHeight="1">
      <c r="A32" s="29" t="s">
        <v>490</v>
      </c>
      <c r="B32" s="30" t="s">
        <v>84</v>
      </c>
      <c r="C32" s="40" t="s">
        <v>1950</v>
      </c>
      <c r="D32" s="5" t="s">
        <v>1951</v>
      </c>
      <c r="E32" s="5" t="s">
        <v>1952</v>
      </c>
      <c r="F32" s="21" t="s">
        <v>797</v>
      </c>
      <c r="G32" s="5" t="s">
        <v>1895</v>
      </c>
      <c r="H32" s="10" t="s">
        <v>37</v>
      </c>
      <c r="I32" s="10" t="s">
        <v>228</v>
      </c>
      <c r="J32" s="5" t="s">
        <v>229</v>
      </c>
      <c r="K32" s="10"/>
      <c r="L32" s="10" t="s">
        <v>1510</v>
      </c>
      <c r="M32" s="10" t="s">
        <v>78</v>
      </c>
      <c r="N32" s="10" t="s">
        <v>246</v>
      </c>
      <c r="O32" s="10" t="s">
        <v>246</v>
      </c>
      <c r="P32" s="10"/>
      <c r="Q32" s="10"/>
      <c r="R32" s="21">
        <f t="shared" si="1"/>
        <v>2</v>
      </c>
      <c r="S32" s="10" t="s">
        <v>260</v>
      </c>
      <c r="T32" s="21" t="str">
        <f>IF(COUNTIFS(Binding!$A$5:$A$108,A32,Binding!$C$5:$C$108,"Attack")=0,"P","E"&amp;MAXIFS(Binding!$J$5:$J$108,Binding!$A$5:$A$108,A32,Binding!$C$5:$C$108,"Attack"))</f>
        <v>E2</v>
      </c>
      <c r="U32" s="10" t="s">
        <v>246</v>
      </c>
      <c r="V32" s="21" t="str">
        <f>IF(T32="P","",IF(COUNTIFS(Binding!$A$5:$A$108,A32,Binding!$C$5:$C$108,"Attack",Binding!$J$5:$J$108,MAXIFS(Binding!$J$5:$J$108,Binding!$A$5:$A$108,A32,Binding!$C$5:$C$108,"Attack"),Binding!$H$5:$H$108,"Yes")=0,"Yes","No"))</f>
        <v>Yes</v>
      </c>
      <c r="W32" s="5" t="s">
        <v>1953</v>
      </c>
      <c r="X32" s="5"/>
      <c r="Y32" s="5" t="s">
        <v>1954</v>
      </c>
      <c r="Z32" s="10">
        <v>1.0</v>
      </c>
      <c r="AA32" s="10">
        <v>2.0</v>
      </c>
      <c r="AB32" s="21">
        <f>IF(S32="Enabler","",MAX(IF(N32="Y",Rubric!$I$5,0),IF(P32="Y",Rubric!$I$6,0),IF(O32="Y",IF(AE32&gt;=3,Rubric!$I$7,Rubric!$I$8),0),IF(Q32="Y",Rubric!$I$9,0)))</f>
        <v>5</v>
      </c>
      <c r="AC32" s="21">
        <f t="array" ref="AC32">MAX(1,INDEX(Rubric!$B$5:$B$9,MATCH(T32,Rubric!$A$5:$A$9,0))-IF(AND(U32="Y",T32&lt;&gt;"P"),Rubric!$I$11,0))</f>
        <v>3</v>
      </c>
      <c r="AD32" s="21">
        <f t="array" ref="AD32">INDEX(Rubric!$E$5:$E$9,MATCH(M32,Rubric!$D$5:$D$9,0))</f>
        <v>3</v>
      </c>
      <c r="AE32" s="10">
        <v>4.0</v>
      </c>
      <c r="AF32" s="10">
        <v>4.0</v>
      </c>
      <c r="AG32" s="10">
        <v>4.0</v>
      </c>
      <c r="AH32" s="21">
        <f t="shared" si="2"/>
        <v>19</v>
      </c>
      <c r="AI32" s="21">
        <f t="shared" si="3"/>
        <v>19</v>
      </c>
      <c r="AJ32" s="21" t="str">
        <f t="array" ref="AJ32">IF(AH32="","",INDEX(Rubric!$M$5:$M$8,MATCH(AH32,Rubric!$L$5:$L$8,1)))</f>
        <v>High</v>
      </c>
      <c r="AK32" s="21" t="str">
        <f t="array" ref="AK32">IF(AI32="","",INDEX(Rubric!$M$5:$M$8,MATCH(AI32,Rubric!$L$5:$L$8,1)))</f>
        <v>High</v>
      </c>
      <c r="AL32" s="5" t="s">
        <v>1955</v>
      </c>
      <c r="AM32" s="5" t="s">
        <v>1750</v>
      </c>
      <c r="AN32" s="5" t="s">
        <v>1583</v>
      </c>
      <c r="AO32" s="21" t="s">
        <v>1238</v>
      </c>
      <c r="AP32" s="5" t="s">
        <v>1956</v>
      </c>
      <c r="AQ32" s="5" t="s">
        <v>1957</v>
      </c>
      <c r="AR32" s="21" t="s">
        <v>583</v>
      </c>
      <c r="AS32" s="5" t="s">
        <v>587</v>
      </c>
      <c r="AT32" s="21">
        <f>COUNTIF('CVE Register'!$X$5:$X$61,"*"&amp;A32&amp;"*")</f>
        <v>10</v>
      </c>
      <c r="AU32" s="25" t="s">
        <v>1949</v>
      </c>
      <c r="AV32" s="5" t="s">
        <v>804</v>
      </c>
    </row>
    <row r="33" ht="78.0" customHeight="1">
      <c r="A33" s="31" t="s">
        <v>1958</v>
      </c>
      <c r="B33" s="32" t="s">
        <v>147</v>
      </c>
      <c r="C33" s="41" t="s">
        <v>1959</v>
      </c>
      <c r="D33" s="5" t="s">
        <v>1960</v>
      </c>
      <c r="E33" s="5" t="s">
        <v>1961</v>
      </c>
      <c r="F33" s="21" t="s">
        <v>815</v>
      </c>
      <c r="G33" s="5" t="s">
        <v>765</v>
      </c>
      <c r="H33" s="10" t="s">
        <v>228</v>
      </c>
      <c r="I33" s="10"/>
      <c r="J33" s="5" t="s">
        <v>229</v>
      </c>
      <c r="K33" s="10"/>
      <c r="L33" s="10" t="s">
        <v>1510</v>
      </c>
      <c r="M33" s="10" t="s">
        <v>78</v>
      </c>
      <c r="N33" s="10" t="s">
        <v>246</v>
      </c>
      <c r="O33" s="10"/>
      <c r="P33" s="10" t="s">
        <v>246</v>
      </c>
      <c r="Q33" s="10"/>
      <c r="R33" s="21">
        <f t="shared" si="1"/>
        <v>2</v>
      </c>
      <c r="S33" s="10" t="s">
        <v>260</v>
      </c>
      <c r="T33" s="21" t="str">
        <f>IF(COUNTIFS(Binding!$A$5:$A$108,A33,Binding!$C$5:$C$108,"Attack")=0,"P","E"&amp;MAXIFS(Binding!$J$5:$J$108,Binding!$A$5:$A$108,A33,Binding!$C$5:$C$108,"Attack"))</f>
        <v>P</v>
      </c>
      <c r="U33" s="10"/>
      <c r="V33" s="21" t="str">
        <f>IF(T33="P","",IF(COUNTIFS(Binding!$A$5:$A$108,A33,Binding!$C$5:$C$108,"Attack",Binding!$J$5:$J$108,MAXIFS(Binding!$J$5:$J$108,Binding!$A$5:$A$108,A33,Binding!$C$5:$C$108,"Attack"),Binding!$H$5:$H$108,"Yes")=0,"Yes","No"))</f>
        <v/>
      </c>
      <c r="W33" s="5" t="s">
        <v>1904</v>
      </c>
      <c r="X33" s="5"/>
      <c r="Y33" s="5"/>
      <c r="Z33" s="10">
        <v>0.0</v>
      </c>
      <c r="AA33" s="10">
        <v>1.0</v>
      </c>
      <c r="AB33" s="21">
        <f>IF(S33="Enabler","",MAX(IF(N33="Y",Rubric!$I$5,0),IF(P33="Y",Rubric!$I$6,0),IF(O33="Y",IF(AE33&gt;=3,Rubric!$I$7,Rubric!$I$8),0),IF(Q33="Y",Rubric!$I$9,0)))</f>
        <v>5</v>
      </c>
      <c r="AC33" s="21">
        <f t="array" ref="AC33">MAX(1,INDEX(Rubric!$B$5:$B$9,MATCH(T33,Rubric!$A$5:$A$9,0))-IF(AND(U33="Y",T33&lt;&gt;"P"),Rubric!$I$11,0))</f>
        <v>1</v>
      </c>
      <c r="AD33" s="21">
        <f t="array" ref="AD33">INDEX(Rubric!$E$5:$E$9,MATCH(M33,Rubric!$D$5:$D$9,0))</f>
        <v>3</v>
      </c>
      <c r="AE33" s="10">
        <v>5.0</v>
      </c>
      <c r="AF33" s="10">
        <v>4.0</v>
      </c>
      <c r="AG33" s="10">
        <v>4.0</v>
      </c>
      <c r="AH33" s="21">
        <f t="shared" si="2"/>
        <v>18</v>
      </c>
      <c r="AI33" s="21">
        <f t="shared" si="3"/>
        <v>18</v>
      </c>
      <c r="AJ33" s="21" t="str">
        <f t="array" ref="AJ33">IF(AH33="","",INDEX(Rubric!$M$5:$M$8,MATCH(AH33,Rubric!$L$5:$L$8,1)))</f>
        <v>High</v>
      </c>
      <c r="AK33" s="21" t="str">
        <f t="array" ref="AK33">IF(AI33="","",INDEX(Rubric!$M$5:$M$8,MATCH(AI33,Rubric!$L$5:$L$8,1)))</f>
        <v>High</v>
      </c>
      <c r="AL33" s="5" t="s">
        <v>1962</v>
      </c>
      <c r="AM33" s="5" t="s">
        <v>1855</v>
      </c>
      <c r="AN33" s="5" t="s">
        <v>1585</v>
      </c>
      <c r="AO33" s="21" t="s">
        <v>1214</v>
      </c>
      <c r="AP33" s="5" t="s">
        <v>1752</v>
      </c>
      <c r="AQ33" s="5" t="s">
        <v>1963</v>
      </c>
      <c r="AR33" s="21" t="s">
        <v>583</v>
      </c>
      <c r="AS33" s="5" t="s">
        <v>587</v>
      </c>
      <c r="AT33" s="21">
        <f>COUNTIF('CVE Register'!$X$5:$X$61,"*"&amp;A33&amp;"*")</f>
        <v>0</v>
      </c>
      <c r="AU33" s="25" t="s">
        <v>599</v>
      </c>
      <c r="AV33" s="5" t="s">
        <v>821</v>
      </c>
    </row>
    <row r="34" ht="78.0" customHeight="1">
      <c r="A34" s="31" t="s">
        <v>1964</v>
      </c>
      <c r="B34" s="32" t="s">
        <v>147</v>
      </c>
      <c r="C34" s="41" t="s">
        <v>1965</v>
      </c>
      <c r="D34" s="5" t="s">
        <v>1966</v>
      </c>
      <c r="E34" s="5" t="s">
        <v>1967</v>
      </c>
      <c r="F34" s="21" t="s">
        <v>842</v>
      </c>
      <c r="G34" s="5" t="s">
        <v>1895</v>
      </c>
      <c r="H34" s="10" t="s">
        <v>228</v>
      </c>
      <c r="I34" s="10" t="s">
        <v>37</v>
      </c>
      <c r="J34" s="5" t="s">
        <v>229</v>
      </c>
      <c r="K34" s="10"/>
      <c r="L34" s="10" t="s">
        <v>1510</v>
      </c>
      <c r="M34" s="10" t="s">
        <v>78</v>
      </c>
      <c r="N34" s="10" t="s">
        <v>246</v>
      </c>
      <c r="O34" s="10"/>
      <c r="P34" s="10" t="s">
        <v>246</v>
      </c>
      <c r="Q34" s="10"/>
      <c r="R34" s="21">
        <f t="shared" si="1"/>
        <v>2</v>
      </c>
      <c r="S34" s="10" t="s">
        <v>260</v>
      </c>
      <c r="T34" s="21" t="str">
        <f>IF(COUNTIFS(Binding!$A$5:$A$108,A34,Binding!$C$5:$C$108,"Attack")=0,"P","E"&amp;MAXIFS(Binding!$J$5:$J$108,Binding!$A$5:$A$108,A34,Binding!$C$5:$C$108,"Attack"))</f>
        <v>P</v>
      </c>
      <c r="U34" s="10"/>
      <c r="V34" s="21" t="str">
        <f>IF(T34="P","",IF(COUNTIFS(Binding!$A$5:$A$108,A34,Binding!$C$5:$C$108,"Attack",Binding!$J$5:$J$108,MAXIFS(Binding!$J$5:$J$108,Binding!$A$5:$A$108,A34,Binding!$C$5:$C$108,"Attack"),Binding!$H$5:$H$108,"Yes")=0,"Yes","No"))</f>
        <v/>
      </c>
      <c r="W34" s="5" t="s">
        <v>1904</v>
      </c>
      <c r="X34" s="5"/>
      <c r="Y34" s="5"/>
      <c r="Z34" s="10">
        <v>0.0</v>
      </c>
      <c r="AA34" s="10">
        <v>1.0</v>
      </c>
      <c r="AB34" s="21">
        <f>IF(S34="Enabler","",MAX(IF(N34="Y",Rubric!$I$5,0),IF(P34="Y",Rubric!$I$6,0),IF(O34="Y",IF(AE34&gt;=3,Rubric!$I$7,Rubric!$I$8),0),IF(Q34="Y",Rubric!$I$9,0)))</f>
        <v>5</v>
      </c>
      <c r="AC34" s="21">
        <f t="array" ref="AC34">MAX(1,INDEX(Rubric!$B$5:$B$9,MATCH(T34,Rubric!$A$5:$A$9,0))-IF(AND(U34="Y",T34&lt;&gt;"P"),Rubric!$I$11,0))</f>
        <v>1</v>
      </c>
      <c r="AD34" s="21">
        <f t="array" ref="AD34">INDEX(Rubric!$E$5:$E$9,MATCH(M34,Rubric!$D$5:$D$9,0))</f>
        <v>3</v>
      </c>
      <c r="AE34" s="10">
        <v>5.0</v>
      </c>
      <c r="AF34" s="10">
        <v>4.0</v>
      </c>
      <c r="AG34" s="10">
        <v>4.0</v>
      </c>
      <c r="AH34" s="21">
        <f t="shared" si="2"/>
        <v>18</v>
      </c>
      <c r="AI34" s="21">
        <f t="shared" si="3"/>
        <v>18</v>
      </c>
      <c r="AJ34" s="21" t="str">
        <f t="array" ref="AJ34">IF(AH34="","",INDEX(Rubric!$M$5:$M$8,MATCH(AH34,Rubric!$L$5:$L$8,1)))</f>
        <v>High</v>
      </c>
      <c r="AK34" s="21" t="str">
        <f t="array" ref="AK34">IF(AI34="","",INDEX(Rubric!$M$5:$M$8,MATCH(AI34,Rubric!$L$5:$L$8,1)))</f>
        <v>High</v>
      </c>
      <c r="AL34" s="5" t="s">
        <v>1968</v>
      </c>
      <c r="AM34" s="5" t="s">
        <v>1855</v>
      </c>
      <c r="AN34" s="5" t="s">
        <v>1585</v>
      </c>
      <c r="AO34" s="21" t="s">
        <v>1226</v>
      </c>
      <c r="AP34" s="5" t="s">
        <v>1752</v>
      </c>
      <c r="AQ34" s="5" t="s">
        <v>1969</v>
      </c>
      <c r="AR34" s="21" t="s">
        <v>583</v>
      </c>
      <c r="AS34" s="5" t="s">
        <v>587</v>
      </c>
      <c r="AT34" s="21">
        <f>COUNTIF('CVE Register'!$X$5:$X$61,"*"&amp;A34&amp;"*")</f>
        <v>0</v>
      </c>
      <c r="AU34" s="25" t="s">
        <v>599</v>
      </c>
      <c r="AV34" s="5" t="s">
        <v>847</v>
      </c>
    </row>
    <row r="35" ht="78.0" customHeight="1">
      <c r="A35" s="31" t="s">
        <v>1100</v>
      </c>
      <c r="B35" s="32" t="s">
        <v>147</v>
      </c>
      <c r="C35" s="41" t="s">
        <v>1970</v>
      </c>
      <c r="D35" s="5" t="s">
        <v>1971</v>
      </c>
      <c r="E35" s="5" t="s">
        <v>1972</v>
      </c>
      <c r="F35" s="21" t="s">
        <v>1973</v>
      </c>
      <c r="G35" s="5" t="s">
        <v>452</v>
      </c>
      <c r="H35" s="10" t="s">
        <v>228</v>
      </c>
      <c r="I35" s="10" t="s">
        <v>1487</v>
      </c>
      <c r="J35" s="5" t="s">
        <v>1974</v>
      </c>
      <c r="K35" s="10" t="s">
        <v>728</v>
      </c>
      <c r="L35" s="10" t="s">
        <v>1510</v>
      </c>
      <c r="M35" s="10" t="s">
        <v>78</v>
      </c>
      <c r="N35" s="10" t="s">
        <v>246</v>
      </c>
      <c r="O35" s="10"/>
      <c r="P35" s="10"/>
      <c r="Q35" s="10"/>
      <c r="R35" s="21">
        <f t="shared" si="1"/>
        <v>1</v>
      </c>
      <c r="S35" s="10" t="s">
        <v>260</v>
      </c>
      <c r="T35" s="21" t="str">
        <f>IF(COUNTIFS(Binding!$A$5:$A$108,A35,Binding!$C$5:$C$108,"Attack")=0,"P","E"&amp;MAXIFS(Binding!$J$5:$J$108,Binding!$A$5:$A$108,A35,Binding!$C$5:$C$108,"Attack"))</f>
        <v>P</v>
      </c>
      <c r="U35" s="10"/>
      <c r="V35" s="21" t="str">
        <f>IF(T35="P","",IF(COUNTIFS(Binding!$A$5:$A$108,A35,Binding!$C$5:$C$108,"Attack",Binding!$J$5:$J$108,MAXIFS(Binding!$J$5:$J$108,Binding!$A$5:$A$108,A35,Binding!$C$5:$C$108,"Attack"),Binding!$H$5:$H$108,"Yes")=0,"Yes","No"))</f>
        <v/>
      </c>
      <c r="W35" s="5" t="s">
        <v>1904</v>
      </c>
      <c r="X35" s="5"/>
      <c r="Y35" s="5"/>
      <c r="Z35" s="10">
        <v>0.0</v>
      </c>
      <c r="AA35" s="10">
        <v>1.0</v>
      </c>
      <c r="AB35" s="21">
        <f>IF(S35="Enabler","",MAX(IF(N35="Y",Rubric!$I$5,0),IF(P35="Y",Rubric!$I$6,0),IF(O35="Y",IF(AE35&gt;=3,Rubric!$I$7,Rubric!$I$8),0),IF(Q35="Y",Rubric!$I$9,0)))</f>
        <v>5</v>
      </c>
      <c r="AC35" s="21">
        <f t="array" ref="AC35">MAX(1,INDEX(Rubric!$B$5:$B$9,MATCH(T35,Rubric!$A$5:$A$9,0))-IF(AND(U35="Y",T35&lt;&gt;"P"),Rubric!$I$11,0))</f>
        <v>1</v>
      </c>
      <c r="AD35" s="21">
        <f t="array" ref="AD35">INDEX(Rubric!$E$5:$E$9,MATCH(M35,Rubric!$D$5:$D$9,0))</f>
        <v>3</v>
      </c>
      <c r="AE35" s="10">
        <v>5.0</v>
      </c>
      <c r="AF35" s="10">
        <v>3.0</v>
      </c>
      <c r="AG35" s="10">
        <v>5.0</v>
      </c>
      <c r="AH35" s="21">
        <f t="shared" si="2"/>
        <v>17</v>
      </c>
      <c r="AI35" s="21">
        <f t="shared" si="3"/>
        <v>19</v>
      </c>
      <c r="AJ35" s="21" t="str">
        <f t="array" ref="AJ35">IF(AH35="","",INDEX(Rubric!$M$5:$M$8,MATCH(AH35,Rubric!$L$5:$L$8,1)))</f>
        <v>High</v>
      </c>
      <c r="AK35" s="21" t="str">
        <f t="array" ref="AK35">IF(AI35="","",INDEX(Rubric!$M$5:$M$8,MATCH(AI35,Rubric!$L$5:$L$8,1)))</f>
        <v>High</v>
      </c>
      <c r="AL35" s="5" t="s">
        <v>1975</v>
      </c>
      <c r="AM35" s="5" t="s">
        <v>1855</v>
      </c>
      <c r="AN35" s="5" t="s">
        <v>1578</v>
      </c>
      <c r="AO35" s="21" t="s">
        <v>1200</v>
      </c>
      <c r="AP35" s="5" t="s">
        <v>1976</v>
      </c>
      <c r="AQ35" s="5" t="s">
        <v>1977</v>
      </c>
      <c r="AR35" s="21" t="s">
        <v>583</v>
      </c>
      <c r="AS35" s="5" t="s">
        <v>1792</v>
      </c>
      <c r="AT35" s="21">
        <f>COUNTIF('CVE Register'!$X$5:$X$61,"*"&amp;A35&amp;"*")</f>
        <v>0</v>
      </c>
      <c r="AU35" s="25" t="s">
        <v>599</v>
      </c>
      <c r="AV35" s="5" t="s">
        <v>1978</v>
      </c>
    </row>
    <row r="36" ht="78.0" customHeight="1">
      <c r="A36" s="31" t="s">
        <v>1979</v>
      </c>
      <c r="B36" s="32" t="s">
        <v>147</v>
      </c>
      <c r="C36" s="41" t="s">
        <v>1980</v>
      </c>
      <c r="D36" s="5" t="s">
        <v>1981</v>
      </c>
      <c r="E36" s="5" t="s">
        <v>1982</v>
      </c>
      <c r="F36" s="21" t="s">
        <v>830</v>
      </c>
      <c r="G36" s="5" t="s">
        <v>1895</v>
      </c>
      <c r="H36" s="10" t="s">
        <v>228</v>
      </c>
      <c r="I36" s="10"/>
      <c r="J36" s="5" t="s">
        <v>229</v>
      </c>
      <c r="K36" s="10" t="s">
        <v>728</v>
      </c>
      <c r="L36" s="10" t="s">
        <v>1510</v>
      </c>
      <c r="M36" s="10" t="s">
        <v>78</v>
      </c>
      <c r="N36" s="10" t="s">
        <v>246</v>
      </c>
      <c r="O36" s="10"/>
      <c r="P36" s="10"/>
      <c r="Q36" s="10"/>
      <c r="R36" s="21">
        <f t="shared" si="1"/>
        <v>1</v>
      </c>
      <c r="S36" s="10" t="s">
        <v>260</v>
      </c>
      <c r="T36" s="21" t="str">
        <f>IF(COUNTIFS(Binding!$A$5:$A$108,A36,Binding!$C$5:$C$108,"Attack")=0,"P","E"&amp;MAXIFS(Binding!$J$5:$J$108,Binding!$A$5:$A$108,A36,Binding!$C$5:$C$108,"Attack"))</f>
        <v>P</v>
      </c>
      <c r="U36" s="10"/>
      <c r="V36" s="21" t="str">
        <f>IF(T36="P","",IF(COUNTIFS(Binding!$A$5:$A$108,A36,Binding!$C$5:$C$108,"Attack",Binding!$J$5:$J$108,MAXIFS(Binding!$J$5:$J$108,Binding!$A$5:$A$108,A36,Binding!$C$5:$C$108,"Attack"),Binding!$H$5:$H$108,"Yes")=0,"Yes","No"))</f>
        <v/>
      </c>
      <c r="W36" s="5" t="s">
        <v>1904</v>
      </c>
      <c r="X36" s="5"/>
      <c r="Y36" s="5"/>
      <c r="Z36" s="10">
        <v>0.0</v>
      </c>
      <c r="AA36" s="10">
        <v>1.0</v>
      </c>
      <c r="AB36" s="21">
        <f>IF(S36="Enabler","",MAX(IF(N36="Y",Rubric!$I$5,0),IF(P36="Y",Rubric!$I$6,0),IF(O36="Y",IF(AE36&gt;=3,Rubric!$I$7,Rubric!$I$8),0),IF(Q36="Y",Rubric!$I$9,0)))</f>
        <v>5</v>
      </c>
      <c r="AC36" s="21">
        <f t="array" ref="AC36">MAX(1,INDEX(Rubric!$B$5:$B$9,MATCH(T36,Rubric!$A$5:$A$9,0))-IF(AND(U36="Y",T36&lt;&gt;"P"),Rubric!$I$11,0))</f>
        <v>1</v>
      </c>
      <c r="AD36" s="21">
        <f t="array" ref="AD36">INDEX(Rubric!$E$5:$E$9,MATCH(M36,Rubric!$D$5:$D$9,0))</f>
        <v>3</v>
      </c>
      <c r="AE36" s="10">
        <v>5.0</v>
      </c>
      <c r="AF36" s="10">
        <v>3.0</v>
      </c>
      <c r="AG36" s="10">
        <v>5.0</v>
      </c>
      <c r="AH36" s="21">
        <f t="shared" si="2"/>
        <v>17</v>
      </c>
      <c r="AI36" s="21">
        <f t="shared" si="3"/>
        <v>19</v>
      </c>
      <c r="AJ36" s="21" t="str">
        <f t="array" ref="AJ36">IF(AH36="","",INDEX(Rubric!$M$5:$M$8,MATCH(AH36,Rubric!$L$5:$L$8,1)))</f>
        <v>High</v>
      </c>
      <c r="AK36" s="21" t="str">
        <f t="array" ref="AK36">IF(AI36="","",INDEX(Rubric!$M$5:$M$8,MATCH(AI36,Rubric!$L$5:$L$8,1)))</f>
        <v>High</v>
      </c>
      <c r="AL36" s="5" t="s">
        <v>1891</v>
      </c>
      <c r="AM36" s="5" t="s">
        <v>1855</v>
      </c>
      <c r="AN36" s="5" t="s">
        <v>1467</v>
      </c>
      <c r="AO36" s="21" t="s">
        <v>1983</v>
      </c>
      <c r="AP36" s="5" t="s">
        <v>1752</v>
      </c>
      <c r="AQ36" s="5" t="s">
        <v>1469</v>
      </c>
      <c r="AR36" s="21" t="s">
        <v>583</v>
      </c>
      <c r="AS36" s="5" t="s">
        <v>587</v>
      </c>
      <c r="AT36" s="21">
        <f>COUNTIF('CVE Register'!$X$5:$X$61,"*"&amp;A36&amp;"*")</f>
        <v>0</v>
      </c>
      <c r="AU36" s="25" t="s">
        <v>599</v>
      </c>
      <c r="AV36" s="5" t="s">
        <v>841</v>
      </c>
    </row>
    <row r="37" ht="78.0" customHeight="1">
      <c r="A37" s="31" t="s">
        <v>496</v>
      </c>
      <c r="B37" s="32" t="s">
        <v>147</v>
      </c>
      <c r="C37" s="41" t="s">
        <v>1984</v>
      </c>
      <c r="D37" s="5" t="s">
        <v>1985</v>
      </c>
      <c r="E37" s="5" t="s">
        <v>1986</v>
      </c>
      <c r="F37" s="21" t="s">
        <v>830</v>
      </c>
      <c r="G37" s="5" t="s">
        <v>1895</v>
      </c>
      <c r="H37" s="10" t="s">
        <v>45</v>
      </c>
      <c r="I37" s="10"/>
      <c r="J37" s="5" t="s">
        <v>229</v>
      </c>
      <c r="K37" s="10"/>
      <c r="L37" s="10" t="s">
        <v>1510</v>
      </c>
      <c r="M37" s="10" t="s">
        <v>78</v>
      </c>
      <c r="N37" s="10"/>
      <c r="O37" s="10" t="s">
        <v>246</v>
      </c>
      <c r="P37" s="10"/>
      <c r="Q37" s="10"/>
      <c r="R37" s="21">
        <f t="shared" si="1"/>
        <v>1</v>
      </c>
      <c r="S37" s="10" t="s">
        <v>260</v>
      </c>
      <c r="T37" s="21" t="str">
        <f>IF(COUNTIFS(Binding!$A$5:$A$108,A37,Binding!$C$5:$C$108,"Attack")=0,"P","E"&amp;MAXIFS(Binding!$J$5:$J$108,Binding!$A$5:$A$108,A37,Binding!$C$5:$C$108,"Attack"))</f>
        <v>E2</v>
      </c>
      <c r="U37" s="10" t="s">
        <v>246</v>
      </c>
      <c r="V37" s="21" t="str">
        <f>IF(T37="P","",IF(COUNTIFS(Binding!$A$5:$A$108,A37,Binding!$C$5:$C$108,"Attack",Binding!$J$5:$J$108,MAXIFS(Binding!$J$5:$J$108,Binding!$A$5:$A$108,A37,Binding!$C$5:$C$108,"Attack"),Binding!$H$5:$H$108,"Yes")=0,"Yes","No"))</f>
        <v>Yes</v>
      </c>
      <c r="W37" s="5" t="s">
        <v>1987</v>
      </c>
      <c r="X37" s="5"/>
      <c r="Y37" s="5" t="s">
        <v>1842</v>
      </c>
      <c r="Z37" s="10">
        <v>0.0</v>
      </c>
      <c r="AA37" s="10">
        <v>1.0</v>
      </c>
      <c r="AB37" s="21">
        <f>IF(S37="Enabler","",MAX(IF(N37="Y",Rubric!$I$5,0),IF(P37="Y",Rubric!$I$6,0),IF(O37="Y",IF(AE37&gt;=3,Rubric!$I$7,Rubric!$I$8),0),IF(Q37="Y",Rubric!$I$9,0)))</f>
        <v>3</v>
      </c>
      <c r="AC37" s="21">
        <f t="array" ref="AC37">MAX(1,INDEX(Rubric!$B$5:$B$9,MATCH(T37,Rubric!$A$5:$A$9,0))-IF(AND(U37="Y",T37&lt;&gt;"P"),Rubric!$I$11,0))</f>
        <v>3</v>
      </c>
      <c r="AD37" s="21">
        <f t="array" ref="AD37">INDEX(Rubric!$E$5:$E$9,MATCH(M37,Rubric!$D$5:$D$9,0))</f>
        <v>3</v>
      </c>
      <c r="AE37" s="10">
        <v>5.0</v>
      </c>
      <c r="AF37" s="10">
        <v>3.0</v>
      </c>
      <c r="AG37" s="10">
        <v>3.0</v>
      </c>
      <c r="AH37" s="21">
        <f t="shared" si="2"/>
        <v>17</v>
      </c>
      <c r="AI37" s="21">
        <f t="shared" si="3"/>
        <v>17</v>
      </c>
      <c r="AJ37" s="21" t="str">
        <f t="array" ref="AJ37">IF(AH37="","",INDEX(Rubric!$M$5:$M$8,MATCH(AH37,Rubric!$L$5:$L$8,1)))</f>
        <v>High</v>
      </c>
      <c r="AK37" s="21" t="str">
        <f t="array" ref="AK37">IF(AI37="","",INDEX(Rubric!$M$5:$M$8,MATCH(AI37,Rubric!$L$5:$L$8,1)))</f>
        <v>High</v>
      </c>
      <c r="AL37" s="5" t="s">
        <v>1988</v>
      </c>
      <c r="AM37" s="5" t="s">
        <v>1855</v>
      </c>
      <c r="AN37" s="5"/>
      <c r="AO37" s="21" t="s">
        <v>1238</v>
      </c>
      <c r="AP37" s="5" t="s">
        <v>1989</v>
      </c>
      <c r="AQ37" s="5" t="s">
        <v>1990</v>
      </c>
      <c r="AR37" s="21" t="s">
        <v>583</v>
      </c>
      <c r="AS37" s="5" t="s">
        <v>587</v>
      </c>
      <c r="AT37" s="21">
        <f>COUNTIF('CVE Register'!$X$5:$X$61,"*"&amp;A37&amp;"*")</f>
        <v>0</v>
      </c>
      <c r="AU37" s="25" t="s">
        <v>599</v>
      </c>
      <c r="AV37" s="5" t="s">
        <v>841</v>
      </c>
    </row>
    <row r="38" ht="78.0" customHeight="1">
      <c r="A38" s="31" t="s">
        <v>1453</v>
      </c>
      <c r="B38" s="32" t="s">
        <v>147</v>
      </c>
      <c r="C38" s="41" t="s">
        <v>1991</v>
      </c>
      <c r="D38" s="5" t="s">
        <v>1992</v>
      </c>
      <c r="E38" s="5" t="s">
        <v>1993</v>
      </c>
      <c r="F38" s="21" t="s">
        <v>1228</v>
      </c>
      <c r="G38" s="5" t="s">
        <v>1895</v>
      </c>
      <c r="H38" s="10" t="s">
        <v>228</v>
      </c>
      <c r="I38" s="10" t="s">
        <v>37</v>
      </c>
      <c r="J38" s="5" t="s">
        <v>229</v>
      </c>
      <c r="K38" s="10"/>
      <c r="L38" s="10" t="s">
        <v>1510</v>
      </c>
      <c r="M38" s="10" t="s">
        <v>78</v>
      </c>
      <c r="N38" s="10" t="s">
        <v>246</v>
      </c>
      <c r="O38" s="10"/>
      <c r="P38" s="10" t="s">
        <v>246</v>
      </c>
      <c r="Q38" s="10"/>
      <c r="R38" s="21">
        <f t="shared" si="1"/>
        <v>2</v>
      </c>
      <c r="S38" s="10" t="s">
        <v>1736</v>
      </c>
      <c r="T38" s="21" t="str">
        <f>IF(COUNTIFS(Binding!$A$5:$A$108,A38,Binding!$C$5:$C$108,"Attack")=0,"P","E"&amp;MAXIFS(Binding!$J$5:$J$108,Binding!$A$5:$A$108,A38,Binding!$C$5:$C$108,"Attack"))</f>
        <v>P</v>
      </c>
      <c r="U38" s="10"/>
      <c r="V38" s="21" t="str">
        <f>IF(T38="P","",IF(COUNTIFS(Binding!$A$5:$A$108,A38,Binding!$C$5:$C$108,"Attack",Binding!$J$5:$J$108,MAXIFS(Binding!$J$5:$J$108,Binding!$A$5:$A$108,A38,Binding!$C$5:$C$108,"Attack"),Binding!$H$5:$H$108,"Yes")=0,"Yes","No"))</f>
        <v/>
      </c>
      <c r="W38" s="5" t="s">
        <v>1904</v>
      </c>
      <c r="X38" s="5"/>
      <c r="Y38" s="5"/>
      <c r="Z38" s="10">
        <v>0.0</v>
      </c>
      <c r="AA38" s="10">
        <v>1.0</v>
      </c>
      <c r="AB38" s="21" t="str">
        <f>IF(S38="Enabler","",MAX(IF(N38="Y",Rubric!$I$5,0),IF(P38="Y",Rubric!$I$6,0),IF(O38="Y",IF(AE38&gt;=3,Rubric!$I$7,Rubric!$I$8),0),IF(Q38="Y",Rubric!$I$9,0)))</f>
        <v/>
      </c>
      <c r="AC38" s="21">
        <f t="array" ref="AC38">MAX(1,INDEX(Rubric!$B$5:$B$9,MATCH(T38,Rubric!$A$5:$A$9,0))-IF(AND(U38="Y",T38&lt;&gt;"P"),Rubric!$I$11,0))</f>
        <v>1</v>
      </c>
      <c r="AD38" s="21">
        <f t="array" ref="AD38">INDEX(Rubric!$E$5:$E$9,MATCH(M38,Rubric!$D$5:$D$9,0))</f>
        <v>3</v>
      </c>
      <c r="AE38" s="10">
        <v>5.0</v>
      </c>
      <c r="AF38" s="10">
        <v>4.0</v>
      </c>
      <c r="AG38" s="10">
        <v>4.0</v>
      </c>
      <c r="AH38" s="21" t="str">
        <f t="shared" si="2"/>
        <v/>
      </c>
      <c r="AI38" s="21" t="str">
        <f t="shared" si="3"/>
        <v/>
      </c>
      <c r="AJ38" s="21" t="str">
        <f t="array" ref="AJ38">IF(AH38="","",INDEX(Rubric!$M$5:$M$8,MATCH(AH38,Rubric!$L$5:$L$8,1)))</f>
        <v/>
      </c>
      <c r="AK38" s="21" t="str">
        <f t="array" ref="AK38">IF(AI38="","",INDEX(Rubric!$M$5:$M$8,MATCH(AI38,Rubric!$L$5:$L$8,1)))</f>
        <v/>
      </c>
      <c r="AL38" s="5" t="s">
        <v>1994</v>
      </c>
      <c r="AM38" s="5" t="s">
        <v>1855</v>
      </c>
      <c r="AN38" s="5" t="s">
        <v>1585</v>
      </c>
      <c r="AO38" s="21" t="s">
        <v>1226</v>
      </c>
      <c r="AP38" s="5" t="s">
        <v>1752</v>
      </c>
      <c r="AQ38" s="5" t="s">
        <v>1995</v>
      </c>
      <c r="AR38" s="21" t="s">
        <v>583</v>
      </c>
      <c r="AS38" s="5" t="s">
        <v>1792</v>
      </c>
      <c r="AT38" s="21">
        <f>COUNTIF('CVE Register'!$X$5:$X$61,"*"&amp;A38&amp;"*")</f>
        <v>0</v>
      </c>
      <c r="AU38" s="25" t="s">
        <v>599</v>
      </c>
      <c r="AV38" s="5" t="s">
        <v>1996</v>
      </c>
    </row>
    <row r="39" ht="78.0" customHeight="1">
      <c r="A39" s="31" t="s">
        <v>500</v>
      </c>
      <c r="B39" s="32" t="s">
        <v>147</v>
      </c>
      <c r="C39" s="41" t="s">
        <v>1997</v>
      </c>
      <c r="D39" s="5" t="s">
        <v>1998</v>
      </c>
      <c r="E39" s="5" t="s">
        <v>1999</v>
      </c>
      <c r="F39" s="21" t="s">
        <v>2000</v>
      </c>
      <c r="G39" s="5" t="s">
        <v>1895</v>
      </c>
      <c r="H39" s="10" t="s">
        <v>228</v>
      </c>
      <c r="I39" s="10" t="s">
        <v>227</v>
      </c>
      <c r="J39" s="5" t="s">
        <v>2001</v>
      </c>
      <c r="K39" s="10" t="s">
        <v>990</v>
      </c>
      <c r="L39" s="10" t="s">
        <v>991</v>
      </c>
      <c r="M39" s="10" t="s">
        <v>78</v>
      </c>
      <c r="N39" s="10" t="s">
        <v>246</v>
      </c>
      <c r="O39" s="10"/>
      <c r="P39" s="10" t="s">
        <v>246</v>
      </c>
      <c r="Q39" s="10"/>
      <c r="R39" s="21">
        <f t="shared" si="1"/>
        <v>2</v>
      </c>
      <c r="S39" s="10" t="s">
        <v>260</v>
      </c>
      <c r="T39" s="21" t="str">
        <f>IF(COUNTIFS(Binding!$A$5:$A$108,A39,Binding!$C$5:$C$108,"Attack")=0,"P","E"&amp;MAXIFS(Binding!$J$5:$J$108,Binding!$A$5:$A$108,A39,Binding!$C$5:$C$108,"Attack"))</f>
        <v>E2</v>
      </c>
      <c r="U39" s="10" t="s">
        <v>246</v>
      </c>
      <c r="V39" s="21" t="str">
        <f>IF(T39="P","",IF(COUNTIFS(Binding!$A$5:$A$108,A39,Binding!$C$5:$C$108,"Attack",Binding!$J$5:$J$108,MAXIFS(Binding!$J$5:$J$108,Binding!$A$5:$A$108,A39,Binding!$C$5:$C$108,"Attack"),Binding!$H$5:$H$108,"Yes")=0,"Yes","No"))</f>
        <v>No</v>
      </c>
      <c r="W39" s="5" t="s">
        <v>1004</v>
      </c>
      <c r="X39" s="5"/>
      <c r="Y39" s="5" t="s">
        <v>206</v>
      </c>
      <c r="Z39" s="10">
        <v>0.0</v>
      </c>
      <c r="AA39" s="10">
        <v>1.0</v>
      </c>
      <c r="AB39" s="21">
        <f>IF(S39="Enabler","",MAX(IF(N39="Y",Rubric!$I$5,0),IF(P39="Y",Rubric!$I$6,0),IF(O39="Y",IF(AE39&gt;=3,Rubric!$I$7,Rubric!$I$8),0),IF(Q39="Y",Rubric!$I$9,0)))</f>
        <v>5</v>
      </c>
      <c r="AC39" s="21">
        <f t="array" ref="AC39">MAX(1,INDEX(Rubric!$B$5:$B$9,MATCH(T39,Rubric!$A$5:$A$9,0))-IF(AND(U39="Y",T39&lt;&gt;"P"),Rubric!$I$11,0))</f>
        <v>3</v>
      </c>
      <c r="AD39" s="21">
        <f t="array" ref="AD39">INDEX(Rubric!$E$5:$E$9,MATCH(M39,Rubric!$D$5:$D$9,0))</f>
        <v>3</v>
      </c>
      <c r="AE39" s="10">
        <v>2.0</v>
      </c>
      <c r="AF39" s="10">
        <v>4.0</v>
      </c>
      <c r="AG39" s="10">
        <v>4.0</v>
      </c>
      <c r="AH39" s="21">
        <f t="shared" si="2"/>
        <v>17</v>
      </c>
      <c r="AI39" s="21">
        <f t="shared" si="3"/>
        <v>17</v>
      </c>
      <c r="AJ39" s="21" t="str">
        <f t="array" ref="AJ39">IF(AH39="","",INDEX(Rubric!$M$5:$M$8,MATCH(AH39,Rubric!$L$5:$L$8,1)))</f>
        <v>High</v>
      </c>
      <c r="AK39" s="21" t="str">
        <f t="array" ref="AK39">IF(AI39="","",INDEX(Rubric!$M$5:$M$8,MATCH(AI39,Rubric!$L$5:$L$8,1)))</f>
        <v>High</v>
      </c>
      <c r="AL39" s="5" t="s">
        <v>2002</v>
      </c>
      <c r="AM39" s="5" t="s">
        <v>572</v>
      </c>
      <c r="AN39" s="5" t="s">
        <v>871</v>
      </c>
      <c r="AO39" s="21" t="s">
        <v>2003</v>
      </c>
      <c r="AP39" s="5" t="s">
        <v>872</v>
      </c>
      <c r="AQ39" s="5" t="s">
        <v>873</v>
      </c>
      <c r="AR39" s="21" t="s">
        <v>583</v>
      </c>
      <c r="AS39" s="5" t="s">
        <v>587</v>
      </c>
      <c r="AT39" s="21">
        <f>COUNTIF('CVE Register'!$X$5:$X$61,"*"&amp;A39&amp;"*")</f>
        <v>0</v>
      </c>
      <c r="AU39" s="25" t="s">
        <v>599</v>
      </c>
      <c r="AV39" s="5" t="s">
        <v>2004</v>
      </c>
    </row>
    <row r="40" ht="78.0" customHeight="1">
      <c r="A40" s="31" t="s">
        <v>502</v>
      </c>
      <c r="B40" s="32" t="s">
        <v>147</v>
      </c>
      <c r="C40" s="41" t="s">
        <v>2005</v>
      </c>
      <c r="D40" s="5" t="s">
        <v>2006</v>
      </c>
      <c r="E40" s="5" t="s">
        <v>2007</v>
      </c>
      <c r="F40" s="21" t="s">
        <v>848</v>
      </c>
      <c r="G40" s="5" t="s">
        <v>1895</v>
      </c>
      <c r="H40" s="10" t="s">
        <v>228</v>
      </c>
      <c r="I40" s="10" t="s">
        <v>227</v>
      </c>
      <c r="J40" s="5" t="s">
        <v>2008</v>
      </c>
      <c r="K40" s="10" t="s">
        <v>990</v>
      </c>
      <c r="L40" s="10" t="s">
        <v>991</v>
      </c>
      <c r="M40" s="10" t="s">
        <v>78</v>
      </c>
      <c r="N40" s="10"/>
      <c r="O40" s="10"/>
      <c r="P40" s="10" t="s">
        <v>246</v>
      </c>
      <c r="Q40" s="10"/>
      <c r="R40" s="21">
        <f t="shared" si="1"/>
        <v>1</v>
      </c>
      <c r="S40" s="10" t="s">
        <v>260</v>
      </c>
      <c r="T40" s="21" t="str">
        <f>IF(COUNTIFS(Binding!$A$5:$A$108,A40,Binding!$C$5:$C$108,"Attack")=0,"P","E"&amp;MAXIFS(Binding!$J$5:$J$108,Binding!$A$5:$A$108,A40,Binding!$C$5:$C$108,"Attack"))</f>
        <v>E2</v>
      </c>
      <c r="U40" s="10" t="s">
        <v>246</v>
      </c>
      <c r="V40" s="21" t="str">
        <f>IF(T40="P","",IF(COUNTIFS(Binding!$A$5:$A$108,A40,Binding!$C$5:$C$108,"Attack",Binding!$J$5:$J$108,MAXIFS(Binding!$J$5:$J$108,Binding!$A$5:$A$108,A40,Binding!$C$5:$C$108,"Attack"),Binding!$H$5:$H$108,"Yes")=0,"Yes","No"))</f>
        <v>No</v>
      </c>
      <c r="W40" s="5" t="s">
        <v>2009</v>
      </c>
      <c r="X40" s="5"/>
      <c r="Y40" s="5" t="s">
        <v>206</v>
      </c>
      <c r="Z40" s="10">
        <v>0.0</v>
      </c>
      <c r="AA40" s="10">
        <v>1.0</v>
      </c>
      <c r="AB40" s="21">
        <f>IF(S40="Enabler","",MAX(IF(N40="Y",Rubric!$I$5,0),IF(P40="Y",Rubric!$I$6,0),IF(O40="Y",IF(AE40&gt;=3,Rubric!$I$7,Rubric!$I$8),0),IF(Q40="Y",Rubric!$I$9,0)))</f>
        <v>4</v>
      </c>
      <c r="AC40" s="21">
        <f t="array" ref="AC40">MAX(1,INDEX(Rubric!$B$5:$B$9,MATCH(T40,Rubric!$A$5:$A$9,0))-IF(AND(U40="Y",T40&lt;&gt;"P"),Rubric!$I$11,0))</f>
        <v>3</v>
      </c>
      <c r="AD40" s="21">
        <f t="array" ref="AD40">INDEX(Rubric!$E$5:$E$9,MATCH(M40,Rubric!$D$5:$D$9,0))</f>
        <v>3</v>
      </c>
      <c r="AE40" s="10">
        <v>2.0</v>
      </c>
      <c r="AF40" s="10">
        <v>3.0</v>
      </c>
      <c r="AG40" s="10">
        <v>3.0</v>
      </c>
      <c r="AH40" s="21">
        <f t="shared" si="2"/>
        <v>15</v>
      </c>
      <c r="AI40" s="21">
        <f t="shared" si="3"/>
        <v>15</v>
      </c>
      <c r="AJ40" s="21" t="str">
        <f t="array" ref="AJ40">IF(AH40="","",INDEX(Rubric!$M$5:$M$8,MATCH(AH40,Rubric!$L$5:$L$8,1)))</f>
        <v>High</v>
      </c>
      <c r="AK40" s="21" t="str">
        <f t="array" ref="AK40">IF(AI40="","",INDEX(Rubric!$M$5:$M$8,MATCH(AI40,Rubric!$L$5:$L$8,1)))</f>
        <v>High</v>
      </c>
      <c r="AL40" s="5" t="s">
        <v>2010</v>
      </c>
      <c r="AM40" s="5" t="s">
        <v>572</v>
      </c>
      <c r="AN40" s="5"/>
      <c r="AO40" s="21" t="s">
        <v>1226</v>
      </c>
      <c r="AP40" s="5" t="s">
        <v>872</v>
      </c>
      <c r="AQ40" s="5" t="s">
        <v>873</v>
      </c>
      <c r="AR40" s="21" t="s">
        <v>583</v>
      </c>
      <c r="AS40" s="5" t="s">
        <v>587</v>
      </c>
      <c r="AT40" s="21">
        <f>COUNTIF('CVE Register'!$X$5:$X$61,"*"&amp;A40&amp;"*")</f>
        <v>0</v>
      </c>
      <c r="AU40" s="25" t="s">
        <v>599</v>
      </c>
      <c r="AV40" s="5" t="s">
        <v>854</v>
      </c>
    </row>
    <row r="41" ht="78.0" customHeight="1">
      <c r="A41" s="31" t="s">
        <v>2011</v>
      </c>
      <c r="B41" s="32" t="s">
        <v>147</v>
      </c>
      <c r="C41" s="41" t="s">
        <v>2012</v>
      </c>
      <c r="D41" s="5" t="s">
        <v>2013</v>
      </c>
      <c r="E41" s="5" t="s">
        <v>2014</v>
      </c>
      <c r="F41" s="21" t="s">
        <v>855</v>
      </c>
      <c r="G41" s="5" t="s">
        <v>452</v>
      </c>
      <c r="H41" s="10" t="s">
        <v>228</v>
      </c>
      <c r="I41" s="10"/>
      <c r="J41" s="5" t="s">
        <v>229</v>
      </c>
      <c r="K41" s="10"/>
      <c r="L41" s="10" t="s">
        <v>1510</v>
      </c>
      <c r="M41" s="10" t="s">
        <v>78</v>
      </c>
      <c r="N41" s="10" t="s">
        <v>246</v>
      </c>
      <c r="O41" s="10"/>
      <c r="P41" s="10" t="s">
        <v>246</v>
      </c>
      <c r="Q41" s="10"/>
      <c r="R41" s="21">
        <f t="shared" si="1"/>
        <v>2</v>
      </c>
      <c r="S41" s="10" t="s">
        <v>260</v>
      </c>
      <c r="T41" s="21" t="str">
        <f>IF(COUNTIFS(Binding!$A$5:$A$108,A41,Binding!$C$5:$C$108,"Attack")=0,"P","E"&amp;MAXIFS(Binding!$J$5:$J$108,Binding!$A$5:$A$108,A41,Binding!$C$5:$C$108,"Attack"))</f>
        <v>P</v>
      </c>
      <c r="U41" s="10"/>
      <c r="V41" s="21" t="str">
        <f>IF(T41="P","",IF(COUNTIFS(Binding!$A$5:$A$108,A41,Binding!$C$5:$C$108,"Attack",Binding!$J$5:$J$108,MAXIFS(Binding!$J$5:$J$108,Binding!$A$5:$A$108,A41,Binding!$C$5:$C$108,"Attack"),Binding!$H$5:$H$108,"Yes")=0,"Yes","No"))</f>
        <v/>
      </c>
      <c r="W41" s="5" t="s">
        <v>1904</v>
      </c>
      <c r="X41" s="5"/>
      <c r="Y41" s="5"/>
      <c r="Z41" s="10" t="s">
        <v>599</v>
      </c>
      <c r="AA41" s="10">
        <v>1.0</v>
      </c>
      <c r="AB41" s="21">
        <f>IF(S41="Enabler","",MAX(IF(N41="Y",Rubric!$I$5,0),IF(P41="Y",Rubric!$I$6,0),IF(O41="Y",IF(AE41&gt;=3,Rubric!$I$7,Rubric!$I$8),0),IF(Q41="Y",Rubric!$I$9,0)))</f>
        <v>5</v>
      </c>
      <c r="AC41" s="21">
        <f t="array" ref="AC41">MAX(1,INDEX(Rubric!$B$5:$B$9,MATCH(T41,Rubric!$A$5:$A$9,0))-IF(AND(U41="Y",T41&lt;&gt;"P"),Rubric!$I$11,0))</f>
        <v>1</v>
      </c>
      <c r="AD41" s="21">
        <f t="array" ref="AD41">INDEX(Rubric!$E$5:$E$9,MATCH(M41,Rubric!$D$5:$D$9,0))</f>
        <v>3</v>
      </c>
      <c r="AE41" s="10">
        <v>5.0</v>
      </c>
      <c r="AF41" s="10">
        <v>5.0</v>
      </c>
      <c r="AG41" s="10">
        <v>5.0</v>
      </c>
      <c r="AH41" s="21">
        <f t="shared" si="2"/>
        <v>19</v>
      </c>
      <c r="AI41" s="21">
        <f t="shared" si="3"/>
        <v>19</v>
      </c>
      <c r="AJ41" s="21" t="str">
        <f t="array" ref="AJ41">IF(AH41="","",INDEX(Rubric!$M$5:$M$8,MATCH(AH41,Rubric!$L$5:$L$8,1)))</f>
        <v>High</v>
      </c>
      <c r="AK41" s="21" t="str">
        <f t="array" ref="AK41">IF(AI41="","",INDEX(Rubric!$M$5:$M$8,MATCH(AI41,Rubric!$L$5:$L$8,1)))</f>
        <v>High</v>
      </c>
      <c r="AL41" s="5" t="s">
        <v>2015</v>
      </c>
      <c r="AM41" s="5" t="s">
        <v>1855</v>
      </c>
      <c r="AN41" s="5" t="s">
        <v>1585</v>
      </c>
      <c r="AO41" s="21" t="s">
        <v>1249</v>
      </c>
      <c r="AP41" s="5" t="s">
        <v>1752</v>
      </c>
      <c r="AQ41" s="5" t="s">
        <v>2016</v>
      </c>
      <c r="AR41" s="21" t="s">
        <v>583</v>
      </c>
      <c r="AS41" s="5" t="s">
        <v>587</v>
      </c>
      <c r="AT41" s="21">
        <f>COUNTIF('CVE Register'!$X$5:$X$61,"*"&amp;A41&amp;"*")</f>
        <v>0</v>
      </c>
      <c r="AU41" s="25" t="s">
        <v>599</v>
      </c>
      <c r="AV41" s="5" t="s">
        <v>862</v>
      </c>
    </row>
    <row r="42" ht="78.0" customHeight="1">
      <c r="A42" s="31" t="s">
        <v>2017</v>
      </c>
      <c r="B42" s="32" t="s">
        <v>147</v>
      </c>
      <c r="C42" s="41" t="s">
        <v>2018</v>
      </c>
      <c r="D42" s="5" t="s">
        <v>2019</v>
      </c>
      <c r="E42" s="5" t="s">
        <v>2020</v>
      </c>
      <c r="F42" s="21" t="s">
        <v>855</v>
      </c>
      <c r="G42" s="5" t="s">
        <v>452</v>
      </c>
      <c r="H42" s="10" t="s">
        <v>1182</v>
      </c>
      <c r="I42" s="10"/>
      <c r="J42" s="5" t="s">
        <v>229</v>
      </c>
      <c r="K42" s="10"/>
      <c r="L42" s="10" t="s">
        <v>1510</v>
      </c>
      <c r="M42" s="10" t="s">
        <v>78</v>
      </c>
      <c r="N42" s="10"/>
      <c r="O42" s="10"/>
      <c r="P42" s="10"/>
      <c r="Q42" s="10" t="s">
        <v>246</v>
      </c>
      <c r="R42" s="21">
        <f t="shared" si="1"/>
        <v>1</v>
      </c>
      <c r="S42" s="10" t="s">
        <v>260</v>
      </c>
      <c r="T42" s="21" t="str">
        <f>IF(COUNTIFS(Binding!$A$5:$A$108,A42,Binding!$C$5:$C$108,"Attack")=0,"P","E"&amp;MAXIFS(Binding!$J$5:$J$108,Binding!$A$5:$A$108,A42,Binding!$C$5:$C$108,"Attack"))</f>
        <v>P</v>
      </c>
      <c r="U42" s="10"/>
      <c r="V42" s="21" t="str">
        <f>IF(T42="P","",IF(COUNTIFS(Binding!$A$5:$A$108,A42,Binding!$C$5:$C$108,"Attack",Binding!$J$5:$J$108,MAXIFS(Binding!$J$5:$J$108,Binding!$A$5:$A$108,A42,Binding!$C$5:$C$108,"Attack"),Binding!$H$5:$H$108,"Yes")=0,"Yes","No"))</f>
        <v/>
      </c>
      <c r="W42" s="5" t="s">
        <v>1904</v>
      </c>
      <c r="X42" s="5"/>
      <c r="Y42" s="5"/>
      <c r="Z42" s="10" t="s">
        <v>599</v>
      </c>
      <c r="AA42" s="10">
        <v>1.0</v>
      </c>
      <c r="AB42" s="21">
        <f>IF(S42="Enabler","",MAX(IF(N42="Y",Rubric!$I$5,0),IF(P42="Y",Rubric!$I$6,0),IF(O42="Y",IF(AE42&gt;=3,Rubric!$I$7,Rubric!$I$8),0),IF(Q42="Y",Rubric!$I$9,0)))</f>
        <v>1</v>
      </c>
      <c r="AC42" s="21">
        <f t="array" ref="AC42">MAX(1,INDEX(Rubric!$B$5:$B$9,MATCH(T42,Rubric!$A$5:$A$9,0))-IF(AND(U42="Y",T42&lt;&gt;"P"),Rubric!$I$11,0))</f>
        <v>1</v>
      </c>
      <c r="AD42" s="21">
        <f t="array" ref="AD42">INDEX(Rubric!$E$5:$E$9,MATCH(M42,Rubric!$D$5:$D$9,0))</f>
        <v>3</v>
      </c>
      <c r="AE42" s="10">
        <v>5.0</v>
      </c>
      <c r="AF42" s="10">
        <v>5.0</v>
      </c>
      <c r="AG42" s="10">
        <v>5.0</v>
      </c>
      <c r="AH42" s="21">
        <f t="shared" si="2"/>
        <v>15</v>
      </c>
      <c r="AI42" s="21">
        <f t="shared" si="3"/>
        <v>15</v>
      </c>
      <c r="AJ42" s="21" t="str">
        <f t="array" ref="AJ42">IF(AH42="","",INDEX(Rubric!$M$5:$M$8,MATCH(AH42,Rubric!$L$5:$L$8,1)))</f>
        <v>High</v>
      </c>
      <c r="AK42" s="21" t="str">
        <f t="array" ref="AK42">IF(AI42="","",INDEX(Rubric!$M$5:$M$8,MATCH(AI42,Rubric!$L$5:$L$8,1)))</f>
        <v>High</v>
      </c>
      <c r="AL42" s="5" t="s">
        <v>2021</v>
      </c>
      <c r="AM42" s="5" t="s">
        <v>1855</v>
      </c>
      <c r="AN42" s="5"/>
      <c r="AO42" s="21" t="s">
        <v>1200</v>
      </c>
      <c r="AP42" s="5" t="s">
        <v>2022</v>
      </c>
      <c r="AQ42" s="5" t="s">
        <v>2023</v>
      </c>
      <c r="AR42" s="21" t="s">
        <v>583</v>
      </c>
      <c r="AS42" s="5" t="s">
        <v>587</v>
      </c>
      <c r="AT42" s="21">
        <f>COUNTIF('CVE Register'!$X$5:$X$61,"*"&amp;A42&amp;"*")</f>
        <v>0</v>
      </c>
      <c r="AU42" s="25" t="s">
        <v>599</v>
      </c>
      <c r="AV42" s="5" t="s">
        <v>2024</v>
      </c>
    </row>
    <row r="43" ht="78.0" customHeight="1">
      <c r="A43" s="31" t="s">
        <v>509</v>
      </c>
      <c r="B43" s="32" t="s">
        <v>147</v>
      </c>
      <c r="C43" s="41" t="s">
        <v>2025</v>
      </c>
      <c r="D43" s="5" t="s">
        <v>2026</v>
      </c>
      <c r="E43" s="5" t="s">
        <v>2027</v>
      </c>
      <c r="F43" s="21" t="s">
        <v>830</v>
      </c>
      <c r="G43" s="5" t="s">
        <v>1895</v>
      </c>
      <c r="H43" s="10" t="s">
        <v>165</v>
      </c>
      <c r="I43" s="10"/>
      <c r="J43" s="5" t="s">
        <v>229</v>
      </c>
      <c r="K43" s="10"/>
      <c r="L43" s="10" t="s">
        <v>1510</v>
      </c>
      <c r="M43" s="10" t="s">
        <v>78</v>
      </c>
      <c r="N43" s="10"/>
      <c r="O43" s="10"/>
      <c r="P43" s="10" t="s">
        <v>246</v>
      </c>
      <c r="Q43" s="10"/>
      <c r="R43" s="21">
        <f t="shared" si="1"/>
        <v>1</v>
      </c>
      <c r="S43" s="10" t="s">
        <v>1736</v>
      </c>
      <c r="T43" s="21" t="str">
        <f>IF(COUNTIFS(Binding!$A$5:$A$108,A43,Binding!$C$5:$C$108,"Attack")=0,"P","E"&amp;MAXIFS(Binding!$J$5:$J$108,Binding!$A$5:$A$108,A43,Binding!$C$5:$C$108,"Attack"))</f>
        <v>E2</v>
      </c>
      <c r="U43" s="10" t="s">
        <v>246</v>
      </c>
      <c r="V43" s="21" t="str">
        <f>IF(T43="P","",IF(COUNTIFS(Binding!$A$5:$A$108,A43,Binding!$C$5:$C$108,"Attack",Binding!$J$5:$J$108,MAXIFS(Binding!$J$5:$J$108,Binding!$A$5:$A$108,A43,Binding!$C$5:$C$108,"Attack"),Binding!$H$5:$H$108,"Yes")=0,"Yes","No"))</f>
        <v>Yes</v>
      </c>
      <c r="W43" s="5" t="s">
        <v>1987</v>
      </c>
      <c r="X43" s="5"/>
      <c r="Y43" s="5" t="s">
        <v>1842</v>
      </c>
      <c r="Z43" s="10">
        <v>0.0</v>
      </c>
      <c r="AA43" s="10">
        <v>1.0</v>
      </c>
      <c r="AB43" s="21" t="str">
        <f>IF(S43="Enabler","",MAX(IF(N43="Y",Rubric!$I$5,0),IF(P43="Y",Rubric!$I$6,0),IF(O43="Y",IF(AE43&gt;=3,Rubric!$I$7,Rubric!$I$8),0),IF(Q43="Y",Rubric!$I$9,0)))</f>
        <v/>
      </c>
      <c r="AC43" s="21">
        <f t="array" ref="AC43">MAX(1,INDEX(Rubric!$B$5:$B$9,MATCH(T43,Rubric!$A$5:$A$9,0))-IF(AND(U43="Y",T43&lt;&gt;"P"),Rubric!$I$11,0))</f>
        <v>3</v>
      </c>
      <c r="AD43" s="21">
        <f t="array" ref="AD43">INDEX(Rubric!$E$5:$E$9,MATCH(M43,Rubric!$D$5:$D$9,0))</f>
        <v>3</v>
      </c>
      <c r="AE43" s="10">
        <v>5.0</v>
      </c>
      <c r="AF43" s="10">
        <v>5.0</v>
      </c>
      <c r="AG43" s="10">
        <v>5.0</v>
      </c>
      <c r="AH43" s="21" t="str">
        <f t="shared" si="2"/>
        <v/>
      </c>
      <c r="AI43" s="21" t="str">
        <f t="shared" si="3"/>
        <v/>
      </c>
      <c r="AJ43" s="21" t="str">
        <f t="array" ref="AJ43">IF(AH43="","",INDEX(Rubric!$M$5:$M$8,MATCH(AH43,Rubric!$L$5:$L$8,1)))</f>
        <v/>
      </c>
      <c r="AK43" s="21" t="str">
        <f t="array" ref="AK43">IF(AI43="","",INDEX(Rubric!$M$5:$M$8,MATCH(AI43,Rubric!$L$5:$L$8,1)))</f>
        <v/>
      </c>
      <c r="AL43" s="5" t="s">
        <v>2028</v>
      </c>
      <c r="AM43" s="5" t="s">
        <v>1855</v>
      </c>
      <c r="AN43" s="5"/>
      <c r="AO43" s="21"/>
      <c r="AP43" s="5" t="s">
        <v>2029</v>
      </c>
      <c r="AQ43" s="5" t="s">
        <v>2030</v>
      </c>
      <c r="AR43" s="21" t="s">
        <v>583</v>
      </c>
      <c r="AS43" s="5" t="s">
        <v>587</v>
      </c>
      <c r="AT43" s="21">
        <f>COUNTIF('CVE Register'!$X$5:$X$61,"*"&amp;A43&amp;"*")</f>
        <v>0</v>
      </c>
      <c r="AU43" s="25" t="s">
        <v>599</v>
      </c>
      <c r="AV43" s="5" t="s">
        <v>2031</v>
      </c>
    </row>
    <row r="44" ht="78.0" customHeight="1">
      <c r="A44" s="31" t="s">
        <v>510</v>
      </c>
      <c r="B44" s="32" t="s">
        <v>147</v>
      </c>
      <c r="C44" s="41" t="s">
        <v>2032</v>
      </c>
      <c r="D44" s="5" t="s">
        <v>2033</v>
      </c>
      <c r="E44" s="5" t="s">
        <v>2034</v>
      </c>
      <c r="F44" s="21" t="s">
        <v>863</v>
      </c>
      <c r="G44" s="5" t="s">
        <v>765</v>
      </c>
      <c r="H44" s="10" t="s">
        <v>37</v>
      </c>
      <c r="I44" s="10" t="s">
        <v>228</v>
      </c>
      <c r="J44" s="5" t="s">
        <v>229</v>
      </c>
      <c r="K44" s="10"/>
      <c r="L44" s="10" t="s">
        <v>1510</v>
      </c>
      <c r="M44" s="10" t="s">
        <v>78</v>
      </c>
      <c r="N44" s="10" t="s">
        <v>246</v>
      </c>
      <c r="O44" s="10" t="s">
        <v>246</v>
      </c>
      <c r="P44" s="10" t="s">
        <v>246</v>
      </c>
      <c r="Q44" s="10"/>
      <c r="R44" s="21">
        <f t="shared" si="1"/>
        <v>3</v>
      </c>
      <c r="S44" s="10" t="s">
        <v>260</v>
      </c>
      <c r="T44" s="21" t="str">
        <f>IF(COUNTIFS(Binding!$A$5:$A$108,A44,Binding!$C$5:$C$108,"Attack")=0,"P","E"&amp;MAXIFS(Binding!$J$5:$J$108,Binding!$A$5:$A$108,A44,Binding!$C$5:$C$108,"Attack"))</f>
        <v>E2</v>
      </c>
      <c r="U44" s="10" t="s">
        <v>298</v>
      </c>
      <c r="V44" s="21" t="str">
        <f>IF(T44="P","",IF(COUNTIFS(Binding!$A$5:$A$108,A44,Binding!$C$5:$C$108,"Attack",Binding!$J$5:$J$108,MAXIFS(Binding!$J$5:$J$108,Binding!$A$5:$A$108,A44,Binding!$C$5:$C$108,"Attack"),Binding!$H$5:$H$108,"Yes")=0,"Yes","No"))</f>
        <v>Yes</v>
      </c>
      <c r="W44" s="5" t="s">
        <v>1987</v>
      </c>
      <c r="X44" s="5"/>
      <c r="Y44" s="5" t="s">
        <v>1842</v>
      </c>
      <c r="Z44" s="10">
        <v>0.0</v>
      </c>
      <c r="AA44" s="10">
        <v>1.0</v>
      </c>
      <c r="AB44" s="21">
        <f>IF(S44="Enabler","",MAX(IF(N44="Y",Rubric!$I$5,0),IF(P44="Y",Rubric!$I$6,0),IF(O44="Y",IF(AE44&gt;=3,Rubric!$I$7,Rubric!$I$8),0),IF(Q44="Y",Rubric!$I$9,0)))</f>
        <v>5</v>
      </c>
      <c r="AC44" s="21">
        <f t="array" ref="AC44">MAX(1,INDEX(Rubric!$B$5:$B$9,MATCH(T44,Rubric!$A$5:$A$9,0))-IF(AND(U44="Y",T44&lt;&gt;"P"),Rubric!$I$11,0))</f>
        <v>4</v>
      </c>
      <c r="AD44" s="21">
        <f t="array" ref="AD44">INDEX(Rubric!$E$5:$E$9,MATCH(M44,Rubric!$D$5:$D$9,0))</f>
        <v>3</v>
      </c>
      <c r="AE44" s="10">
        <v>5.0</v>
      </c>
      <c r="AF44" s="10">
        <v>4.0</v>
      </c>
      <c r="AG44" s="10">
        <v>4.0</v>
      </c>
      <c r="AH44" s="21">
        <f t="shared" si="2"/>
        <v>21</v>
      </c>
      <c r="AI44" s="21">
        <f t="shared" si="3"/>
        <v>21</v>
      </c>
      <c r="AJ44" s="21" t="str">
        <f t="array" ref="AJ44">IF(AH44="","",INDEX(Rubric!$M$5:$M$8,MATCH(AH44,Rubric!$L$5:$L$8,1)))</f>
        <v>Critical</v>
      </c>
      <c r="AK44" s="21" t="str">
        <f t="array" ref="AK44">IF(AI44="","",INDEX(Rubric!$M$5:$M$8,MATCH(AI44,Rubric!$L$5:$L$8,1)))</f>
        <v>Critical</v>
      </c>
      <c r="AL44" s="5" t="s">
        <v>2035</v>
      </c>
      <c r="AM44" s="5" t="s">
        <v>1855</v>
      </c>
      <c r="AN44" s="5" t="s">
        <v>1583</v>
      </c>
      <c r="AO44" s="21" t="s">
        <v>1200</v>
      </c>
      <c r="AP44" s="5" t="s">
        <v>2036</v>
      </c>
      <c r="AQ44" s="5" t="s">
        <v>2037</v>
      </c>
      <c r="AR44" s="21" t="s">
        <v>583</v>
      </c>
      <c r="AS44" s="5" t="s">
        <v>587</v>
      </c>
      <c r="AT44" s="21">
        <f>COUNTIF('CVE Register'!$X$5:$X$61,"*"&amp;A44&amp;"*")</f>
        <v>0</v>
      </c>
      <c r="AU44" s="25" t="s">
        <v>599</v>
      </c>
      <c r="AV44" s="5" t="s">
        <v>876</v>
      </c>
    </row>
    <row r="45" ht="78.0" customHeight="1">
      <c r="A45" s="33" t="s">
        <v>511</v>
      </c>
      <c r="B45" s="34" t="s">
        <v>266</v>
      </c>
      <c r="C45" s="42" t="s">
        <v>2038</v>
      </c>
      <c r="D45" s="5" t="s">
        <v>2039</v>
      </c>
      <c r="E45" s="5" t="s">
        <v>2040</v>
      </c>
      <c r="F45" s="21" t="s">
        <v>601</v>
      </c>
      <c r="G45" s="5" t="s">
        <v>452</v>
      </c>
      <c r="H45" s="10" t="s">
        <v>228</v>
      </c>
      <c r="I45" s="10" t="s">
        <v>1487</v>
      </c>
      <c r="J45" s="5" t="s">
        <v>2041</v>
      </c>
      <c r="K45" s="10" t="s">
        <v>990</v>
      </c>
      <c r="L45" s="10" t="s">
        <v>1514</v>
      </c>
      <c r="M45" s="10" t="s">
        <v>78</v>
      </c>
      <c r="N45" s="10" t="s">
        <v>246</v>
      </c>
      <c r="O45" s="10"/>
      <c r="P45" s="10"/>
      <c r="Q45" s="10"/>
      <c r="R45" s="21">
        <f t="shared" si="1"/>
        <v>1</v>
      </c>
      <c r="S45" s="10" t="s">
        <v>260</v>
      </c>
      <c r="T45" s="21" t="str">
        <f>IF(COUNTIFS(Binding!$A$5:$A$108,A45,Binding!$C$5:$C$108,"Attack")=0,"P","E"&amp;MAXIFS(Binding!$J$5:$J$108,Binding!$A$5:$A$108,A45,Binding!$C$5:$C$108,"Attack"))</f>
        <v>P</v>
      </c>
      <c r="U45" s="10"/>
      <c r="V45" s="21" t="str">
        <f>IF(T45="P","",IF(COUNTIFS(Binding!$A$5:$A$108,A45,Binding!$C$5:$C$108,"Attack",Binding!$J$5:$J$108,MAXIFS(Binding!$J$5:$J$108,Binding!$A$5:$A$108,A45,Binding!$C$5:$C$108,"Attack"),Binding!$H$5:$H$108,"Yes")=0,"Yes","No"))</f>
        <v/>
      </c>
      <c r="W45" s="5" t="s">
        <v>1904</v>
      </c>
      <c r="X45" s="5" t="s">
        <v>2042</v>
      </c>
      <c r="Y45" s="5"/>
      <c r="Z45" s="10">
        <v>5.0</v>
      </c>
      <c r="AA45" s="10">
        <v>6.0</v>
      </c>
      <c r="AB45" s="21">
        <f>IF(S45="Enabler","",MAX(IF(N45="Y",Rubric!$I$5,0),IF(P45="Y",Rubric!$I$6,0),IF(O45="Y",IF(AE45&gt;=3,Rubric!$I$7,Rubric!$I$8),0),IF(Q45="Y",Rubric!$I$9,0)))</f>
        <v>5</v>
      </c>
      <c r="AC45" s="21">
        <f t="array" ref="AC45">MAX(1,INDEX(Rubric!$B$5:$B$9,MATCH(T45,Rubric!$A$5:$A$9,0))-IF(AND(U45="Y",T45&lt;&gt;"P"),Rubric!$I$11,0))</f>
        <v>1</v>
      </c>
      <c r="AD45" s="21">
        <f t="array" ref="AD45">INDEX(Rubric!$E$5:$E$9,MATCH(M45,Rubric!$D$5:$D$9,0))</f>
        <v>3</v>
      </c>
      <c r="AE45" s="10">
        <v>5.0</v>
      </c>
      <c r="AF45" s="10">
        <v>3.0</v>
      </c>
      <c r="AG45" s="10">
        <v>5.0</v>
      </c>
      <c r="AH45" s="21">
        <f t="shared" si="2"/>
        <v>17</v>
      </c>
      <c r="AI45" s="21">
        <f t="shared" si="3"/>
        <v>19</v>
      </c>
      <c r="AJ45" s="21" t="str">
        <f t="array" ref="AJ45">IF(AH45="","",INDEX(Rubric!$M$5:$M$8,MATCH(AH45,Rubric!$L$5:$L$8,1)))</f>
        <v>High</v>
      </c>
      <c r="AK45" s="21" t="str">
        <f t="array" ref="AK45">IF(AI45="","",INDEX(Rubric!$M$5:$M$8,MATCH(AI45,Rubric!$L$5:$L$8,1)))</f>
        <v>High</v>
      </c>
      <c r="AL45" s="5" t="s">
        <v>1975</v>
      </c>
      <c r="AM45" s="5" t="s">
        <v>1855</v>
      </c>
      <c r="AN45" s="5" t="s">
        <v>1576</v>
      </c>
      <c r="AO45" s="21" t="s">
        <v>1277</v>
      </c>
      <c r="AP45" s="5" t="s">
        <v>2043</v>
      </c>
      <c r="AQ45" s="5" t="s">
        <v>2044</v>
      </c>
      <c r="AR45" s="21" t="s">
        <v>583</v>
      </c>
      <c r="AS45" s="5" t="s">
        <v>587</v>
      </c>
      <c r="AT45" s="21">
        <f>COUNTIF('CVE Register'!$X$5:$X$61,"*"&amp;A45&amp;"*")</f>
        <v>6</v>
      </c>
      <c r="AU45" s="25" t="s">
        <v>2045</v>
      </c>
      <c r="AV45" s="5" t="s">
        <v>603</v>
      </c>
    </row>
    <row r="46" ht="78.0" customHeight="1">
      <c r="A46" s="33" t="s">
        <v>521</v>
      </c>
      <c r="B46" s="34" t="s">
        <v>266</v>
      </c>
      <c r="C46" s="42" t="s">
        <v>2046</v>
      </c>
      <c r="D46" s="5" t="s">
        <v>2047</v>
      </c>
      <c r="E46" s="5" t="s">
        <v>2048</v>
      </c>
      <c r="F46" s="21" t="s">
        <v>886</v>
      </c>
      <c r="G46" s="5" t="s">
        <v>452</v>
      </c>
      <c r="H46" s="10" t="s">
        <v>228</v>
      </c>
      <c r="I46" s="10"/>
      <c r="J46" s="5" t="s">
        <v>2049</v>
      </c>
      <c r="K46" s="10" t="s">
        <v>728</v>
      </c>
      <c r="L46" s="10" t="s">
        <v>1514</v>
      </c>
      <c r="M46" s="10" t="s">
        <v>78</v>
      </c>
      <c r="N46" s="10" t="s">
        <v>246</v>
      </c>
      <c r="O46" s="10"/>
      <c r="P46" s="10"/>
      <c r="Q46" s="10"/>
      <c r="R46" s="21">
        <f t="shared" si="1"/>
        <v>1</v>
      </c>
      <c r="S46" s="10" t="s">
        <v>260</v>
      </c>
      <c r="T46" s="21" t="str">
        <f>IF(COUNTIFS(Binding!$A$5:$A$108,A46,Binding!$C$5:$C$108,"Attack")=0,"P","E"&amp;MAXIFS(Binding!$J$5:$J$108,Binding!$A$5:$A$108,A46,Binding!$C$5:$C$108,"Attack"))</f>
        <v>P</v>
      </c>
      <c r="U46" s="10"/>
      <c r="V46" s="21" t="str">
        <f>IF(T46="P","",IF(COUNTIFS(Binding!$A$5:$A$108,A46,Binding!$C$5:$C$108,"Attack",Binding!$J$5:$J$108,MAXIFS(Binding!$J$5:$J$108,Binding!$A$5:$A$108,A46,Binding!$C$5:$C$108,"Attack"),Binding!$H$5:$H$108,"Yes")=0,"Yes","No"))</f>
        <v/>
      </c>
      <c r="W46" s="5" t="s">
        <v>1904</v>
      </c>
      <c r="X46" s="5" t="s">
        <v>1769</v>
      </c>
      <c r="Y46" s="5"/>
      <c r="Z46" s="10">
        <v>1.0</v>
      </c>
      <c r="AA46" s="10">
        <v>2.0</v>
      </c>
      <c r="AB46" s="21">
        <f>IF(S46="Enabler","",MAX(IF(N46="Y",Rubric!$I$5,0),IF(P46="Y",Rubric!$I$6,0),IF(O46="Y",IF(AE46&gt;=3,Rubric!$I$7,Rubric!$I$8),0),IF(Q46="Y",Rubric!$I$9,0)))</f>
        <v>5</v>
      </c>
      <c r="AC46" s="21">
        <f t="array" ref="AC46">MAX(1,INDEX(Rubric!$B$5:$B$9,MATCH(T46,Rubric!$A$5:$A$9,0))-IF(AND(U46="Y",T46&lt;&gt;"P"),Rubric!$I$11,0))</f>
        <v>1</v>
      </c>
      <c r="AD46" s="21">
        <f t="array" ref="AD46">INDEX(Rubric!$E$5:$E$9,MATCH(M46,Rubric!$D$5:$D$9,0))</f>
        <v>3</v>
      </c>
      <c r="AE46" s="10">
        <v>5.0</v>
      </c>
      <c r="AF46" s="10">
        <v>3.0</v>
      </c>
      <c r="AG46" s="10">
        <v>5.0</v>
      </c>
      <c r="AH46" s="21">
        <f t="shared" si="2"/>
        <v>17</v>
      </c>
      <c r="AI46" s="21">
        <f t="shared" si="3"/>
        <v>19</v>
      </c>
      <c r="AJ46" s="21" t="str">
        <f t="array" ref="AJ46">IF(AH46="","",INDEX(Rubric!$M$5:$M$8,MATCH(AH46,Rubric!$L$5:$L$8,1)))</f>
        <v>High</v>
      </c>
      <c r="AK46" s="21" t="str">
        <f t="array" ref="AK46">IF(AI46="","",INDEX(Rubric!$M$5:$M$8,MATCH(AI46,Rubric!$L$5:$L$8,1)))</f>
        <v>High</v>
      </c>
      <c r="AL46" s="5" t="s">
        <v>1975</v>
      </c>
      <c r="AM46" s="5" t="s">
        <v>1855</v>
      </c>
      <c r="AN46" s="5" t="s">
        <v>1578</v>
      </c>
      <c r="AO46" s="21" t="s">
        <v>1287</v>
      </c>
      <c r="AP46" s="5" t="s">
        <v>1976</v>
      </c>
      <c r="AQ46" s="5" t="s">
        <v>2050</v>
      </c>
      <c r="AR46" s="21" t="s">
        <v>583</v>
      </c>
      <c r="AS46" s="5" t="s">
        <v>1792</v>
      </c>
      <c r="AT46" s="21">
        <f>COUNTIF('CVE Register'!$X$5:$X$61,"*"&amp;A46&amp;"*")</f>
        <v>0</v>
      </c>
      <c r="AU46" s="25" t="s">
        <v>599</v>
      </c>
      <c r="AV46" s="5" t="s">
        <v>893</v>
      </c>
    </row>
    <row r="47" ht="78.0" customHeight="1">
      <c r="A47" s="33" t="s">
        <v>523</v>
      </c>
      <c r="B47" s="34" t="s">
        <v>266</v>
      </c>
      <c r="C47" s="42" t="s">
        <v>2051</v>
      </c>
      <c r="D47" s="5" t="s">
        <v>2052</v>
      </c>
      <c r="E47" s="5" t="s">
        <v>2053</v>
      </c>
      <c r="F47" s="21" t="s">
        <v>886</v>
      </c>
      <c r="G47" s="5" t="s">
        <v>452</v>
      </c>
      <c r="H47" s="10" t="s">
        <v>45</v>
      </c>
      <c r="I47" s="10" t="s">
        <v>228</v>
      </c>
      <c r="J47" s="5" t="s">
        <v>229</v>
      </c>
      <c r="K47" s="10" t="s">
        <v>728</v>
      </c>
      <c r="L47" s="10" t="s">
        <v>1514</v>
      </c>
      <c r="M47" s="10" t="s">
        <v>78</v>
      </c>
      <c r="N47" s="10" t="s">
        <v>246</v>
      </c>
      <c r="O47" s="10" t="s">
        <v>246</v>
      </c>
      <c r="P47" s="10" t="s">
        <v>246</v>
      </c>
      <c r="Q47" s="10"/>
      <c r="R47" s="21">
        <f t="shared" si="1"/>
        <v>3</v>
      </c>
      <c r="S47" s="10" t="s">
        <v>260</v>
      </c>
      <c r="T47" s="21" t="str">
        <f>IF(COUNTIFS(Binding!$A$5:$A$108,A47,Binding!$C$5:$C$108,"Attack")=0,"P","E"&amp;MAXIFS(Binding!$J$5:$J$108,Binding!$A$5:$A$108,A47,Binding!$C$5:$C$108,"Attack"))</f>
        <v>P</v>
      </c>
      <c r="U47" s="10"/>
      <c r="V47" s="21" t="str">
        <f>IF(T47="P","",IF(COUNTIFS(Binding!$A$5:$A$108,A47,Binding!$C$5:$C$108,"Attack",Binding!$J$5:$J$108,MAXIFS(Binding!$J$5:$J$108,Binding!$A$5:$A$108,A47,Binding!$C$5:$C$108,"Attack"),Binding!$H$5:$H$108,"Yes")=0,"Yes","No"))</f>
        <v/>
      </c>
      <c r="W47" s="5" t="s">
        <v>1904</v>
      </c>
      <c r="X47" s="5" t="s">
        <v>2054</v>
      </c>
      <c r="Y47" s="5"/>
      <c r="Z47" s="10">
        <v>1.0</v>
      </c>
      <c r="AA47" s="10">
        <v>2.0</v>
      </c>
      <c r="AB47" s="21">
        <f>IF(S47="Enabler","",MAX(IF(N47="Y",Rubric!$I$5,0),IF(P47="Y",Rubric!$I$6,0),IF(O47="Y",IF(AE47&gt;=3,Rubric!$I$7,Rubric!$I$8),0),IF(Q47="Y",Rubric!$I$9,0)))</f>
        <v>5</v>
      </c>
      <c r="AC47" s="21">
        <f t="array" ref="AC47">MAX(1,INDEX(Rubric!$B$5:$B$9,MATCH(T47,Rubric!$A$5:$A$9,0))-IF(AND(U47="Y",T47&lt;&gt;"P"),Rubric!$I$11,0))</f>
        <v>1</v>
      </c>
      <c r="AD47" s="21">
        <f t="array" ref="AD47">INDEX(Rubric!$E$5:$E$9,MATCH(M47,Rubric!$D$5:$D$9,0))</f>
        <v>3</v>
      </c>
      <c r="AE47" s="10">
        <v>5.0</v>
      </c>
      <c r="AF47" s="10">
        <v>3.0</v>
      </c>
      <c r="AG47" s="10">
        <v>5.0</v>
      </c>
      <c r="AH47" s="21">
        <f t="shared" si="2"/>
        <v>17</v>
      </c>
      <c r="AI47" s="21">
        <f t="shared" si="3"/>
        <v>19</v>
      </c>
      <c r="AJ47" s="21" t="str">
        <f t="array" ref="AJ47">IF(AH47="","",INDEX(Rubric!$M$5:$M$8,MATCH(AH47,Rubric!$L$5:$L$8,1)))</f>
        <v>High</v>
      </c>
      <c r="AK47" s="21" t="str">
        <f t="array" ref="AK47">IF(AI47="","",INDEX(Rubric!$M$5:$M$8,MATCH(AI47,Rubric!$L$5:$L$8,1)))</f>
        <v>High</v>
      </c>
      <c r="AL47" s="5" t="s">
        <v>1975</v>
      </c>
      <c r="AM47" s="5" t="s">
        <v>1855</v>
      </c>
      <c r="AN47" s="5" t="s">
        <v>1578</v>
      </c>
      <c r="AO47" s="21" t="s">
        <v>1287</v>
      </c>
      <c r="AP47" s="5" t="s">
        <v>2055</v>
      </c>
      <c r="AQ47" s="5" t="s">
        <v>1752</v>
      </c>
      <c r="AR47" s="21" t="s">
        <v>583</v>
      </c>
      <c r="AS47" s="5" t="s">
        <v>587</v>
      </c>
      <c r="AT47" s="21">
        <f>COUNTIF('CVE Register'!$X$5:$X$61,"*"&amp;A47&amp;"*")</f>
        <v>0</v>
      </c>
      <c r="AU47" s="25" t="s">
        <v>599</v>
      </c>
      <c r="AV47" s="5" t="s">
        <v>893</v>
      </c>
    </row>
    <row r="48" ht="78.0" customHeight="1">
      <c r="A48" s="33" t="s">
        <v>524</v>
      </c>
      <c r="B48" s="34" t="s">
        <v>266</v>
      </c>
      <c r="C48" s="42" t="s">
        <v>2056</v>
      </c>
      <c r="D48" s="5" t="s">
        <v>2057</v>
      </c>
      <c r="E48" s="5" t="s">
        <v>2058</v>
      </c>
      <c r="F48" s="21" t="s">
        <v>894</v>
      </c>
      <c r="G48" s="5" t="s">
        <v>452</v>
      </c>
      <c r="H48" s="10" t="s">
        <v>1182</v>
      </c>
      <c r="I48" s="10"/>
      <c r="J48" s="5" t="s">
        <v>229</v>
      </c>
      <c r="K48" s="10"/>
      <c r="L48" s="10" t="s">
        <v>1514</v>
      </c>
      <c r="M48" s="10" t="s">
        <v>78</v>
      </c>
      <c r="N48" s="10"/>
      <c r="O48" s="10"/>
      <c r="P48" s="10"/>
      <c r="Q48" s="10" t="s">
        <v>246</v>
      </c>
      <c r="R48" s="21">
        <f t="shared" si="1"/>
        <v>1</v>
      </c>
      <c r="S48" s="10" t="s">
        <v>260</v>
      </c>
      <c r="T48" s="21" t="str">
        <f>IF(COUNTIFS(Binding!$A$5:$A$108,A48,Binding!$C$5:$C$108,"Attack")=0,"P","E"&amp;MAXIFS(Binding!$J$5:$J$108,Binding!$A$5:$A$108,A48,Binding!$C$5:$C$108,"Attack"))</f>
        <v>E3</v>
      </c>
      <c r="U48" s="10" t="s">
        <v>246</v>
      </c>
      <c r="V48" s="21" t="str">
        <f>IF(T48="P","",IF(COUNTIFS(Binding!$A$5:$A$108,A48,Binding!$C$5:$C$108,"Attack",Binding!$J$5:$J$108,MAXIFS(Binding!$J$5:$J$108,Binding!$A$5:$A$108,A48,Binding!$C$5:$C$108,"Attack"),Binding!$H$5:$H$108,"Yes")=0,"Yes","No"))</f>
        <v>No</v>
      </c>
      <c r="W48" s="5" t="s">
        <v>2059</v>
      </c>
      <c r="X48" s="5"/>
      <c r="Y48" s="5" t="s">
        <v>2060</v>
      </c>
      <c r="Z48" s="10">
        <v>5.0</v>
      </c>
      <c r="AA48" s="10">
        <v>6.0</v>
      </c>
      <c r="AB48" s="21">
        <f>IF(S48="Enabler","",MAX(IF(N48="Y",Rubric!$I$5,0),IF(P48="Y",Rubric!$I$6,0),IF(O48="Y",IF(AE48&gt;=3,Rubric!$I$7,Rubric!$I$8),0),IF(Q48="Y",Rubric!$I$9,0)))</f>
        <v>1</v>
      </c>
      <c r="AC48" s="21">
        <f t="array" ref="AC48">MAX(1,INDEX(Rubric!$B$5:$B$9,MATCH(T48,Rubric!$A$5:$A$9,0))-IF(AND(U48="Y",T48&lt;&gt;"P"),Rubric!$I$11,0))</f>
        <v>4</v>
      </c>
      <c r="AD48" s="21">
        <f t="array" ref="AD48">INDEX(Rubric!$E$5:$E$9,MATCH(M48,Rubric!$D$5:$D$9,0))</f>
        <v>3</v>
      </c>
      <c r="AE48" s="10">
        <v>5.0</v>
      </c>
      <c r="AF48" s="10">
        <v>5.0</v>
      </c>
      <c r="AG48" s="10">
        <v>5.0</v>
      </c>
      <c r="AH48" s="21">
        <f t="shared" si="2"/>
        <v>18</v>
      </c>
      <c r="AI48" s="21">
        <f t="shared" si="3"/>
        <v>18</v>
      </c>
      <c r="AJ48" s="21" t="str">
        <f t="array" ref="AJ48">IF(AH48="","",INDEX(Rubric!$M$5:$M$8,MATCH(AH48,Rubric!$L$5:$L$8,1)))</f>
        <v>High</v>
      </c>
      <c r="AK48" s="21" t="str">
        <f t="array" ref="AK48">IF(AI48="","",INDEX(Rubric!$M$5:$M$8,MATCH(AI48,Rubric!$L$5:$L$8,1)))</f>
        <v>High</v>
      </c>
      <c r="AL48" s="5" t="s">
        <v>2061</v>
      </c>
      <c r="AM48" s="5" t="s">
        <v>1855</v>
      </c>
      <c r="AN48" s="5"/>
      <c r="AO48" s="21" t="s">
        <v>1287</v>
      </c>
      <c r="AP48" s="5" t="s">
        <v>2062</v>
      </c>
      <c r="AQ48" s="5" t="s">
        <v>2063</v>
      </c>
      <c r="AR48" s="21" t="s">
        <v>1593</v>
      </c>
      <c r="AS48" s="5" t="s">
        <v>587</v>
      </c>
      <c r="AT48" s="21">
        <f>COUNTIF('CVE Register'!$X$5:$X$61,"*"&amp;A48&amp;"*")</f>
        <v>4</v>
      </c>
      <c r="AU48" s="25" t="s">
        <v>2064</v>
      </c>
      <c r="AV48" s="5" t="s">
        <v>2065</v>
      </c>
    </row>
    <row r="49" ht="78.0" customHeight="1">
      <c r="A49" s="33" t="s">
        <v>533</v>
      </c>
      <c r="B49" s="34" t="s">
        <v>266</v>
      </c>
      <c r="C49" s="42" t="s">
        <v>2066</v>
      </c>
      <c r="D49" s="5" t="s">
        <v>2067</v>
      </c>
      <c r="E49" s="5" t="s">
        <v>2068</v>
      </c>
      <c r="F49" s="21" t="s">
        <v>894</v>
      </c>
      <c r="G49" s="5" t="s">
        <v>452</v>
      </c>
      <c r="H49" s="10" t="s">
        <v>37</v>
      </c>
      <c r="I49" s="10" t="s">
        <v>228</v>
      </c>
      <c r="J49" s="5" t="s">
        <v>229</v>
      </c>
      <c r="K49" s="10"/>
      <c r="L49" s="10" t="s">
        <v>1514</v>
      </c>
      <c r="M49" s="10" t="s">
        <v>78</v>
      </c>
      <c r="N49" s="10" t="s">
        <v>246</v>
      </c>
      <c r="O49" s="10" t="s">
        <v>246</v>
      </c>
      <c r="P49" s="10"/>
      <c r="Q49" s="10"/>
      <c r="R49" s="21">
        <f t="shared" si="1"/>
        <v>2</v>
      </c>
      <c r="S49" s="10" t="s">
        <v>260</v>
      </c>
      <c r="T49" s="21" t="str">
        <f>IF(COUNTIFS(Binding!$A$5:$A$108,A49,Binding!$C$5:$C$108,"Attack")=0,"P","E"&amp;MAXIFS(Binding!$J$5:$J$108,Binding!$A$5:$A$108,A49,Binding!$C$5:$C$108,"Attack"))</f>
        <v>E0</v>
      </c>
      <c r="U49" s="10" t="s">
        <v>246</v>
      </c>
      <c r="V49" s="21" t="str">
        <f>IF(T49="P","",IF(COUNTIFS(Binding!$A$5:$A$108,A49,Binding!$C$5:$C$108,"Attack",Binding!$J$5:$J$108,MAXIFS(Binding!$J$5:$J$108,Binding!$A$5:$A$108,A49,Binding!$C$5:$C$108,"Attack"),Binding!$H$5:$H$108,"Yes")=0,"Yes","No"))</f>
        <v>No</v>
      </c>
      <c r="W49" s="5" t="s">
        <v>2069</v>
      </c>
      <c r="X49" s="5"/>
      <c r="Y49" s="5" t="s">
        <v>242</v>
      </c>
      <c r="Z49" s="10">
        <v>5.0</v>
      </c>
      <c r="AA49" s="10">
        <v>6.0</v>
      </c>
      <c r="AB49" s="21">
        <f>IF(S49="Enabler","",MAX(IF(N49="Y",Rubric!$I$5,0),IF(P49="Y",Rubric!$I$6,0),IF(O49="Y",IF(AE49&gt;=3,Rubric!$I$7,Rubric!$I$8),0),IF(Q49="Y",Rubric!$I$9,0)))</f>
        <v>5</v>
      </c>
      <c r="AC49" s="21">
        <f t="array" ref="AC49">MAX(1,INDEX(Rubric!$B$5:$B$9,MATCH(T49,Rubric!$A$5:$A$9,0))-IF(AND(U49="Y",T49&lt;&gt;"P"),Rubric!$I$11,0))</f>
        <v>1</v>
      </c>
      <c r="AD49" s="21">
        <f t="array" ref="AD49">INDEX(Rubric!$E$5:$E$9,MATCH(M49,Rubric!$D$5:$D$9,0))</f>
        <v>3</v>
      </c>
      <c r="AE49" s="10">
        <v>5.0</v>
      </c>
      <c r="AF49" s="10">
        <v>4.0</v>
      </c>
      <c r="AG49" s="10">
        <v>4.0</v>
      </c>
      <c r="AH49" s="21">
        <f t="shared" si="2"/>
        <v>18</v>
      </c>
      <c r="AI49" s="21">
        <f t="shared" si="3"/>
        <v>18</v>
      </c>
      <c r="AJ49" s="21" t="str">
        <f t="array" ref="AJ49">IF(AH49="","",INDEX(Rubric!$M$5:$M$8,MATCH(AH49,Rubric!$L$5:$L$8,1)))</f>
        <v>High</v>
      </c>
      <c r="AK49" s="21" t="str">
        <f t="array" ref="AK49">IF(AI49="","",INDEX(Rubric!$M$5:$M$8,MATCH(AI49,Rubric!$L$5:$L$8,1)))</f>
        <v>High</v>
      </c>
      <c r="AL49" s="5" t="s">
        <v>2070</v>
      </c>
      <c r="AM49" s="5" t="s">
        <v>1855</v>
      </c>
      <c r="AN49" s="5" t="s">
        <v>1583</v>
      </c>
      <c r="AO49" s="21" t="s">
        <v>1287</v>
      </c>
      <c r="AP49" s="5" t="s">
        <v>2071</v>
      </c>
      <c r="AQ49" s="5" t="s">
        <v>2072</v>
      </c>
      <c r="AR49" s="21" t="s">
        <v>583</v>
      </c>
      <c r="AS49" s="5" t="s">
        <v>587</v>
      </c>
      <c r="AT49" s="21">
        <f>COUNTIF('CVE Register'!$X$5:$X$61,"*"&amp;A49&amp;"*")</f>
        <v>4</v>
      </c>
      <c r="AU49" s="25" t="s">
        <v>2064</v>
      </c>
      <c r="AV49" s="5" t="s">
        <v>898</v>
      </c>
    </row>
    <row r="50" ht="78.0" customHeight="1">
      <c r="A50" s="33" t="s">
        <v>547</v>
      </c>
      <c r="B50" s="34" t="s">
        <v>266</v>
      </c>
      <c r="C50" s="42" t="s">
        <v>2073</v>
      </c>
      <c r="D50" s="5" t="s">
        <v>2074</v>
      </c>
      <c r="E50" s="5" t="s">
        <v>2075</v>
      </c>
      <c r="F50" s="21" t="s">
        <v>2076</v>
      </c>
      <c r="G50" s="5" t="s">
        <v>452</v>
      </c>
      <c r="H50" s="10" t="s">
        <v>228</v>
      </c>
      <c r="I50" s="10" t="s">
        <v>37</v>
      </c>
      <c r="J50" s="5" t="s">
        <v>229</v>
      </c>
      <c r="K50" s="10"/>
      <c r="L50" s="10" t="s">
        <v>1510</v>
      </c>
      <c r="M50" s="10" t="s">
        <v>78</v>
      </c>
      <c r="N50" s="10" t="s">
        <v>246</v>
      </c>
      <c r="O50" s="10"/>
      <c r="P50" s="10" t="s">
        <v>246</v>
      </c>
      <c r="Q50" s="10"/>
      <c r="R50" s="21">
        <f t="shared" si="1"/>
        <v>2</v>
      </c>
      <c r="S50" s="10" t="s">
        <v>260</v>
      </c>
      <c r="T50" s="21" t="str">
        <f>IF(COUNTIFS(Binding!$A$5:$A$108,A50,Binding!$C$5:$C$108,"Attack")=0,"P","E"&amp;MAXIFS(Binding!$J$5:$J$108,Binding!$A$5:$A$108,A50,Binding!$C$5:$C$108,"Attack"))</f>
        <v>E3</v>
      </c>
      <c r="U50" s="10" t="s">
        <v>246</v>
      </c>
      <c r="V50" s="21" t="str">
        <f>IF(T50="P","",IF(COUNTIFS(Binding!$A$5:$A$108,A50,Binding!$C$5:$C$108,"Attack",Binding!$J$5:$J$108,MAXIFS(Binding!$J$5:$J$108,Binding!$A$5:$A$108,A50,Binding!$C$5:$C$108,"Attack"),Binding!$H$5:$H$108,"Yes")=0,"Yes","No"))</f>
        <v>Yes</v>
      </c>
      <c r="W50" s="5" t="s">
        <v>2077</v>
      </c>
      <c r="X50" s="5"/>
      <c r="Y50" s="5" t="s">
        <v>2078</v>
      </c>
      <c r="Z50" s="10">
        <v>1.0</v>
      </c>
      <c r="AA50" s="10">
        <v>2.0</v>
      </c>
      <c r="AB50" s="21">
        <f>IF(S50="Enabler","",MAX(IF(N50="Y",Rubric!$I$5,0),IF(P50="Y",Rubric!$I$6,0),IF(O50="Y",IF(AE50&gt;=3,Rubric!$I$7,Rubric!$I$8),0),IF(Q50="Y",Rubric!$I$9,0)))</f>
        <v>5</v>
      </c>
      <c r="AC50" s="21">
        <f t="array" ref="AC50">MAX(1,INDEX(Rubric!$B$5:$B$9,MATCH(T50,Rubric!$A$5:$A$9,0))-IF(AND(U50="Y",T50&lt;&gt;"P"),Rubric!$I$11,0))</f>
        <v>4</v>
      </c>
      <c r="AD50" s="21">
        <f t="array" ref="AD50">INDEX(Rubric!$E$5:$E$9,MATCH(M50,Rubric!$D$5:$D$9,0))</f>
        <v>3</v>
      </c>
      <c r="AE50" s="10">
        <v>5.0</v>
      </c>
      <c r="AF50" s="10">
        <v>4.0</v>
      </c>
      <c r="AG50" s="10">
        <v>4.0</v>
      </c>
      <c r="AH50" s="21">
        <f t="shared" si="2"/>
        <v>21</v>
      </c>
      <c r="AI50" s="21">
        <f t="shared" si="3"/>
        <v>21</v>
      </c>
      <c r="AJ50" s="21" t="str">
        <f t="array" ref="AJ50">IF(AH50="","",INDEX(Rubric!$M$5:$M$8,MATCH(AH50,Rubric!$L$5:$L$8,1)))</f>
        <v>Critical</v>
      </c>
      <c r="AK50" s="21" t="str">
        <f t="array" ref="AK50">IF(AI50="","",INDEX(Rubric!$M$5:$M$8,MATCH(AI50,Rubric!$L$5:$L$8,1)))</f>
        <v>Critical</v>
      </c>
      <c r="AL50" s="5" t="s">
        <v>2079</v>
      </c>
      <c r="AM50" s="5" t="s">
        <v>1855</v>
      </c>
      <c r="AN50" s="5" t="s">
        <v>1588</v>
      </c>
      <c r="AO50" s="21" t="s">
        <v>1263</v>
      </c>
      <c r="AP50" s="5" t="s">
        <v>2080</v>
      </c>
      <c r="AQ50" s="5" t="s">
        <v>1963</v>
      </c>
      <c r="AR50" s="21" t="s">
        <v>583</v>
      </c>
      <c r="AS50" s="5" t="s">
        <v>587</v>
      </c>
      <c r="AT50" s="21">
        <f>COUNTIF('CVE Register'!$X$5:$X$61,"*"&amp;A50&amp;"*")</f>
        <v>0</v>
      </c>
      <c r="AU50" s="25" t="s">
        <v>599</v>
      </c>
      <c r="AV50" s="5" t="s">
        <v>2081</v>
      </c>
    </row>
    <row r="51" ht="78.0" customHeight="1">
      <c r="A51" s="33" t="s">
        <v>557</v>
      </c>
      <c r="B51" s="34" t="s">
        <v>266</v>
      </c>
      <c r="C51" s="42" t="s">
        <v>2082</v>
      </c>
      <c r="D51" s="5" t="s">
        <v>2083</v>
      </c>
      <c r="E51" s="5" t="s">
        <v>2084</v>
      </c>
      <c r="F51" s="21" t="s">
        <v>2076</v>
      </c>
      <c r="G51" s="5" t="s">
        <v>452</v>
      </c>
      <c r="H51" s="10" t="s">
        <v>45</v>
      </c>
      <c r="I51" s="10" t="s">
        <v>228</v>
      </c>
      <c r="J51" s="5" t="s">
        <v>229</v>
      </c>
      <c r="K51" s="10"/>
      <c r="L51" s="10" t="s">
        <v>1510</v>
      </c>
      <c r="M51" s="10" t="s">
        <v>78</v>
      </c>
      <c r="N51" s="10"/>
      <c r="O51" s="10" t="s">
        <v>246</v>
      </c>
      <c r="P51" s="10"/>
      <c r="Q51" s="10"/>
      <c r="R51" s="21">
        <f t="shared" si="1"/>
        <v>1</v>
      </c>
      <c r="S51" s="10" t="s">
        <v>260</v>
      </c>
      <c r="T51" s="21" t="str">
        <f>IF(COUNTIFS(Binding!$A$5:$A$108,A51,Binding!$C$5:$C$108,"Attack")=0,"P","E"&amp;MAXIFS(Binding!$J$5:$J$108,Binding!$A$5:$A$108,A51,Binding!$C$5:$C$108,"Attack"))</f>
        <v>E3</v>
      </c>
      <c r="U51" s="10" t="s">
        <v>246</v>
      </c>
      <c r="V51" s="21" t="str">
        <f>IF(T51="P","",IF(COUNTIFS(Binding!$A$5:$A$108,A51,Binding!$C$5:$C$108,"Attack",Binding!$J$5:$J$108,MAXIFS(Binding!$J$5:$J$108,Binding!$A$5:$A$108,A51,Binding!$C$5:$C$108,"Attack"),Binding!$H$5:$H$108,"Yes")=0,"Yes","No"))</f>
        <v>Yes</v>
      </c>
      <c r="W51" s="5" t="s">
        <v>2085</v>
      </c>
      <c r="X51" s="5"/>
      <c r="Y51" s="5" t="s">
        <v>2086</v>
      </c>
      <c r="Z51" s="10">
        <v>1.0</v>
      </c>
      <c r="AA51" s="10">
        <v>2.0</v>
      </c>
      <c r="AB51" s="21">
        <f>IF(S51="Enabler","",MAX(IF(N51="Y",Rubric!$I$5,0),IF(P51="Y",Rubric!$I$6,0),IF(O51="Y",IF(AE51&gt;=3,Rubric!$I$7,Rubric!$I$8),0),IF(Q51="Y",Rubric!$I$9,0)))</f>
        <v>3</v>
      </c>
      <c r="AC51" s="21">
        <f t="array" ref="AC51">MAX(1,INDEX(Rubric!$B$5:$B$9,MATCH(T51,Rubric!$A$5:$A$9,0))-IF(AND(U51="Y",T51&lt;&gt;"P"),Rubric!$I$11,0))</f>
        <v>4</v>
      </c>
      <c r="AD51" s="21">
        <f t="array" ref="AD51">INDEX(Rubric!$E$5:$E$9,MATCH(M51,Rubric!$D$5:$D$9,0))</f>
        <v>3</v>
      </c>
      <c r="AE51" s="10">
        <v>5.0</v>
      </c>
      <c r="AF51" s="10">
        <v>2.0</v>
      </c>
      <c r="AG51" s="10">
        <v>2.0</v>
      </c>
      <c r="AH51" s="21">
        <f t="shared" si="2"/>
        <v>17</v>
      </c>
      <c r="AI51" s="21">
        <f t="shared" si="3"/>
        <v>17</v>
      </c>
      <c r="AJ51" s="21" t="str">
        <f t="array" ref="AJ51">IF(AH51="","",INDEX(Rubric!$M$5:$M$8,MATCH(AH51,Rubric!$L$5:$L$8,1)))</f>
        <v>High</v>
      </c>
      <c r="AK51" s="21" t="str">
        <f t="array" ref="AK51">IF(AI51="","",INDEX(Rubric!$M$5:$M$8,MATCH(AI51,Rubric!$L$5:$L$8,1)))</f>
        <v>High</v>
      </c>
      <c r="AL51" s="5" t="s">
        <v>2087</v>
      </c>
      <c r="AM51" s="5" t="s">
        <v>1855</v>
      </c>
      <c r="AN51" s="5"/>
      <c r="AO51" s="21" t="s">
        <v>1263</v>
      </c>
      <c r="AP51" s="5" t="s">
        <v>2088</v>
      </c>
      <c r="AQ51" s="5" t="s">
        <v>2089</v>
      </c>
      <c r="AR51" s="21" t="s">
        <v>1593</v>
      </c>
      <c r="AS51" s="5" t="s">
        <v>587</v>
      </c>
      <c r="AT51" s="21">
        <f>COUNTIF('CVE Register'!$X$5:$X$61,"*"&amp;A51&amp;"*")</f>
        <v>0</v>
      </c>
      <c r="AU51" s="25" t="s">
        <v>599</v>
      </c>
      <c r="AV51" s="5" t="s">
        <v>2081</v>
      </c>
    </row>
    <row r="52" ht="78.0" customHeight="1">
      <c r="A52" s="33" t="s">
        <v>560</v>
      </c>
      <c r="B52" s="34" t="s">
        <v>266</v>
      </c>
      <c r="C52" s="42" t="s">
        <v>2090</v>
      </c>
      <c r="D52" s="5" t="s">
        <v>2091</v>
      </c>
      <c r="E52" s="5" t="s">
        <v>2092</v>
      </c>
      <c r="F52" s="21" t="s">
        <v>906</v>
      </c>
      <c r="G52" s="5" t="s">
        <v>226</v>
      </c>
      <c r="H52" s="10" t="s">
        <v>228</v>
      </c>
      <c r="I52" s="10"/>
      <c r="J52" s="5" t="s">
        <v>229</v>
      </c>
      <c r="K52" s="10"/>
      <c r="L52" s="10" t="s">
        <v>1510</v>
      </c>
      <c r="M52" s="10" t="s">
        <v>78</v>
      </c>
      <c r="N52" s="10" t="s">
        <v>246</v>
      </c>
      <c r="O52" s="10"/>
      <c r="P52" s="10" t="s">
        <v>246</v>
      </c>
      <c r="Q52" s="10"/>
      <c r="R52" s="21">
        <f t="shared" si="1"/>
        <v>2</v>
      </c>
      <c r="S52" s="10" t="s">
        <v>260</v>
      </c>
      <c r="T52" s="21" t="str">
        <f>IF(COUNTIFS(Binding!$A$5:$A$108,A52,Binding!$C$5:$C$108,"Attack")=0,"P","E"&amp;MAXIFS(Binding!$J$5:$J$108,Binding!$A$5:$A$108,A52,Binding!$C$5:$C$108,"Attack"))</f>
        <v>P</v>
      </c>
      <c r="U52" s="10"/>
      <c r="V52" s="21" t="str">
        <f>IF(T52="P","",IF(COUNTIFS(Binding!$A$5:$A$108,A52,Binding!$C$5:$C$108,"Attack",Binding!$J$5:$J$108,MAXIFS(Binding!$J$5:$J$108,Binding!$A$5:$A$108,A52,Binding!$C$5:$C$108,"Attack"),Binding!$H$5:$H$108,"Yes")=0,"Yes","No"))</f>
        <v/>
      </c>
      <c r="W52" s="5" t="s">
        <v>1904</v>
      </c>
      <c r="X52" s="5" t="s">
        <v>2093</v>
      </c>
      <c r="Y52" s="5"/>
      <c r="Z52" s="10" t="s">
        <v>599</v>
      </c>
      <c r="AA52" s="10">
        <v>0.0</v>
      </c>
      <c r="AB52" s="21">
        <f>IF(S52="Enabler","",MAX(IF(N52="Y",Rubric!$I$5,0),IF(P52="Y",Rubric!$I$6,0),IF(O52="Y",IF(AE52&gt;=3,Rubric!$I$7,Rubric!$I$8),0),IF(Q52="Y",Rubric!$I$9,0)))</f>
        <v>5</v>
      </c>
      <c r="AC52" s="21">
        <f t="array" ref="AC52">MAX(1,INDEX(Rubric!$B$5:$B$9,MATCH(T52,Rubric!$A$5:$A$9,0))-IF(AND(U52="Y",T52&lt;&gt;"P"),Rubric!$I$11,0))</f>
        <v>1</v>
      </c>
      <c r="AD52" s="21">
        <f t="array" ref="AD52">INDEX(Rubric!$E$5:$E$9,MATCH(M52,Rubric!$D$5:$D$9,0))</f>
        <v>3</v>
      </c>
      <c r="AE52" s="10">
        <v>5.0</v>
      </c>
      <c r="AF52" s="10">
        <v>5.0</v>
      </c>
      <c r="AG52" s="10">
        <v>5.0</v>
      </c>
      <c r="AH52" s="21">
        <f t="shared" si="2"/>
        <v>19</v>
      </c>
      <c r="AI52" s="21">
        <f t="shared" si="3"/>
        <v>19</v>
      </c>
      <c r="AJ52" s="21" t="str">
        <f t="array" ref="AJ52">IF(AH52="","",INDEX(Rubric!$M$5:$M$8,MATCH(AH52,Rubric!$L$5:$L$8,1)))</f>
        <v>High</v>
      </c>
      <c r="AK52" s="21" t="str">
        <f t="array" ref="AK52">IF(AI52="","",INDEX(Rubric!$M$5:$M$8,MATCH(AI52,Rubric!$L$5:$L$8,1)))</f>
        <v>High</v>
      </c>
      <c r="AL52" s="5" t="s">
        <v>2015</v>
      </c>
      <c r="AM52" s="5" t="s">
        <v>1855</v>
      </c>
      <c r="AN52" s="5" t="s">
        <v>1585</v>
      </c>
      <c r="AO52" s="21" t="s">
        <v>1249</v>
      </c>
      <c r="AP52" s="5" t="s">
        <v>872</v>
      </c>
      <c r="AQ52" s="5" t="s">
        <v>2016</v>
      </c>
      <c r="AR52" s="21" t="s">
        <v>583</v>
      </c>
      <c r="AS52" s="5" t="s">
        <v>587</v>
      </c>
      <c r="AT52" s="21">
        <f>COUNTIF('CVE Register'!$X$5:$X$61,"*"&amp;A52&amp;"*")</f>
        <v>0</v>
      </c>
      <c r="AU52" s="25" t="s">
        <v>599</v>
      </c>
      <c r="AV52" s="5" t="s">
        <v>913</v>
      </c>
    </row>
    <row r="53" ht="78.0" customHeight="1">
      <c r="A53" s="33" t="s">
        <v>567</v>
      </c>
      <c r="B53" s="34" t="s">
        <v>266</v>
      </c>
      <c r="C53" s="42" t="s">
        <v>2094</v>
      </c>
      <c r="D53" s="5" t="s">
        <v>2095</v>
      </c>
      <c r="E53" s="5" t="s">
        <v>2096</v>
      </c>
      <c r="F53" s="21" t="s">
        <v>906</v>
      </c>
      <c r="G53" s="5" t="s">
        <v>226</v>
      </c>
      <c r="H53" s="10" t="s">
        <v>45</v>
      </c>
      <c r="I53" s="10"/>
      <c r="J53" s="5" t="s">
        <v>229</v>
      </c>
      <c r="K53" s="10"/>
      <c r="L53" s="10" t="s">
        <v>1510</v>
      </c>
      <c r="M53" s="10" t="s">
        <v>78</v>
      </c>
      <c r="N53" s="10"/>
      <c r="O53" s="10" t="s">
        <v>246</v>
      </c>
      <c r="P53" s="10"/>
      <c r="Q53" s="10"/>
      <c r="R53" s="21">
        <f t="shared" si="1"/>
        <v>1</v>
      </c>
      <c r="S53" s="10" t="s">
        <v>260</v>
      </c>
      <c r="T53" s="21" t="str">
        <f>IF(COUNTIFS(Binding!$A$5:$A$108,A53,Binding!$C$5:$C$108,"Attack")=0,"P","E"&amp;MAXIFS(Binding!$J$5:$J$108,Binding!$A$5:$A$108,A53,Binding!$C$5:$C$108,"Attack"))</f>
        <v>P</v>
      </c>
      <c r="U53" s="10"/>
      <c r="V53" s="21" t="str">
        <f>IF(T53="P","",IF(COUNTIFS(Binding!$A$5:$A$108,A53,Binding!$C$5:$C$108,"Attack",Binding!$J$5:$J$108,MAXIFS(Binding!$J$5:$J$108,Binding!$A$5:$A$108,A53,Binding!$C$5:$C$108,"Attack"),Binding!$H$5:$H$108,"Yes")=0,"Yes","No"))</f>
        <v/>
      </c>
      <c r="W53" s="5" t="s">
        <v>1904</v>
      </c>
      <c r="X53" s="5" t="s">
        <v>2093</v>
      </c>
      <c r="Y53" s="5"/>
      <c r="Z53" s="10" t="s">
        <v>599</v>
      </c>
      <c r="AA53" s="10">
        <v>0.0</v>
      </c>
      <c r="AB53" s="21">
        <f>IF(S53="Enabler","",MAX(IF(N53="Y",Rubric!$I$5,0),IF(P53="Y",Rubric!$I$6,0),IF(O53="Y",IF(AE53&gt;=3,Rubric!$I$7,Rubric!$I$8),0),IF(Q53="Y",Rubric!$I$9,0)))</f>
        <v>3</v>
      </c>
      <c r="AC53" s="21">
        <f t="array" ref="AC53">MAX(1,INDEX(Rubric!$B$5:$B$9,MATCH(T53,Rubric!$A$5:$A$9,0))-IF(AND(U53="Y",T53&lt;&gt;"P"),Rubric!$I$11,0))</f>
        <v>1</v>
      </c>
      <c r="AD53" s="21">
        <f t="array" ref="AD53">INDEX(Rubric!$E$5:$E$9,MATCH(M53,Rubric!$D$5:$D$9,0))</f>
        <v>3</v>
      </c>
      <c r="AE53" s="10">
        <v>5.0</v>
      </c>
      <c r="AF53" s="10">
        <v>4.0</v>
      </c>
      <c r="AG53" s="10">
        <v>4.0</v>
      </c>
      <c r="AH53" s="21">
        <f t="shared" si="2"/>
        <v>16</v>
      </c>
      <c r="AI53" s="21">
        <f t="shared" si="3"/>
        <v>16</v>
      </c>
      <c r="AJ53" s="21" t="str">
        <f t="array" ref="AJ53">IF(AH53="","",INDEX(Rubric!$M$5:$M$8,MATCH(AH53,Rubric!$L$5:$L$8,1)))</f>
        <v>High</v>
      </c>
      <c r="AK53" s="21" t="str">
        <f t="array" ref="AK53">IF(AI53="","",INDEX(Rubric!$M$5:$M$8,MATCH(AI53,Rubric!$L$5:$L$8,1)))</f>
        <v>High</v>
      </c>
      <c r="AL53" s="5" t="s">
        <v>2097</v>
      </c>
      <c r="AM53" s="5" t="s">
        <v>1855</v>
      </c>
      <c r="AN53" s="5"/>
      <c r="AO53" s="21" t="s">
        <v>1249</v>
      </c>
      <c r="AP53" s="5" t="s">
        <v>2098</v>
      </c>
      <c r="AQ53" s="5" t="s">
        <v>2099</v>
      </c>
      <c r="AR53" s="21" t="s">
        <v>583</v>
      </c>
      <c r="AS53" s="5" t="s">
        <v>587</v>
      </c>
      <c r="AT53" s="21">
        <f>COUNTIF('CVE Register'!$X$5:$X$61,"*"&amp;A53&amp;"*")</f>
        <v>0</v>
      </c>
      <c r="AU53" s="25" t="s">
        <v>599</v>
      </c>
      <c r="AV53" s="5" t="s">
        <v>913</v>
      </c>
    </row>
    <row r="54" ht="78.0" customHeight="1">
      <c r="A54" s="33" t="s">
        <v>2100</v>
      </c>
      <c r="B54" s="34" t="s">
        <v>266</v>
      </c>
      <c r="C54" s="42" t="s">
        <v>2101</v>
      </c>
      <c r="D54" s="5" t="s">
        <v>2102</v>
      </c>
      <c r="E54" s="5" t="s">
        <v>2103</v>
      </c>
      <c r="F54" s="21" t="s">
        <v>915</v>
      </c>
      <c r="G54" s="5" t="s">
        <v>226</v>
      </c>
      <c r="H54" s="10" t="s">
        <v>228</v>
      </c>
      <c r="I54" s="10" t="s">
        <v>227</v>
      </c>
      <c r="J54" s="5" t="s">
        <v>229</v>
      </c>
      <c r="K54" s="10"/>
      <c r="L54" s="10" t="s">
        <v>1510</v>
      </c>
      <c r="M54" s="10" t="s">
        <v>78</v>
      </c>
      <c r="N54" s="10"/>
      <c r="O54" s="10"/>
      <c r="P54" s="10" t="s">
        <v>246</v>
      </c>
      <c r="Q54" s="10"/>
      <c r="R54" s="21">
        <f t="shared" si="1"/>
        <v>1</v>
      </c>
      <c r="S54" s="10" t="s">
        <v>260</v>
      </c>
      <c r="T54" s="21" t="str">
        <f>IF(COUNTIFS(Binding!$A$5:$A$108,A54,Binding!$C$5:$C$108,"Attack")=0,"P","E"&amp;MAXIFS(Binding!$J$5:$J$108,Binding!$A$5:$A$108,A54,Binding!$C$5:$C$108,"Attack"))</f>
        <v>P</v>
      </c>
      <c r="U54" s="10"/>
      <c r="V54" s="21" t="str">
        <f>IF(T54="P","",IF(COUNTIFS(Binding!$A$5:$A$108,A54,Binding!$C$5:$C$108,"Attack",Binding!$J$5:$J$108,MAXIFS(Binding!$J$5:$J$108,Binding!$A$5:$A$108,A54,Binding!$C$5:$C$108,"Attack"),Binding!$H$5:$H$108,"Yes")=0,"Yes","No"))</f>
        <v/>
      </c>
      <c r="W54" s="5" t="s">
        <v>1904</v>
      </c>
      <c r="X54" s="5"/>
      <c r="Y54" s="5"/>
      <c r="Z54" s="10" t="s">
        <v>599</v>
      </c>
      <c r="AA54" s="10">
        <v>0.0</v>
      </c>
      <c r="AB54" s="21">
        <f>IF(S54="Enabler","",MAX(IF(N54="Y",Rubric!$I$5,0),IF(P54="Y",Rubric!$I$6,0),IF(O54="Y",IF(AE54&gt;=3,Rubric!$I$7,Rubric!$I$8),0),IF(Q54="Y",Rubric!$I$9,0)))</f>
        <v>4</v>
      </c>
      <c r="AC54" s="21">
        <f t="array" ref="AC54">MAX(1,INDEX(Rubric!$B$5:$B$9,MATCH(T54,Rubric!$A$5:$A$9,0))-IF(AND(U54="Y",T54&lt;&gt;"P"),Rubric!$I$11,0))</f>
        <v>1</v>
      </c>
      <c r="AD54" s="21">
        <f t="array" ref="AD54">INDEX(Rubric!$E$5:$E$9,MATCH(M54,Rubric!$D$5:$D$9,0))</f>
        <v>3</v>
      </c>
      <c r="AE54" s="10">
        <v>5.0</v>
      </c>
      <c r="AF54" s="10">
        <v>5.0</v>
      </c>
      <c r="AG54" s="10">
        <v>5.0</v>
      </c>
      <c r="AH54" s="21">
        <f t="shared" si="2"/>
        <v>18</v>
      </c>
      <c r="AI54" s="21">
        <f t="shared" si="3"/>
        <v>18</v>
      </c>
      <c r="AJ54" s="21" t="str">
        <f t="array" ref="AJ54">IF(AH54="","",INDEX(Rubric!$M$5:$M$8,MATCH(AH54,Rubric!$L$5:$L$8,1)))</f>
        <v>High</v>
      </c>
      <c r="AK54" s="21" t="str">
        <f t="array" ref="AK54">IF(AI54="","",INDEX(Rubric!$M$5:$M$8,MATCH(AI54,Rubric!$L$5:$L$8,1)))</f>
        <v>High</v>
      </c>
      <c r="AL54" s="5" t="s">
        <v>2015</v>
      </c>
      <c r="AM54" s="5" t="s">
        <v>1855</v>
      </c>
      <c r="AN54" s="5"/>
      <c r="AO54" s="21" t="s">
        <v>1249</v>
      </c>
      <c r="AP54" s="5" t="s">
        <v>872</v>
      </c>
      <c r="AQ54" s="5" t="s">
        <v>2016</v>
      </c>
      <c r="AR54" s="21" t="s">
        <v>583</v>
      </c>
      <c r="AS54" s="5" t="s">
        <v>587</v>
      </c>
      <c r="AT54" s="21">
        <f>COUNTIF('CVE Register'!$X$5:$X$61,"*"&amp;A54&amp;"*")</f>
        <v>0</v>
      </c>
      <c r="AU54" s="25" t="s">
        <v>599</v>
      </c>
      <c r="AV54" s="5" t="s">
        <v>921</v>
      </c>
    </row>
    <row r="55" ht="78.0" customHeight="1">
      <c r="A55" s="33" t="s">
        <v>2104</v>
      </c>
      <c r="B55" s="34" t="s">
        <v>266</v>
      </c>
      <c r="C55" s="42" t="s">
        <v>2105</v>
      </c>
      <c r="D55" s="5" t="s">
        <v>2106</v>
      </c>
      <c r="E55" s="5" t="s">
        <v>2107</v>
      </c>
      <c r="F55" s="21" t="s">
        <v>906</v>
      </c>
      <c r="G55" s="5" t="s">
        <v>226</v>
      </c>
      <c r="H55" s="10" t="s">
        <v>1182</v>
      </c>
      <c r="I55" s="10"/>
      <c r="J55" s="5" t="s">
        <v>229</v>
      </c>
      <c r="K55" s="10"/>
      <c r="L55" s="10" t="s">
        <v>1510</v>
      </c>
      <c r="M55" s="10" t="s">
        <v>78</v>
      </c>
      <c r="N55" s="10"/>
      <c r="O55" s="10"/>
      <c r="P55" s="10"/>
      <c r="Q55" s="10" t="s">
        <v>246</v>
      </c>
      <c r="R55" s="21">
        <f t="shared" si="1"/>
        <v>1</v>
      </c>
      <c r="S55" s="10" t="s">
        <v>1736</v>
      </c>
      <c r="T55" s="21" t="str">
        <f>IF(COUNTIFS(Binding!$A$5:$A$108,A55,Binding!$C$5:$C$108,"Attack")=0,"P","E"&amp;MAXIFS(Binding!$J$5:$J$108,Binding!$A$5:$A$108,A55,Binding!$C$5:$C$108,"Attack"))</f>
        <v>P</v>
      </c>
      <c r="U55" s="10"/>
      <c r="V55" s="21" t="str">
        <f>IF(T55="P","",IF(COUNTIFS(Binding!$A$5:$A$108,A55,Binding!$C$5:$C$108,"Attack",Binding!$J$5:$J$108,MAXIFS(Binding!$J$5:$J$108,Binding!$A$5:$A$108,A55,Binding!$C$5:$C$108,"Attack"),Binding!$H$5:$H$108,"Yes")=0,"Yes","No"))</f>
        <v/>
      </c>
      <c r="W55" s="5" t="s">
        <v>1904</v>
      </c>
      <c r="X55" s="5"/>
      <c r="Y55" s="5"/>
      <c r="Z55" s="10" t="s">
        <v>599</v>
      </c>
      <c r="AA55" s="10">
        <v>0.0</v>
      </c>
      <c r="AB55" s="21" t="str">
        <f>IF(S55="Enabler","",MAX(IF(N55="Y",Rubric!$I$5,0),IF(P55="Y",Rubric!$I$6,0),IF(O55="Y",IF(AE55&gt;=3,Rubric!$I$7,Rubric!$I$8),0),IF(Q55="Y",Rubric!$I$9,0)))</f>
        <v/>
      </c>
      <c r="AC55" s="21">
        <f t="array" ref="AC55">MAX(1,INDEX(Rubric!$B$5:$B$9,MATCH(T55,Rubric!$A$5:$A$9,0))-IF(AND(U55="Y",T55&lt;&gt;"P"),Rubric!$I$11,0))</f>
        <v>1</v>
      </c>
      <c r="AD55" s="21">
        <f t="array" ref="AD55">INDEX(Rubric!$E$5:$E$9,MATCH(M55,Rubric!$D$5:$D$9,0))</f>
        <v>3</v>
      </c>
      <c r="AE55" s="10">
        <v>5.0</v>
      </c>
      <c r="AF55" s="10">
        <v>5.0</v>
      </c>
      <c r="AG55" s="10">
        <v>5.0</v>
      </c>
      <c r="AH55" s="21" t="str">
        <f t="shared" si="2"/>
        <v/>
      </c>
      <c r="AI55" s="21" t="str">
        <f t="shared" si="3"/>
        <v/>
      </c>
      <c r="AJ55" s="21" t="str">
        <f t="array" ref="AJ55">IF(AH55="","",INDEX(Rubric!$M$5:$M$8,MATCH(AH55,Rubric!$L$5:$L$8,1)))</f>
        <v/>
      </c>
      <c r="AK55" s="21" t="str">
        <f t="array" ref="AK55">IF(AI55="","",INDEX(Rubric!$M$5:$M$8,MATCH(AI55,Rubric!$L$5:$L$8,1)))</f>
        <v/>
      </c>
      <c r="AL55" s="5" t="s">
        <v>2061</v>
      </c>
      <c r="AM55" s="5" t="s">
        <v>1855</v>
      </c>
      <c r="AN55" s="5"/>
      <c r="AO55" s="21" t="s">
        <v>1287</v>
      </c>
      <c r="AP55" s="5" t="s">
        <v>2108</v>
      </c>
      <c r="AQ55" s="5" t="s">
        <v>2109</v>
      </c>
      <c r="AR55" s="21" t="s">
        <v>583</v>
      </c>
      <c r="AS55" s="5" t="s">
        <v>587</v>
      </c>
      <c r="AT55" s="21">
        <f>COUNTIF('CVE Register'!$X$5:$X$61,"*"&amp;A55&amp;"*")</f>
        <v>0</v>
      </c>
      <c r="AU55" s="25" t="s">
        <v>599</v>
      </c>
      <c r="AV55" s="5" t="s">
        <v>2110</v>
      </c>
    </row>
    <row r="56" ht="78.0" customHeight="1">
      <c r="A56" s="33" t="s">
        <v>570</v>
      </c>
      <c r="B56" s="34" t="s">
        <v>266</v>
      </c>
      <c r="C56" s="42" t="s">
        <v>2111</v>
      </c>
      <c r="D56" s="5" t="s">
        <v>2112</v>
      </c>
      <c r="E56" s="5" t="s">
        <v>2113</v>
      </c>
      <c r="F56" s="21" t="s">
        <v>2114</v>
      </c>
      <c r="G56" s="5" t="s">
        <v>226</v>
      </c>
      <c r="H56" s="10" t="s">
        <v>228</v>
      </c>
      <c r="I56" s="10" t="s">
        <v>2115</v>
      </c>
      <c r="J56" s="5" t="s">
        <v>229</v>
      </c>
      <c r="K56" s="10"/>
      <c r="L56" s="10" t="s">
        <v>1514</v>
      </c>
      <c r="M56" s="10" t="s">
        <v>78</v>
      </c>
      <c r="N56" s="10" t="s">
        <v>246</v>
      </c>
      <c r="O56" s="10" t="s">
        <v>246</v>
      </c>
      <c r="P56" s="10"/>
      <c r="Q56" s="10" t="s">
        <v>246</v>
      </c>
      <c r="R56" s="21">
        <f t="shared" si="1"/>
        <v>3</v>
      </c>
      <c r="S56" s="10" t="s">
        <v>260</v>
      </c>
      <c r="T56" s="21" t="str">
        <f>IF(COUNTIFS(Binding!$A$5:$A$108,A56,Binding!$C$5:$C$108,"Attack")=0,"P","E"&amp;MAXIFS(Binding!$J$5:$J$108,Binding!$A$5:$A$108,A56,Binding!$C$5:$C$108,"Attack"))</f>
        <v>E2</v>
      </c>
      <c r="U56" s="10" t="s">
        <v>246</v>
      </c>
      <c r="V56" s="21" t="str">
        <f>IF(T56="P","",IF(COUNTIFS(Binding!$A$5:$A$108,A56,Binding!$C$5:$C$108,"Attack",Binding!$J$5:$J$108,MAXIFS(Binding!$J$5:$J$108,Binding!$A$5:$A$108,A56,Binding!$C$5:$C$108,"Attack"),Binding!$H$5:$H$108,"Yes")=0,"Yes","No"))</f>
        <v>Yes</v>
      </c>
      <c r="W56" s="5" t="s">
        <v>2116</v>
      </c>
      <c r="X56" s="5"/>
      <c r="Y56" s="5" t="s">
        <v>2117</v>
      </c>
      <c r="Z56" s="10">
        <v>1.0</v>
      </c>
      <c r="AA56" s="10">
        <v>2.0</v>
      </c>
      <c r="AB56" s="21">
        <f>IF(S56="Enabler","",MAX(IF(N56="Y",Rubric!$I$5,0),IF(P56="Y",Rubric!$I$6,0),IF(O56="Y",IF(AE56&gt;=3,Rubric!$I$7,Rubric!$I$8),0),IF(Q56="Y",Rubric!$I$9,0)))</f>
        <v>5</v>
      </c>
      <c r="AC56" s="21">
        <f t="array" ref="AC56">MAX(1,INDEX(Rubric!$B$5:$B$9,MATCH(T56,Rubric!$A$5:$A$9,0))-IF(AND(U56="Y",T56&lt;&gt;"P"),Rubric!$I$11,0))</f>
        <v>3</v>
      </c>
      <c r="AD56" s="21">
        <f t="array" ref="AD56">INDEX(Rubric!$E$5:$E$9,MATCH(M56,Rubric!$D$5:$D$9,0))</f>
        <v>3</v>
      </c>
      <c r="AE56" s="10">
        <v>5.0</v>
      </c>
      <c r="AF56" s="10">
        <v>4.0</v>
      </c>
      <c r="AG56" s="10">
        <v>4.0</v>
      </c>
      <c r="AH56" s="21">
        <f t="shared" si="2"/>
        <v>20</v>
      </c>
      <c r="AI56" s="21">
        <f t="shared" si="3"/>
        <v>20</v>
      </c>
      <c r="AJ56" s="21" t="str">
        <f t="array" ref="AJ56">IF(AH56="","",INDEX(Rubric!$M$5:$M$8,MATCH(AH56,Rubric!$L$5:$L$8,1)))</f>
        <v>Critical</v>
      </c>
      <c r="AK56" s="21" t="str">
        <f t="array" ref="AK56">IF(AI56="","",INDEX(Rubric!$M$5:$M$8,MATCH(AI56,Rubric!$L$5:$L$8,1)))</f>
        <v>Critical</v>
      </c>
      <c r="AL56" s="5" t="s">
        <v>2118</v>
      </c>
      <c r="AM56" s="5" t="s">
        <v>1855</v>
      </c>
      <c r="AN56" s="5" t="s">
        <v>1588</v>
      </c>
      <c r="AO56" s="21"/>
      <c r="AP56" s="5" t="s">
        <v>2119</v>
      </c>
      <c r="AQ56" s="5" t="s">
        <v>2120</v>
      </c>
      <c r="AR56" s="21" t="s">
        <v>583</v>
      </c>
      <c r="AS56" s="5" t="s">
        <v>587</v>
      </c>
      <c r="AT56" s="21">
        <f>COUNTIF('CVE Register'!$X$5:$X$61,"*"&amp;A56&amp;"*")</f>
        <v>0</v>
      </c>
      <c r="AU56" s="25" t="s">
        <v>599</v>
      </c>
      <c r="AV56" s="5" t="s">
        <v>2121</v>
      </c>
    </row>
    <row r="57" ht="78.0" customHeight="1">
      <c r="A57" s="33" t="s">
        <v>594</v>
      </c>
      <c r="B57" s="34" t="s">
        <v>266</v>
      </c>
      <c r="C57" s="42" t="s">
        <v>2122</v>
      </c>
      <c r="D57" s="5" t="s">
        <v>2123</v>
      </c>
      <c r="E57" s="5" t="s">
        <v>2124</v>
      </c>
      <c r="F57" s="21" t="s">
        <v>2125</v>
      </c>
      <c r="G57" s="5" t="s">
        <v>226</v>
      </c>
      <c r="H57" s="10" t="s">
        <v>228</v>
      </c>
      <c r="I57" s="10" t="s">
        <v>37</v>
      </c>
      <c r="J57" s="5" t="s">
        <v>229</v>
      </c>
      <c r="K57" s="10"/>
      <c r="L57" s="10" t="s">
        <v>1514</v>
      </c>
      <c r="M57" s="10" t="s">
        <v>88</v>
      </c>
      <c r="N57" s="10" t="s">
        <v>246</v>
      </c>
      <c r="O57" s="10"/>
      <c r="P57" s="10" t="s">
        <v>246</v>
      </c>
      <c r="Q57" s="10"/>
      <c r="R57" s="21">
        <f t="shared" si="1"/>
        <v>2</v>
      </c>
      <c r="S57" s="10" t="s">
        <v>260</v>
      </c>
      <c r="T57" s="21" t="str">
        <f>IF(COUNTIFS(Binding!$A$5:$A$108,A57,Binding!$C$5:$C$108,"Attack")=0,"P","E"&amp;MAXIFS(Binding!$J$5:$J$108,Binding!$A$5:$A$108,A57,Binding!$C$5:$C$108,"Attack"))</f>
        <v>E0</v>
      </c>
      <c r="U57" s="10" t="s">
        <v>246</v>
      </c>
      <c r="V57" s="21" t="str">
        <f>IF(T57="P","",IF(COUNTIFS(Binding!$A$5:$A$108,A57,Binding!$C$5:$C$108,"Attack",Binding!$J$5:$J$108,MAXIFS(Binding!$J$5:$J$108,Binding!$A$5:$A$108,A57,Binding!$C$5:$C$108,"Attack"),Binding!$H$5:$H$108,"Yes")=0,"Yes","No"))</f>
        <v>No</v>
      </c>
      <c r="W57" s="5" t="s">
        <v>2126</v>
      </c>
      <c r="X57" s="5"/>
      <c r="Y57" s="5" t="s">
        <v>2127</v>
      </c>
      <c r="Z57" s="10">
        <v>1.0</v>
      </c>
      <c r="AA57" s="10">
        <v>2.0</v>
      </c>
      <c r="AB57" s="21">
        <f>IF(S57="Enabler","",MAX(IF(N57="Y",Rubric!$I$5,0),IF(P57="Y",Rubric!$I$6,0),IF(O57="Y",IF(AE57&gt;=3,Rubric!$I$7,Rubric!$I$8),0),IF(Q57="Y",Rubric!$I$9,0)))</f>
        <v>5</v>
      </c>
      <c r="AC57" s="21">
        <f t="array" ref="AC57">MAX(1,INDEX(Rubric!$B$5:$B$9,MATCH(T57,Rubric!$A$5:$A$9,0))-IF(AND(U57="Y",T57&lt;&gt;"P"),Rubric!$I$11,0))</f>
        <v>1</v>
      </c>
      <c r="AD57" s="21">
        <f t="array" ref="AD57">INDEX(Rubric!$E$5:$E$9,MATCH(M57,Rubric!$D$5:$D$9,0))</f>
        <v>2</v>
      </c>
      <c r="AE57" s="10">
        <v>5.0</v>
      </c>
      <c r="AF57" s="10">
        <v>5.0</v>
      </c>
      <c r="AG57" s="10">
        <v>5.0</v>
      </c>
      <c r="AH57" s="21">
        <f t="shared" si="2"/>
        <v>18</v>
      </c>
      <c r="AI57" s="21">
        <f t="shared" si="3"/>
        <v>18</v>
      </c>
      <c r="AJ57" s="21" t="str">
        <f t="array" ref="AJ57">IF(AH57="","",INDEX(Rubric!$M$5:$M$8,MATCH(AH57,Rubric!$L$5:$L$8,1)))</f>
        <v>High</v>
      </c>
      <c r="AK57" s="21" t="str">
        <f t="array" ref="AK57">IF(AI57="","",INDEX(Rubric!$M$5:$M$8,MATCH(AI57,Rubric!$L$5:$L$8,1)))</f>
        <v>High</v>
      </c>
      <c r="AL57" s="5" t="s">
        <v>2128</v>
      </c>
      <c r="AM57" s="5" t="s">
        <v>1855</v>
      </c>
      <c r="AN57" s="5" t="s">
        <v>1588</v>
      </c>
      <c r="AO57" s="21" t="s">
        <v>1114</v>
      </c>
      <c r="AP57" s="5" t="s">
        <v>2129</v>
      </c>
      <c r="AQ57" s="5" t="s">
        <v>2130</v>
      </c>
      <c r="AR57" s="21" t="s">
        <v>1593</v>
      </c>
      <c r="AS57" s="5" t="s">
        <v>587</v>
      </c>
      <c r="AT57" s="21">
        <f>COUNTIF('CVE Register'!$X$5:$X$61,"*"&amp;A57&amp;"*")</f>
        <v>0</v>
      </c>
      <c r="AU57" s="25" t="s">
        <v>599</v>
      </c>
      <c r="AV57" s="5" t="s">
        <v>2131</v>
      </c>
    </row>
    <row r="58" ht="78.0" customHeight="1">
      <c r="A58" s="33" t="s">
        <v>2132</v>
      </c>
      <c r="B58" s="34" t="s">
        <v>266</v>
      </c>
      <c r="C58" s="42" t="s">
        <v>2133</v>
      </c>
      <c r="D58" s="5" t="s">
        <v>2134</v>
      </c>
      <c r="E58" s="5" t="s">
        <v>2135</v>
      </c>
      <c r="F58" s="21" t="s">
        <v>2136</v>
      </c>
      <c r="G58" s="5" t="s">
        <v>452</v>
      </c>
      <c r="H58" s="10" t="s">
        <v>165</v>
      </c>
      <c r="I58" s="10"/>
      <c r="J58" s="5" t="s">
        <v>229</v>
      </c>
      <c r="K58" s="10"/>
      <c r="L58" s="10" t="s">
        <v>1514</v>
      </c>
      <c r="M58" s="10" t="s">
        <v>78</v>
      </c>
      <c r="N58" s="10"/>
      <c r="O58" s="10"/>
      <c r="P58" s="10" t="s">
        <v>246</v>
      </c>
      <c r="Q58" s="10"/>
      <c r="R58" s="21">
        <f t="shared" si="1"/>
        <v>1</v>
      </c>
      <c r="S58" s="10" t="s">
        <v>260</v>
      </c>
      <c r="T58" s="21" t="str">
        <f>IF(COUNTIFS(Binding!$A$5:$A$108,A58,Binding!$C$5:$C$108,"Attack")=0,"P","E"&amp;MAXIFS(Binding!$J$5:$J$108,Binding!$A$5:$A$108,A58,Binding!$C$5:$C$108,"Attack"))</f>
        <v>P</v>
      </c>
      <c r="U58" s="10"/>
      <c r="V58" s="21" t="str">
        <f>IF(T58="P","",IF(COUNTIFS(Binding!$A$5:$A$108,A58,Binding!$C$5:$C$108,"Attack",Binding!$J$5:$J$108,MAXIFS(Binding!$J$5:$J$108,Binding!$A$5:$A$108,A58,Binding!$C$5:$C$108,"Attack"),Binding!$H$5:$H$108,"Yes")=0,"Yes","No"))</f>
        <v/>
      </c>
      <c r="W58" s="5" t="s">
        <v>1904</v>
      </c>
      <c r="X58" s="5"/>
      <c r="Y58" s="5"/>
      <c r="Z58" s="10">
        <v>5.0</v>
      </c>
      <c r="AA58" s="10">
        <v>6.0</v>
      </c>
      <c r="AB58" s="21">
        <f>IF(S58="Enabler","",MAX(IF(N58="Y",Rubric!$I$5,0),IF(P58="Y",Rubric!$I$6,0),IF(O58="Y",IF(AE58&gt;=3,Rubric!$I$7,Rubric!$I$8),0),IF(Q58="Y",Rubric!$I$9,0)))</f>
        <v>4</v>
      </c>
      <c r="AC58" s="21">
        <f t="array" ref="AC58">MAX(1,INDEX(Rubric!$B$5:$B$9,MATCH(T58,Rubric!$A$5:$A$9,0))-IF(AND(U58="Y",T58&lt;&gt;"P"),Rubric!$I$11,0))</f>
        <v>1</v>
      </c>
      <c r="AD58" s="21">
        <f t="array" ref="AD58">INDEX(Rubric!$E$5:$E$9,MATCH(M58,Rubric!$D$5:$D$9,0))</f>
        <v>3</v>
      </c>
      <c r="AE58" s="10">
        <v>5.0</v>
      </c>
      <c r="AF58" s="10">
        <v>5.0</v>
      </c>
      <c r="AG58" s="10">
        <v>5.0</v>
      </c>
      <c r="AH58" s="21">
        <f t="shared" si="2"/>
        <v>18</v>
      </c>
      <c r="AI58" s="21">
        <f t="shared" si="3"/>
        <v>18</v>
      </c>
      <c r="AJ58" s="21" t="str">
        <f t="array" ref="AJ58">IF(AH58="","",INDEX(Rubric!$M$5:$M$8,MATCH(AH58,Rubric!$L$5:$L$8,1)))</f>
        <v>High</v>
      </c>
      <c r="AK58" s="21" t="str">
        <f t="array" ref="AK58">IF(AI58="","",INDEX(Rubric!$M$5:$M$8,MATCH(AI58,Rubric!$L$5:$L$8,1)))</f>
        <v>High</v>
      </c>
      <c r="AL58" s="5" t="s">
        <v>2137</v>
      </c>
      <c r="AM58" s="5" t="s">
        <v>1855</v>
      </c>
      <c r="AN58" s="5"/>
      <c r="AO58" s="21"/>
      <c r="AP58" s="5" t="s">
        <v>2029</v>
      </c>
      <c r="AQ58" s="5" t="s">
        <v>2138</v>
      </c>
      <c r="AR58" s="21" t="s">
        <v>583</v>
      </c>
      <c r="AS58" s="5" t="s">
        <v>587</v>
      </c>
      <c r="AT58" s="21">
        <f>COUNTIF('CVE Register'!$X$5:$X$61,"*"&amp;A58&amp;"*")</f>
        <v>0</v>
      </c>
      <c r="AU58" s="25" t="s">
        <v>599</v>
      </c>
      <c r="AV58" s="5" t="s">
        <v>2139</v>
      </c>
    </row>
    <row r="59" ht="78.0" customHeight="1">
      <c r="A59" s="33" t="s">
        <v>600</v>
      </c>
      <c r="B59" s="34" t="s">
        <v>266</v>
      </c>
      <c r="C59" s="42" t="s">
        <v>2140</v>
      </c>
      <c r="D59" s="5" t="s">
        <v>2141</v>
      </c>
      <c r="E59" s="5" t="s">
        <v>2142</v>
      </c>
      <c r="F59" s="21" t="s">
        <v>655</v>
      </c>
      <c r="G59" s="5" t="s">
        <v>452</v>
      </c>
      <c r="H59" s="10" t="s">
        <v>37</v>
      </c>
      <c r="I59" s="10" t="s">
        <v>228</v>
      </c>
      <c r="J59" s="5" t="s">
        <v>229</v>
      </c>
      <c r="K59" s="10"/>
      <c r="L59" s="10" t="s">
        <v>1510</v>
      </c>
      <c r="M59" s="10" t="s">
        <v>78</v>
      </c>
      <c r="N59" s="10" t="s">
        <v>246</v>
      </c>
      <c r="O59" s="10" t="s">
        <v>246</v>
      </c>
      <c r="P59" s="10" t="s">
        <v>246</v>
      </c>
      <c r="Q59" s="10"/>
      <c r="R59" s="21">
        <f t="shared" si="1"/>
        <v>3</v>
      </c>
      <c r="S59" s="10" t="s">
        <v>260</v>
      </c>
      <c r="T59" s="21" t="str">
        <f>IF(COUNTIFS(Binding!$A$5:$A$108,A59,Binding!$C$5:$C$108,"Attack")=0,"P","E"&amp;MAXIFS(Binding!$J$5:$J$108,Binding!$A$5:$A$108,A59,Binding!$C$5:$C$108,"Attack"))</f>
        <v>E3</v>
      </c>
      <c r="U59" s="10" t="s">
        <v>246</v>
      </c>
      <c r="V59" s="21" t="str">
        <f>IF(T59="P","",IF(COUNTIFS(Binding!$A$5:$A$108,A59,Binding!$C$5:$C$108,"Attack",Binding!$J$5:$J$108,MAXIFS(Binding!$J$5:$J$108,Binding!$A$5:$A$108,A59,Binding!$C$5:$C$108,"Attack"),Binding!$H$5:$H$108,"Yes")=0,"Yes","No"))</f>
        <v>Yes</v>
      </c>
      <c r="W59" s="5" t="s">
        <v>2143</v>
      </c>
      <c r="X59" s="5"/>
      <c r="Y59" s="5" t="s">
        <v>1842</v>
      </c>
      <c r="Z59" s="10">
        <v>1.0</v>
      </c>
      <c r="AA59" s="10">
        <v>2.0</v>
      </c>
      <c r="AB59" s="21">
        <f>IF(S59="Enabler","",MAX(IF(N59="Y",Rubric!$I$5,0),IF(P59="Y",Rubric!$I$6,0),IF(O59="Y",IF(AE59&gt;=3,Rubric!$I$7,Rubric!$I$8),0),IF(Q59="Y",Rubric!$I$9,0)))</f>
        <v>5</v>
      </c>
      <c r="AC59" s="21">
        <f t="array" ref="AC59">MAX(1,INDEX(Rubric!$B$5:$B$9,MATCH(T59,Rubric!$A$5:$A$9,0))-IF(AND(U59="Y",T59&lt;&gt;"P"),Rubric!$I$11,0))</f>
        <v>4</v>
      </c>
      <c r="AD59" s="21">
        <f t="array" ref="AD59">INDEX(Rubric!$E$5:$E$9,MATCH(M59,Rubric!$D$5:$D$9,0))</f>
        <v>3</v>
      </c>
      <c r="AE59" s="10">
        <v>5.0</v>
      </c>
      <c r="AF59" s="10">
        <v>4.0</v>
      </c>
      <c r="AG59" s="10">
        <v>4.0</v>
      </c>
      <c r="AH59" s="21">
        <f t="shared" si="2"/>
        <v>21</v>
      </c>
      <c r="AI59" s="21">
        <f t="shared" si="3"/>
        <v>21</v>
      </c>
      <c r="AJ59" s="21" t="str">
        <f t="array" ref="AJ59">IF(AH59="","",INDEX(Rubric!$M$5:$M$8,MATCH(AH59,Rubric!$L$5:$L$8,1)))</f>
        <v>Critical</v>
      </c>
      <c r="AK59" s="21" t="str">
        <f t="array" ref="AK59">IF(AI59="","",INDEX(Rubric!$M$5:$M$8,MATCH(AI59,Rubric!$L$5:$L$8,1)))</f>
        <v>Critical</v>
      </c>
      <c r="AL59" s="5" t="s">
        <v>2144</v>
      </c>
      <c r="AM59" s="5" t="s">
        <v>1855</v>
      </c>
      <c r="AN59" s="5" t="s">
        <v>1583</v>
      </c>
      <c r="AO59" s="21"/>
      <c r="AP59" s="5" t="s">
        <v>1863</v>
      </c>
      <c r="AQ59" s="5" t="s">
        <v>2145</v>
      </c>
      <c r="AR59" s="21" t="s">
        <v>1593</v>
      </c>
      <c r="AS59" s="5" t="s">
        <v>587</v>
      </c>
      <c r="AT59" s="21">
        <f>COUNTIF('CVE Register'!$X$5:$X$61,"*"&amp;A59&amp;"*")</f>
        <v>26</v>
      </c>
      <c r="AU59" s="25" t="s">
        <v>2146</v>
      </c>
      <c r="AV59" s="5" t="s">
        <v>656</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AV$59"/>
  <mergeCells count="9">
    <mergeCell ref="AO3:AS3"/>
    <mergeCell ref="AT3:AV3"/>
    <mergeCell ref="A3:G3"/>
    <mergeCell ref="H3:K3"/>
    <mergeCell ref="L3:S3"/>
    <mergeCell ref="T3:Y3"/>
    <mergeCell ref="Z3:AA3"/>
    <mergeCell ref="AB3:AK3"/>
    <mergeCell ref="AL3:AN3"/>
  </mergeCells>
  <conditionalFormatting sqref="AJ5:AJ59">
    <cfRule type="cellIs" dxfId="6" priority="1" operator="equal">
      <formula>"Low"</formula>
    </cfRule>
  </conditionalFormatting>
  <conditionalFormatting sqref="AJ5:AJ59">
    <cfRule type="cellIs" dxfId="5" priority="2" operator="equal">
      <formula>"Medium"</formula>
    </cfRule>
  </conditionalFormatting>
  <conditionalFormatting sqref="AJ5:AJ59">
    <cfRule type="cellIs" dxfId="4" priority="3" operator="equal">
      <formula>"High"</formula>
    </cfRule>
  </conditionalFormatting>
  <conditionalFormatting sqref="AJ5:AJ59">
    <cfRule type="cellIs" dxfId="7" priority="4" operator="equal">
      <formula>"Critical"</formula>
    </cfRule>
  </conditionalFormatting>
  <conditionalFormatting sqref="AK5:AK59">
    <cfRule type="cellIs" dxfId="6" priority="5" operator="equal">
      <formula>"Low"</formula>
    </cfRule>
  </conditionalFormatting>
  <conditionalFormatting sqref="AK5:AK59">
    <cfRule type="cellIs" dxfId="5" priority="6" operator="equal">
      <formula>"Medium"</formula>
    </cfRule>
  </conditionalFormatting>
  <conditionalFormatting sqref="AK5:AK59">
    <cfRule type="cellIs" dxfId="4" priority="7" operator="equal">
      <formula>"High"</formula>
    </cfRule>
  </conditionalFormatting>
  <conditionalFormatting sqref="AK5:AK59">
    <cfRule type="cellIs" dxfId="7" priority="8" operator="equal">
      <formula>"Critical"</formula>
    </cfRule>
  </conditionalFormatting>
  <dataValidations>
    <dataValidation type="list" allowBlank="1" sqref="U5:U59">
      <formula1>"Y,N"</formula1>
    </dataValidation>
    <dataValidation type="list" allowBlank="1" sqref="M5:M59">
      <formula1>"T1p,T1c,T2,T3,T3x"</formula1>
    </dataValidation>
    <dataValidation type="decimal" allowBlank="1" sqref="AE5:AG59">
      <formula1>1.0</formula1>
      <formula2>5.0</formula2>
    </dataValidation>
  </dataValidations>
  <printOptions/>
  <pageMargins bottom="1.0" footer="0.0" header="0.0" left="0.75" right="0.75" top="1.0"/>
  <pageSetup fitToHeight="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9DB"/>
    <pageSetUpPr fitToPage="1"/>
  </sheetPr>
  <sheetViews>
    <sheetView showGridLines="0" workbookViewId="0"/>
  </sheetViews>
  <sheetFormatPr customHeight="1" defaultColWidth="14.43" defaultRowHeight="15.0"/>
  <cols>
    <col customWidth="1" min="1" max="1" width="34.0"/>
    <col customWidth="1" min="2" max="2" width="14.0"/>
    <col customWidth="1" min="3" max="3" width="3.0"/>
    <col customWidth="1" min="4" max="4" width="12.0"/>
    <col customWidth="1" min="5" max="5" width="8.0"/>
    <col customWidth="1" min="6" max="6" width="36.0"/>
    <col customWidth="1" min="7" max="7" width="3.0"/>
    <col customWidth="1" min="8" max="8" width="36.0"/>
    <col customWidth="1" min="9" max="9" width="8.0"/>
    <col customWidth="1" min="10" max="10" width="50.0"/>
    <col customWidth="1" min="11" max="11" width="3.0"/>
    <col customWidth="1" min="12" max="12" width="18.0"/>
    <col customWidth="1" min="13" max="13" width="12.0"/>
  </cols>
  <sheetData>
    <row r="1">
      <c r="A1" s="1" t="s">
        <v>1</v>
      </c>
    </row>
    <row r="2">
      <c r="A2" s="2" t="s">
        <v>6</v>
      </c>
    </row>
    <row r="4" ht="24.0" customHeight="1">
      <c r="A4" s="4" t="s">
        <v>11</v>
      </c>
      <c r="B4" s="4" t="s">
        <v>17</v>
      </c>
      <c r="D4" s="8" t="s">
        <v>23</v>
      </c>
      <c r="E4" s="8" t="s">
        <v>37</v>
      </c>
      <c r="F4" s="8" t="s">
        <v>40</v>
      </c>
      <c r="H4" s="8" t="s">
        <v>43</v>
      </c>
      <c r="I4" s="8" t="s">
        <v>45</v>
      </c>
      <c r="J4" s="8" t="s">
        <v>47</v>
      </c>
      <c r="L4" s="8" t="s">
        <v>49</v>
      </c>
      <c r="M4" s="8" t="s">
        <v>52</v>
      </c>
    </row>
    <row r="5">
      <c r="A5" s="3" t="s">
        <v>59</v>
      </c>
      <c r="B5" s="10">
        <v>1.0</v>
      </c>
      <c r="D5" s="3" t="s">
        <v>65</v>
      </c>
      <c r="E5" s="10">
        <v>5.0</v>
      </c>
      <c r="F5" s="5" t="s">
        <v>66</v>
      </c>
      <c r="H5" s="3" t="s">
        <v>67</v>
      </c>
      <c r="I5" s="10">
        <v>5.0</v>
      </c>
      <c r="J5" s="5" t="s">
        <v>68</v>
      </c>
      <c r="L5" s="10">
        <v>5.0</v>
      </c>
      <c r="M5" s="3" t="s">
        <v>69</v>
      </c>
    </row>
    <row r="6">
      <c r="A6" s="3" t="s">
        <v>70</v>
      </c>
      <c r="B6" s="10">
        <v>2.0</v>
      </c>
      <c r="D6" s="3" t="s">
        <v>71</v>
      </c>
      <c r="E6" s="10">
        <v>4.0</v>
      </c>
      <c r="F6" s="5" t="s">
        <v>73</v>
      </c>
      <c r="H6" s="3" t="s">
        <v>74</v>
      </c>
      <c r="I6" s="10">
        <v>4.0</v>
      </c>
      <c r="J6" s="5" t="s">
        <v>75</v>
      </c>
      <c r="L6" s="10">
        <v>10.0</v>
      </c>
      <c r="M6" s="3" t="s">
        <v>76</v>
      </c>
    </row>
    <row r="7">
      <c r="A7" s="3" t="s">
        <v>77</v>
      </c>
      <c r="B7" s="10">
        <v>3.0</v>
      </c>
      <c r="D7" s="3" t="s">
        <v>78</v>
      </c>
      <c r="E7" s="10">
        <v>3.0</v>
      </c>
      <c r="F7" s="5" t="s">
        <v>80</v>
      </c>
      <c r="H7" s="3" t="s">
        <v>81</v>
      </c>
      <c r="I7" s="10">
        <v>3.0</v>
      </c>
      <c r="J7" s="5" t="s">
        <v>83</v>
      </c>
      <c r="L7" s="10">
        <v>15.0</v>
      </c>
      <c r="M7" s="3" t="s">
        <v>85</v>
      </c>
    </row>
    <row r="8">
      <c r="A8" s="3" t="s">
        <v>54</v>
      </c>
      <c r="B8" s="10">
        <v>4.0</v>
      </c>
      <c r="D8" s="3" t="s">
        <v>88</v>
      </c>
      <c r="E8" s="10">
        <v>2.0</v>
      </c>
      <c r="F8" s="5" t="s">
        <v>89</v>
      </c>
      <c r="H8" s="3" t="s">
        <v>90</v>
      </c>
      <c r="I8" s="10">
        <v>2.0</v>
      </c>
      <c r="J8" s="5" t="s">
        <v>92</v>
      </c>
      <c r="L8" s="10">
        <v>20.0</v>
      </c>
      <c r="M8" s="3" t="s">
        <v>94</v>
      </c>
    </row>
    <row r="9">
      <c r="A9" s="3" t="s">
        <v>97</v>
      </c>
      <c r="B9" s="10">
        <v>5.0</v>
      </c>
      <c r="D9" s="3" t="s">
        <v>100</v>
      </c>
      <c r="E9" s="10">
        <v>1.0</v>
      </c>
      <c r="F9" s="5" t="s">
        <v>101</v>
      </c>
      <c r="H9" s="3" t="s">
        <v>102</v>
      </c>
      <c r="I9" s="10">
        <v>1.0</v>
      </c>
      <c r="J9" s="5" t="s">
        <v>103</v>
      </c>
    </row>
    <row r="11">
      <c r="H11" s="3" t="s">
        <v>106</v>
      </c>
      <c r="I11" s="10">
        <v>1.0</v>
      </c>
    </row>
    <row r="12">
      <c r="H12" s="2" t="s">
        <v>107</v>
      </c>
    </row>
    <row r="14">
      <c r="A14" s="12" t="s">
        <v>112</v>
      </c>
    </row>
    <row r="15">
      <c r="A15" s="5" t="s">
        <v>117</v>
      </c>
      <c r="B15" s="10">
        <v>350.0</v>
      </c>
    </row>
    <row r="16">
      <c r="A16" s="5" t="s">
        <v>121</v>
      </c>
      <c r="B16" s="10">
        <v>0.2998</v>
      </c>
    </row>
    <row r="17">
      <c r="A17" s="5" t="s">
        <v>123</v>
      </c>
      <c r="B17" s="10">
        <v>100.0</v>
      </c>
    </row>
    <row r="18">
      <c r="A18" s="3" t="s">
        <v>127</v>
      </c>
      <c r="B18" s="13">
        <f>B15/(B16*B17)</f>
        <v>11.67444963</v>
      </c>
    </row>
    <row r="19">
      <c r="A19" s="5" t="s">
        <v>159</v>
      </c>
      <c r="B19" s="14">
        <f>B15/(B16*12)</f>
        <v>97.28708028</v>
      </c>
    </row>
    <row r="21" ht="15.75" customHeight="1"/>
    <row r="22" ht="15.75" customHeight="1">
      <c r="A22" s="12" t="s">
        <v>185</v>
      </c>
    </row>
    <row r="23" ht="30.0" customHeight="1">
      <c r="A23" s="3" t="s">
        <v>190</v>
      </c>
      <c r="B23" s="15" t="s">
        <v>192</v>
      </c>
      <c r="C23" s="16"/>
      <c r="D23" s="16"/>
      <c r="E23" s="16"/>
      <c r="F23" s="16"/>
      <c r="G23" s="16"/>
      <c r="H23" s="16"/>
      <c r="I23" s="16"/>
      <c r="J23" s="16"/>
      <c r="K23" s="16"/>
      <c r="L23" s="16"/>
      <c r="M23" s="17"/>
    </row>
    <row r="24" ht="30.0" customHeight="1">
      <c r="A24" s="3" t="s">
        <v>208</v>
      </c>
      <c r="B24" s="15" t="s">
        <v>211</v>
      </c>
      <c r="C24" s="16"/>
      <c r="D24" s="16"/>
      <c r="E24" s="16"/>
      <c r="F24" s="16"/>
      <c r="G24" s="16"/>
      <c r="H24" s="16"/>
      <c r="I24" s="16"/>
      <c r="J24" s="16"/>
      <c r="K24" s="16"/>
      <c r="L24" s="16"/>
      <c r="M24" s="17"/>
    </row>
    <row r="25" ht="30.0" customHeight="1">
      <c r="A25" s="3" t="s">
        <v>214</v>
      </c>
      <c r="B25" s="15" t="s">
        <v>215</v>
      </c>
      <c r="C25" s="16"/>
      <c r="D25" s="16"/>
      <c r="E25" s="16"/>
      <c r="F25" s="16"/>
      <c r="G25" s="16"/>
      <c r="H25" s="16"/>
      <c r="I25" s="16"/>
      <c r="J25" s="16"/>
      <c r="K25" s="16"/>
      <c r="L25" s="16"/>
      <c r="M25" s="17"/>
    </row>
    <row r="26" ht="30.0" customHeight="1">
      <c r="A26" s="3" t="s">
        <v>218</v>
      </c>
      <c r="B26" s="15" t="s">
        <v>219</v>
      </c>
      <c r="C26" s="16"/>
      <c r="D26" s="16"/>
      <c r="E26" s="16"/>
      <c r="F26" s="16"/>
      <c r="G26" s="16"/>
      <c r="H26" s="16"/>
      <c r="I26" s="16"/>
      <c r="J26" s="16"/>
      <c r="K26" s="16"/>
      <c r="L26" s="16"/>
      <c r="M26" s="17"/>
    </row>
    <row r="27" ht="30.0" customHeight="1">
      <c r="A27" s="3" t="s">
        <v>223</v>
      </c>
      <c r="B27" s="15" t="s">
        <v>224</v>
      </c>
      <c r="C27" s="16"/>
      <c r="D27" s="16"/>
      <c r="E27" s="16"/>
      <c r="F27" s="16"/>
      <c r="G27" s="16"/>
      <c r="H27" s="16"/>
      <c r="I27" s="16"/>
      <c r="J27" s="16"/>
      <c r="K27" s="16"/>
      <c r="L27" s="16"/>
      <c r="M27" s="17"/>
    </row>
    <row r="28" ht="30.0" customHeight="1">
      <c r="A28" s="3" t="s">
        <v>232</v>
      </c>
      <c r="B28" s="15" t="s">
        <v>235</v>
      </c>
      <c r="C28" s="16"/>
      <c r="D28" s="16"/>
      <c r="E28" s="16"/>
      <c r="F28" s="16"/>
      <c r="G28" s="16"/>
      <c r="H28" s="16"/>
      <c r="I28" s="16"/>
      <c r="J28" s="16"/>
      <c r="K28" s="16"/>
      <c r="L28" s="16"/>
      <c r="M28" s="17"/>
    </row>
    <row r="29" ht="15.75" customHeight="1"/>
    <row r="30" ht="15.75" customHeight="1">
      <c r="A30" s="2" t="s">
        <v>243</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3:M23"/>
    <mergeCell ref="B24:M24"/>
    <mergeCell ref="B25:M25"/>
    <mergeCell ref="B26:M26"/>
    <mergeCell ref="B27:M27"/>
    <mergeCell ref="B28:M28"/>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9DB"/>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2" width="8.0"/>
    <col customWidth="1" min="3" max="3" width="9.0"/>
    <col customWidth="1" min="4" max="4" width="24.0"/>
    <col customWidth="1" min="5" max="5" width="52.0"/>
    <col customWidth="1" min="6" max="7" width="26.0"/>
    <col customWidth="1" min="8" max="8" width="11.0"/>
    <col customWidth="1" min="9" max="9" width="7.0"/>
    <col customWidth="1" min="10" max="12" width="8.0"/>
    <col customWidth="1" min="13" max="13" width="44.0"/>
    <col customWidth="1" min="14" max="14" width="22.0"/>
  </cols>
  <sheetData>
    <row r="1">
      <c r="A1" s="1" t="s">
        <v>2</v>
      </c>
    </row>
    <row r="2">
      <c r="A2" s="2" t="s">
        <v>7</v>
      </c>
    </row>
    <row r="4" ht="42.0" customHeight="1">
      <c r="A4" s="4" t="s">
        <v>10</v>
      </c>
      <c r="B4" s="4" t="s">
        <v>13</v>
      </c>
      <c r="C4" s="4" t="s">
        <v>14</v>
      </c>
      <c r="D4" s="4" t="s">
        <v>15</v>
      </c>
      <c r="E4" s="4" t="s">
        <v>16</v>
      </c>
      <c r="F4" s="4" t="s">
        <v>18</v>
      </c>
      <c r="G4" s="4" t="s">
        <v>19</v>
      </c>
      <c r="H4" s="4" t="s">
        <v>20</v>
      </c>
      <c r="I4" s="4" t="s">
        <v>22</v>
      </c>
      <c r="J4" s="4" t="s">
        <v>24</v>
      </c>
      <c r="K4" s="4" t="s">
        <v>26</v>
      </c>
      <c r="L4" s="4" t="s">
        <v>27</v>
      </c>
      <c r="M4" s="4" t="s">
        <v>29</v>
      </c>
      <c r="N4" s="4" t="s">
        <v>30</v>
      </c>
    </row>
    <row r="5">
      <c r="A5" s="5" t="s">
        <v>35</v>
      </c>
      <c r="B5" s="5">
        <v>3.0</v>
      </c>
      <c r="C5" s="5" t="s">
        <v>38</v>
      </c>
      <c r="D5" s="5" t="s">
        <v>41</v>
      </c>
      <c r="E5" s="5" t="s">
        <v>44</v>
      </c>
      <c r="F5" s="5" t="s">
        <v>46</v>
      </c>
      <c r="G5" s="5" t="s">
        <v>50</v>
      </c>
      <c r="H5" s="5" t="s">
        <v>51</v>
      </c>
      <c r="I5" s="5" t="s">
        <v>54</v>
      </c>
      <c r="J5" s="5">
        <f t="shared" ref="J5:J108" si="1">VALUE(RIGHT(I5,1))</f>
        <v>2</v>
      </c>
      <c r="K5" s="5" t="s">
        <v>82</v>
      </c>
      <c r="L5" s="5" t="s">
        <v>84</v>
      </c>
      <c r="M5" s="5" t="s">
        <v>86</v>
      </c>
      <c r="N5" s="5" t="s">
        <v>87</v>
      </c>
    </row>
    <row r="6">
      <c r="A6" s="5" t="s">
        <v>35</v>
      </c>
      <c r="B6" s="5">
        <v>59.0</v>
      </c>
      <c r="C6" s="5" t="s">
        <v>38</v>
      </c>
      <c r="D6" s="5" t="s">
        <v>91</v>
      </c>
      <c r="E6" s="5" t="s">
        <v>93</v>
      </c>
      <c r="F6" s="5" t="s">
        <v>95</v>
      </c>
      <c r="G6" s="5" t="s">
        <v>96</v>
      </c>
      <c r="H6" s="5" t="s">
        <v>99</v>
      </c>
      <c r="I6" s="5" t="s">
        <v>54</v>
      </c>
      <c r="J6" s="5">
        <f t="shared" si="1"/>
        <v>2</v>
      </c>
      <c r="K6" s="5" t="s">
        <v>82</v>
      </c>
      <c r="L6" s="5" t="s">
        <v>82</v>
      </c>
      <c r="M6" s="5" t="s">
        <v>104</v>
      </c>
      <c r="N6" s="5" t="s">
        <v>87</v>
      </c>
    </row>
    <row r="7">
      <c r="A7" s="5" t="s">
        <v>35</v>
      </c>
      <c r="B7" s="5">
        <v>23.0</v>
      </c>
      <c r="C7" s="5" t="s">
        <v>38</v>
      </c>
      <c r="D7" s="5" t="s">
        <v>108</v>
      </c>
      <c r="E7" s="5" t="s">
        <v>109</v>
      </c>
      <c r="F7" s="5" t="s">
        <v>110</v>
      </c>
      <c r="G7" s="5" t="s">
        <v>111</v>
      </c>
      <c r="H7" s="5" t="s">
        <v>51</v>
      </c>
      <c r="I7" s="5" t="s">
        <v>70</v>
      </c>
      <c r="J7" s="5">
        <f t="shared" si="1"/>
        <v>0</v>
      </c>
      <c r="K7" s="5" t="s">
        <v>82</v>
      </c>
      <c r="L7" s="5" t="s">
        <v>84</v>
      </c>
      <c r="M7" s="5" t="s">
        <v>115</v>
      </c>
      <c r="N7" s="5" t="s">
        <v>116</v>
      </c>
    </row>
    <row r="8">
      <c r="A8" s="5" t="s">
        <v>35</v>
      </c>
      <c r="B8" s="5">
        <v>26.0</v>
      </c>
      <c r="C8" s="5" t="s">
        <v>38</v>
      </c>
      <c r="D8" s="5" t="s">
        <v>118</v>
      </c>
      <c r="E8" s="5" t="s">
        <v>119</v>
      </c>
      <c r="F8" s="5" t="s">
        <v>120</v>
      </c>
      <c r="G8" s="5" t="s">
        <v>111</v>
      </c>
      <c r="H8" s="5" t="s">
        <v>51</v>
      </c>
      <c r="I8" s="5" t="s">
        <v>70</v>
      </c>
      <c r="J8" s="5">
        <f t="shared" si="1"/>
        <v>0</v>
      </c>
      <c r="K8" s="5" t="s">
        <v>82</v>
      </c>
      <c r="L8" s="5" t="s">
        <v>84</v>
      </c>
      <c r="M8" s="5" t="s">
        <v>125</v>
      </c>
      <c r="N8" s="5" t="s">
        <v>126</v>
      </c>
    </row>
    <row r="9">
      <c r="A9" s="5" t="s">
        <v>128</v>
      </c>
      <c r="B9" s="5">
        <v>3.0</v>
      </c>
      <c r="C9" s="5" t="s">
        <v>38</v>
      </c>
      <c r="D9" s="5" t="s">
        <v>41</v>
      </c>
      <c r="E9" s="5" t="s">
        <v>44</v>
      </c>
      <c r="F9" s="5" t="s">
        <v>46</v>
      </c>
      <c r="G9" s="5" t="s">
        <v>50</v>
      </c>
      <c r="H9" s="5" t="s">
        <v>51</v>
      </c>
      <c r="I9" s="5" t="s">
        <v>54</v>
      </c>
      <c r="J9" s="5">
        <f t="shared" si="1"/>
        <v>2</v>
      </c>
      <c r="K9" s="5" t="s">
        <v>82</v>
      </c>
      <c r="L9" s="5" t="s">
        <v>84</v>
      </c>
      <c r="M9" s="5" t="s">
        <v>86</v>
      </c>
      <c r="N9" s="5" t="s">
        <v>87</v>
      </c>
    </row>
    <row r="10">
      <c r="A10" s="5" t="s">
        <v>128</v>
      </c>
      <c r="B10" s="5">
        <v>59.0</v>
      </c>
      <c r="C10" s="5" t="s">
        <v>38</v>
      </c>
      <c r="D10" s="5" t="s">
        <v>91</v>
      </c>
      <c r="E10" s="5" t="s">
        <v>93</v>
      </c>
      <c r="F10" s="5" t="s">
        <v>95</v>
      </c>
      <c r="G10" s="5" t="s">
        <v>96</v>
      </c>
      <c r="H10" s="5" t="s">
        <v>99</v>
      </c>
      <c r="I10" s="5" t="s">
        <v>54</v>
      </c>
      <c r="J10" s="5">
        <f t="shared" si="1"/>
        <v>2</v>
      </c>
      <c r="K10" s="5" t="s">
        <v>82</v>
      </c>
      <c r="L10" s="5" t="s">
        <v>82</v>
      </c>
      <c r="M10" s="5" t="s">
        <v>104</v>
      </c>
      <c r="N10" s="5" t="s">
        <v>87</v>
      </c>
    </row>
    <row r="11">
      <c r="A11" s="5" t="s">
        <v>128</v>
      </c>
      <c r="B11" s="5">
        <v>7.0</v>
      </c>
      <c r="C11" s="5" t="s">
        <v>38</v>
      </c>
      <c r="D11" s="5" t="s">
        <v>142</v>
      </c>
      <c r="E11" s="5" t="s">
        <v>143</v>
      </c>
      <c r="F11" s="5" t="s">
        <v>110</v>
      </c>
      <c r="G11" s="5" t="s">
        <v>50</v>
      </c>
      <c r="H11" s="5" t="s">
        <v>51</v>
      </c>
      <c r="I11" s="5" t="s">
        <v>77</v>
      </c>
      <c r="J11" s="5">
        <f t="shared" si="1"/>
        <v>1</v>
      </c>
      <c r="K11" s="5" t="s">
        <v>82</v>
      </c>
      <c r="L11" s="5" t="s">
        <v>147</v>
      </c>
      <c r="M11" s="5" t="s">
        <v>149</v>
      </c>
      <c r="N11" s="5" t="s">
        <v>150</v>
      </c>
    </row>
    <row r="12">
      <c r="A12" s="5" t="s">
        <v>152</v>
      </c>
      <c r="B12" s="5">
        <v>72.0</v>
      </c>
      <c r="C12" s="5" t="s">
        <v>38</v>
      </c>
      <c r="D12" s="5" t="s">
        <v>154</v>
      </c>
      <c r="E12" s="5" t="s">
        <v>155</v>
      </c>
      <c r="F12" s="5" t="s">
        <v>157</v>
      </c>
      <c r="G12" s="5" t="s">
        <v>158</v>
      </c>
      <c r="H12" s="5" t="s">
        <v>99</v>
      </c>
      <c r="I12" s="5" t="s">
        <v>97</v>
      </c>
      <c r="J12" s="5">
        <f t="shared" si="1"/>
        <v>3</v>
      </c>
      <c r="K12" s="5" t="s">
        <v>82</v>
      </c>
      <c r="L12" s="5" t="s">
        <v>147</v>
      </c>
      <c r="M12" s="5" t="s">
        <v>163</v>
      </c>
      <c r="N12" s="5" t="s">
        <v>164</v>
      </c>
    </row>
    <row r="13">
      <c r="A13" s="5" t="s">
        <v>152</v>
      </c>
      <c r="B13" s="5">
        <v>56.0</v>
      </c>
      <c r="C13" s="5" t="s">
        <v>38</v>
      </c>
      <c r="D13" s="5" t="s">
        <v>166</v>
      </c>
      <c r="E13" s="5" t="s">
        <v>167</v>
      </c>
      <c r="F13" s="5" t="s">
        <v>168</v>
      </c>
      <c r="G13" s="5" t="s">
        <v>170</v>
      </c>
      <c r="H13" s="5" t="s">
        <v>99</v>
      </c>
      <c r="I13" s="5" t="s">
        <v>97</v>
      </c>
      <c r="J13" s="5">
        <f t="shared" si="1"/>
        <v>3</v>
      </c>
      <c r="K13" s="5" t="s">
        <v>82</v>
      </c>
      <c r="L13" s="5" t="s">
        <v>147</v>
      </c>
      <c r="M13" s="5" t="s">
        <v>173</v>
      </c>
      <c r="N13" s="5" t="s">
        <v>175</v>
      </c>
    </row>
    <row r="14">
      <c r="A14" s="5" t="s">
        <v>152</v>
      </c>
      <c r="B14" s="5">
        <v>6.0</v>
      </c>
      <c r="C14" s="5" t="s">
        <v>38</v>
      </c>
      <c r="D14" s="5" t="s">
        <v>177</v>
      </c>
      <c r="E14" s="5" t="s">
        <v>178</v>
      </c>
      <c r="F14" s="5" t="s">
        <v>180</v>
      </c>
      <c r="G14" s="5" t="s">
        <v>50</v>
      </c>
      <c r="H14" s="5" t="s">
        <v>51</v>
      </c>
      <c r="I14" s="5" t="s">
        <v>77</v>
      </c>
      <c r="J14" s="5">
        <f t="shared" si="1"/>
        <v>1</v>
      </c>
      <c r="K14" s="5" t="s">
        <v>82</v>
      </c>
      <c r="L14" s="5" t="s">
        <v>147</v>
      </c>
      <c r="M14" s="5" t="s">
        <v>186</v>
      </c>
      <c r="N14" s="5" t="s">
        <v>187</v>
      </c>
    </row>
    <row r="15">
      <c r="A15" s="5" t="s">
        <v>189</v>
      </c>
      <c r="B15" s="5">
        <v>3.0</v>
      </c>
      <c r="C15" s="5" t="s">
        <v>38</v>
      </c>
      <c r="D15" s="5" t="s">
        <v>41</v>
      </c>
      <c r="E15" s="5" t="s">
        <v>44</v>
      </c>
      <c r="F15" s="5" t="s">
        <v>46</v>
      </c>
      <c r="G15" s="5" t="s">
        <v>50</v>
      </c>
      <c r="H15" s="5" t="s">
        <v>51</v>
      </c>
      <c r="I15" s="5" t="s">
        <v>54</v>
      </c>
      <c r="J15" s="5">
        <f t="shared" si="1"/>
        <v>2</v>
      </c>
      <c r="K15" s="5" t="s">
        <v>82</v>
      </c>
      <c r="L15" s="5" t="s">
        <v>84</v>
      </c>
      <c r="M15" s="5" t="s">
        <v>86</v>
      </c>
      <c r="N15" s="5" t="s">
        <v>87</v>
      </c>
    </row>
    <row r="16">
      <c r="A16" s="5" t="s">
        <v>189</v>
      </c>
      <c r="B16" s="5">
        <v>23.0</v>
      </c>
      <c r="C16" s="5" t="s">
        <v>38</v>
      </c>
      <c r="D16" s="5" t="s">
        <v>108</v>
      </c>
      <c r="E16" s="5" t="s">
        <v>109</v>
      </c>
      <c r="F16" s="5" t="s">
        <v>110</v>
      </c>
      <c r="G16" s="5" t="s">
        <v>111</v>
      </c>
      <c r="H16" s="5" t="s">
        <v>51</v>
      </c>
      <c r="I16" s="5" t="s">
        <v>70</v>
      </c>
      <c r="J16" s="5">
        <f t="shared" si="1"/>
        <v>0</v>
      </c>
      <c r="K16" s="5" t="s">
        <v>82</v>
      </c>
      <c r="L16" s="5" t="s">
        <v>84</v>
      </c>
      <c r="M16" s="5" t="s">
        <v>115</v>
      </c>
      <c r="N16" s="5" t="s">
        <v>116</v>
      </c>
    </row>
    <row r="17">
      <c r="A17" s="5" t="s">
        <v>199</v>
      </c>
      <c r="B17" s="5">
        <v>5.0</v>
      </c>
      <c r="C17" s="5" t="s">
        <v>38</v>
      </c>
      <c r="D17" s="5" t="s">
        <v>200</v>
      </c>
      <c r="E17" s="5" t="s">
        <v>201</v>
      </c>
      <c r="F17" s="5" t="s">
        <v>202</v>
      </c>
      <c r="G17" s="5" t="s">
        <v>50</v>
      </c>
      <c r="H17" s="5" t="s">
        <v>51</v>
      </c>
      <c r="I17" s="5" t="s">
        <v>54</v>
      </c>
      <c r="J17" s="5">
        <f t="shared" si="1"/>
        <v>2</v>
      </c>
      <c r="K17" s="5" t="s">
        <v>82</v>
      </c>
      <c r="L17" s="5" t="s">
        <v>147</v>
      </c>
      <c r="M17" s="5" t="s">
        <v>205</v>
      </c>
      <c r="N17" s="5" t="s">
        <v>206</v>
      </c>
    </row>
    <row r="18">
      <c r="A18" s="5" t="s">
        <v>199</v>
      </c>
      <c r="B18" s="5">
        <v>20.0</v>
      </c>
      <c r="C18" s="5" t="s">
        <v>38</v>
      </c>
      <c r="D18" s="5" t="s">
        <v>207</v>
      </c>
      <c r="E18" s="5" t="s">
        <v>209</v>
      </c>
      <c r="F18" s="5" t="s">
        <v>210</v>
      </c>
      <c r="G18" s="5" t="s">
        <v>50</v>
      </c>
      <c r="H18" s="5" t="s">
        <v>51</v>
      </c>
      <c r="I18" s="5" t="s">
        <v>54</v>
      </c>
      <c r="J18" s="5">
        <f t="shared" si="1"/>
        <v>2</v>
      </c>
      <c r="K18" s="5" t="s">
        <v>82</v>
      </c>
      <c r="L18" s="5" t="s">
        <v>147</v>
      </c>
      <c r="M18" s="5" t="s">
        <v>212</v>
      </c>
      <c r="N18" s="5" t="s">
        <v>206</v>
      </c>
    </row>
    <row r="19">
      <c r="A19" s="5" t="s">
        <v>199</v>
      </c>
      <c r="B19" s="5">
        <v>6.0</v>
      </c>
      <c r="C19" s="5" t="s">
        <v>38</v>
      </c>
      <c r="D19" s="5" t="s">
        <v>177</v>
      </c>
      <c r="E19" s="5" t="s">
        <v>178</v>
      </c>
      <c r="F19" s="5" t="s">
        <v>180</v>
      </c>
      <c r="G19" s="5" t="s">
        <v>50</v>
      </c>
      <c r="H19" s="5" t="s">
        <v>51</v>
      </c>
      <c r="I19" s="5" t="s">
        <v>77</v>
      </c>
      <c r="J19" s="5">
        <f t="shared" si="1"/>
        <v>1</v>
      </c>
      <c r="K19" s="5" t="s">
        <v>82</v>
      </c>
      <c r="L19" s="5" t="s">
        <v>147</v>
      </c>
      <c r="M19" s="5" t="s">
        <v>186</v>
      </c>
      <c r="N19" s="5" t="s">
        <v>187</v>
      </c>
    </row>
    <row r="20">
      <c r="A20" s="5" t="s">
        <v>216</v>
      </c>
      <c r="B20" s="5">
        <v>5.0</v>
      </c>
      <c r="C20" s="5" t="s">
        <v>38</v>
      </c>
      <c r="D20" s="5" t="s">
        <v>200</v>
      </c>
      <c r="E20" s="5" t="s">
        <v>201</v>
      </c>
      <c r="F20" s="5" t="s">
        <v>202</v>
      </c>
      <c r="G20" s="5" t="s">
        <v>50</v>
      </c>
      <c r="H20" s="5" t="s">
        <v>51</v>
      </c>
      <c r="I20" s="5" t="s">
        <v>54</v>
      </c>
      <c r="J20" s="5">
        <f t="shared" si="1"/>
        <v>2</v>
      </c>
      <c r="K20" s="5" t="s">
        <v>82</v>
      </c>
      <c r="L20" s="5" t="s">
        <v>147</v>
      </c>
      <c r="M20" s="5" t="s">
        <v>205</v>
      </c>
      <c r="N20" s="5" t="s">
        <v>206</v>
      </c>
    </row>
    <row r="21" ht="15.75" customHeight="1">
      <c r="A21" s="5" t="s">
        <v>216</v>
      </c>
      <c r="B21" s="5">
        <v>20.0</v>
      </c>
      <c r="C21" s="5" t="s">
        <v>38</v>
      </c>
      <c r="D21" s="5" t="s">
        <v>207</v>
      </c>
      <c r="E21" s="5" t="s">
        <v>209</v>
      </c>
      <c r="F21" s="5" t="s">
        <v>210</v>
      </c>
      <c r="G21" s="5" t="s">
        <v>50</v>
      </c>
      <c r="H21" s="5" t="s">
        <v>51</v>
      </c>
      <c r="I21" s="5" t="s">
        <v>54</v>
      </c>
      <c r="J21" s="5">
        <f t="shared" si="1"/>
        <v>2</v>
      </c>
      <c r="K21" s="5" t="s">
        <v>82</v>
      </c>
      <c r="L21" s="5" t="s">
        <v>147</v>
      </c>
      <c r="M21" s="5" t="s">
        <v>212</v>
      </c>
      <c r="N21" s="5" t="s">
        <v>206</v>
      </c>
    </row>
    <row r="22" ht="15.75" customHeight="1">
      <c r="A22" s="5" t="s">
        <v>225</v>
      </c>
      <c r="B22" s="5">
        <v>3.0</v>
      </c>
      <c r="C22" s="5" t="s">
        <v>38</v>
      </c>
      <c r="D22" s="5" t="s">
        <v>41</v>
      </c>
      <c r="E22" s="5" t="s">
        <v>44</v>
      </c>
      <c r="F22" s="5" t="s">
        <v>46</v>
      </c>
      <c r="G22" s="5" t="s">
        <v>50</v>
      </c>
      <c r="H22" s="5" t="s">
        <v>51</v>
      </c>
      <c r="I22" s="5" t="s">
        <v>54</v>
      </c>
      <c r="J22" s="5">
        <f t="shared" si="1"/>
        <v>2</v>
      </c>
      <c r="K22" s="5" t="s">
        <v>82</v>
      </c>
      <c r="L22" s="5" t="s">
        <v>84</v>
      </c>
      <c r="M22" s="5" t="s">
        <v>86</v>
      </c>
      <c r="N22" s="5" t="s">
        <v>87</v>
      </c>
    </row>
    <row r="23" ht="15.75" customHeight="1">
      <c r="A23" s="5" t="s">
        <v>225</v>
      </c>
      <c r="B23" s="5">
        <v>44.0</v>
      </c>
      <c r="C23" s="5" t="s">
        <v>38</v>
      </c>
      <c r="D23" s="5" t="s">
        <v>230</v>
      </c>
      <c r="E23" s="5" t="s">
        <v>231</v>
      </c>
      <c r="F23" s="5" t="s">
        <v>233</v>
      </c>
      <c r="G23" s="5" t="s">
        <v>50</v>
      </c>
      <c r="H23" s="5" t="s">
        <v>51</v>
      </c>
      <c r="I23" s="5" t="s">
        <v>54</v>
      </c>
      <c r="J23" s="5">
        <f t="shared" si="1"/>
        <v>2</v>
      </c>
      <c r="K23" s="5" t="s">
        <v>82</v>
      </c>
      <c r="L23" s="5" t="s">
        <v>82</v>
      </c>
      <c r="M23" s="5" t="s">
        <v>236</v>
      </c>
      <c r="N23" s="5" t="s">
        <v>150</v>
      </c>
    </row>
    <row r="24" ht="15.75" customHeight="1">
      <c r="A24" s="5" t="s">
        <v>237</v>
      </c>
      <c r="B24" s="5">
        <v>13.0</v>
      </c>
      <c r="C24" s="5" t="s">
        <v>38</v>
      </c>
      <c r="D24" s="5" t="s">
        <v>238</v>
      </c>
      <c r="E24" s="5" t="s">
        <v>239</v>
      </c>
      <c r="F24" s="5" t="s">
        <v>240</v>
      </c>
      <c r="G24" s="5" t="s">
        <v>50</v>
      </c>
      <c r="H24" s="5" t="s">
        <v>51</v>
      </c>
      <c r="I24" s="5" t="s">
        <v>77</v>
      </c>
      <c r="J24" s="5">
        <f t="shared" si="1"/>
        <v>1</v>
      </c>
      <c r="K24" s="5" t="s">
        <v>84</v>
      </c>
      <c r="L24" s="5" t="s">
        <v>84</v>
      </c>
      <c r="M24" s="5" t="s">
        <v>241</v>
      </c>
      <c r="N24" s="5" t="s">
        <v>242</v>
      </c>
    </row>
    <row r="25" ht="15.75" customHeight="1">
      <c r="A25" s="5" t="s">
        <v>237</v>
      </c>
      <c r="B25" s="5">
        <v>16.0</v>
      </c>
      <c r="C25" s="5" t="s">
        <v>38</v>
      </c>
      <c r="D25" s="5" t="s">
        <v>244</v>
      </c>
      <c r="E25" s="5" t="s">
        <v>245</v>
      </c>
      <c r="F25" s="5" t="s">
        <v>247</v>
      </c>
      <c r="G25" s="5" t="s">
        <v>248</v>
      </c>
      <c r="H25" s="5" t="s">
        <v>51</v>
      </c>
      <c r="I25" s="5" t="s">
        <v>77</v>
      </c>
      <c r="J25" s="5">
        <f t="shared" si="1"/>
        <v>1</v>
      </c>
      <c r="K25" s="5" t="s">
        <v>84</v>
      </c>
      <c r="L25" s="5" t="s">
        <v>84</v>
      </c>
      <c r="M25" s="5" t="s">
        <v>249</v>
      </c>
      <c r="N25" s="5" t="s">
        <v>250</v>
      </c>
    </row>
    <row r="26" ht="15.75" customHeight="1">
      <c r="A26" s="5" t="s">
        <v>251</v>
      </c>
      <c r="B26" s="5">
        <v>8.0</v>
      </c>
      <c r="C26" s="5" t="s">
        <v>38</v>
      </c>
      <c r="D26" s="5" t="s">
        <v>252</v>
      </c>
      <c r="E26" s="5" t="s">
        <v>253</v>
      </c>
      <c r="F26" s="5" t="s">
        <v>254</v>
      </c>
      <c r="G26" s="5" t="s">
        <v>50</v>
      </c>
      <c r="H26" s="5" t="s">
        <v>51</v>
      </c>
      <c r="I26" s="5" t="s">
        <v>77</v>
      </c>
      <c r="J26" s="5">
        <f t="shared" si="1"/>
        <v>1</v>
      </c>
      <c r="K26" s="5" t="s">
        <v>82</v>
      </c>
      <c r="L26" s="5" t="s">
        <v>147</v>
      </c>
      <c r="M26" s="5" t="s">
        <v>255</v>
      </c>
      <c r="N26" s="5" t="s">
        <v>256</v>
      </c>
    </row>
    <row r="27" ht="15.75" customHeight="1">
      <c r="A27" s="5" t="s">
        <v>251</v>
      </c>
      <c r="B27" s="5">
        <v>9.0</v>
      </c>
      <c r="C27" s="5" t="s">
        <v>38</v>
      </c>
      <c r="D27" s="5" t="s">
        <v>257</v>
      </c>
      <c r="E27" s="5" t="s">
        <v>258</v>
      </c>
      <c r="F27" s="5" t="s">
        <v>259</v>
      </c>
      <c r="G27" s="5" t="s">
        <v>50</v>
      </c>
      <c r="H27" s="5" t="s">
        <v>51</v>
      </c>
      <c r="I27" s="5" t="s">
        <v>77</v>
      </c>
      <c r="J27" s="5">
        <f t="shared" si="1"/>
        <v>1</v>
      </c>
      <c r="K27" s="5" t="s">
        <v>82</v>
      </c>
      <c r="L27" s="5" t="s">
        <v>147</v>
      </c>
      <c r="M27" s="5" t="s">
        <v>261</v>
      </c>
      <c r="N27" s="5" t="s">
        <v>256</v>
      </c>
    </row>
    <row r="28" ht="15.75" customHeight="1">
      <c r="A28" s="5" t="s">
        <v>251</v>
      </c>
      <c r="B28" s="5">
        <v>6.0</v>
      </c>
      <c r="C28" s="5" t="s">
        <v>38</v>
      </c>
      <c r="D28" s="5" t="s">
        <v>177</v>
      </c>
      <c r="E28" s="5" t="s">
        <v>178</v>
      </c>
      <c r="F28" s="5" t="s">
        <v>180</v>
      </c>
      <c r="G28" s="5" t="s">
        <v>50</v>
      </c>
      <c r="H28" s="5" t="s">
        <v>51</v>
      </c>
      <c r="I28" s="5" t="s">
        <v>77</v>
      </c>
      <c r="J28" s="5">
        <f t="shared" si="1"/>
        <v>1</v>
      </c>
      <c r="K28" s="5" t="s">
        <v>82</v>
      </c>
      <c r="L28" s="5" t="s">
        <v>147</v>
      </c>
      <c r="M28" s="5" t="s">
        <v>186</v>
      </c>
      <c r="N28" s="5" t="s">
        <v>187</v>
      </c>
    </row>
    <row r="29" ht="15.75" customHeight="1">
      <c r="A29" s="5" t="s">
        <v>262</v>
      </c>
      <c r="B29" s="5">
        <v>54.0</v>
      </c>
      <c r="C29" s="5" t="s">
        <v>38</v>
      </c>
      <c r="D29" s="5" t="s">
        <v>263</v>
      </c>
      <c r="E29" s="5" t="s">
        <v>264</v>
      </c>
      <c r="F29" s="5" t="s">
        <v>265</v>
      </c>
      <c r="G29" s="5" t="s">
        <v>111</v>
      </c>
      <c r="H29" s="5" t="s">
        <v>51</v>
      </c>
      <c r="I29" s="5" t="s">
        <v>97</v>
      </c>
      <c r="J29" s="5">
        <f t="shared" si="1"/>
        <v>3</v>
      </c>
      <c r="K29" s="5" t="s">
        <v>82</v>
      </c>
      <c r="L29" s="5" t="s">
        <v>266</v>
      </c>
      <c r="M29" s="5" t="s">
        <v>267</v>
      </c>
      <c r="N29" s="5" t="s">
        <v>268</v>
      </c>
    </row>
    <row r="30" ht="15.75" customHeight="1">
      <c r="A30" s="5" t="s">
        <v>262</v>
      </c>
      <c r="B30" s="5">
        <v>75.0</v>
      </c>
      <c r="C30" s="5" t="s">
        <v>38</v>
      </c>
      <c r="D30" s="5" t="s">
        <v>269</v>
      </c>
      <c r="E30" s="5" t="s">
        <v>270</v>
      </c>
      <c r="F30" s="5" t="s">
        <v>271</v>
      </c>
      <c r="G30" s="5" t="s">
        <v>272</v>
      </c>
      <c r="H30" s="5" t="s">
        <v>99</v>
      </c>
      <c r="I30" s="5" t="s">
        <v>97</v>
      </c>
      <c r="J30" s="5">
        <f t="shared" si="1"/>
        <v>3</v>
      </c>
      <c r="K30" s="5" t="s">
        <v>82</v>
      </c>
      <c r="L30" s="5" t="s">
        <v>266</v>
      </c>
      <c r="M30" s="5" t="s">
        <v>273</v>
      </c>
      <c r="N30" s="5" t="s">
        <v>274</v>
      </c>
    </row>
    <row r="31" ht="15.75" customHeight="1">
      <c r="A31" s="5" t="s">
        <v>262</v>
      </c>
      <c r="B31" s="5">
        <v>69.0</v>
      </c>
      <c r="C31" s="5" t="s">
        <v>38</v>
      </c>
      <c r="D31" s="5" t="s">
        <v>275</v>
      </c>
      <c r="E31" s="5" t="s">
        <v>276</v>
      </c>
      <c r="F31" s="5" t="s">
        <v>277</v>
      </c>
      <c r="G31" s="5" t="s">
        <v>278</v>
      </c>
      <c r="H31" s="5" t="s">
        <v>99</v>
      </c>
      <c r="I31" s="5" t="s">
        <v>97</v>
      </c>
      <c r="J31" s="5">
        <f t="shared" si="1"/>
        <v>3</v>
      </c>
      <c r="K31" s="5" t="s">
        <v>82</v>
      </c>
      <c r="L31" s="5" t="s">
        <v>266</v>
      </c>
      <c r="M31" s="5" t="s">
        <v>279</v>
      </c>
      <c r="N31" s="5" t="s">
        <v>280</v>
      </c>
    </row>
    <row r="32" ht="15.75" customHeight="1">
      <c r="A32" s="5" t="s">
        <v>262</v>
      </c>
      <c r="B32" s="5">
        <v>70.0</v>
      </c>
      <c r="C32" s="5" t="s">
        <v>38</v>
      </c>
      <c r="D32" s="5" t="s">
        <v>281</v>
      </c>
      <c r="E32" s="5" t="s">
        <v>282</v>
      </c>
      <c r="F32" s="5" t="s">
        <v>283</v>
      </c>
      <c r="G32" s="5" t="s">
        <v>278</v>
      </c>
      <c r="H32" s="5" t="s">
        <v>99</v>
      </c>
      <c r="I32" s="5" t="s">
        <v>97</v>
      </c>
      <c r="J32" s="5">
        <f t="shared" si="1"/>
        <v>3</v>
      </c>
      <c r="K32" s="5" t="s">
        <v>82</v>
      </c>
      <c r="L32" s="5" t="s">
        <v>266</v>
      </c>
      <c r="M32" s="5" t="s">
        <v>284</v>
      </c>
      <c r="N32" s="5" t="s">
        <v>274</v>
      </c>
    </row>
    <row r="33" ht="15.75" customHeight="1">
      <c r="A33" s="5" t="s">
        <v>262</v>
      </c>
      <c r="B33" s="5">
        <v>22.0</v>
      </c>
      <c r="C33" s="5" t="s">
        <v>38</v>
      </c>
      <c r="D33" s="5" t="s">
        <v>285</v>
      </c>
      <c r="E33" s="5" t="s">
        <v>286</v>
      </c>
      <c r="F33" s="5" t="s">
        <v>287</v>
      </c>
      <c r="G33" s="5" t="s">
        <v>111</v>
      </c>
      <c r="H33" s="5" t="s">
        <v>51</v>
      </c>
      <c r="I33" s="5" t="s">
        <v>77</v>
      </c>
      <c r="J33" s="5">
        <f t="shared" si="1"/>
        <v>1</v>
      </c>
      <c r="K33" s="5" t="s">
        <v>82</v>
      </c>
      <c r="L33" s="5" t="s">
        <v>147</v>
      </c>
      <c r="M33" s="5" t="s">
        <v>288</v>
      </c>
      <c r="N33" s="5" t="s">
        <v>164</v>
      </c>
    </row>
    <row r="34" ht="15.75" customHeight="1">
      <c r="A34" s="5" t="s">
        <v>262</v>
      </c>
      <c r="B34" s="5">
        <v>25.0</v>
      </c>
      <c r="C34" s="5" t="s">
        <v>38</v>
      </c>
      <c r="D34" s="5" t="s">
        <v>289</v>
      </c>
      <c r="E34" s="5" t="s">
        <v>290</v>
      </c>
      <c r="F34" s="5" t="s">
        <v>291</v>
      </c>
      <c r="G34" s="5" t="s">
        <v>111</v>
      </c>
      <c r="H34" s="5" t="s">
        <v>51</v>
      </c>
      <c r="I34" s="5" t="s">
        <v>70</v>
      </c>
      <c r="J34" s="5">
        <f t="shared" si="1"/>
        <v>0</v>
      </c>
      <c r="K34" s="5" t="s">
        <v>82</v>
      </c>
      <c r="L34" s="5" t="s">
        <v>82</v>
      </c>
      <c r="M34" s="5" t="s">
        <v>292</v>
      </c>
      <c r="N34" s="5" t="s">
        <v>293</v>
      </c>
    </row>
    <row r="35" ht="15.75" customHeight="1">
      <c r="A35" s="5" t="s">
        <v>294</v>
      </c>
      <c r="B35" s="5">
        <v>4.0</v>
      </c>
      <c r="C35" s="5" t="s">
        <v>38</v>
      </c>
      <c r="D35" s="5" t="s">
        <v>295</v>
      </c>
      <c r="E35" s="5" t="s">
        <v>296</v>
      </c>
      <c r="F35" s="5" t="s">
        <v>297</v>
      </c>
      <c r="G35" s="5" t="s">
        <v>50</v>
      </c>
      <c r="H35" s="5" t="s">
        <v>51</v>
      </c>
      <c r="I35" s="5" t="s">
        <v>54</v>
      </c>
      <c r="J35" s="5">
        <f t="shared" si="1"/>
        <v>2</v>
      </c>
      <c r="K35" s="5" t="s">
        <v>82</v>
      </c>
      <c r="L35" s="5" t="s">
        <v>82</v>
      </c>
      <c r="M35" s="5" t="s">
        <v>299</v>
      </c>
      <c r="N35" s="5" t="s">
        <v>293</v>
      </c>
    </row>
    <row r="36" ht="15.75" customHeight="1">
      <c r="A36" s="5" t="s">
        <v>294</v>
      </c>
      <c r="B36" s="5">
        <v>47.0</v>
      </c>
      <c r="C36" s="5" t="s">
        <v>38</v>
      </c>
      <c r="D36" s="5" t="s">
        <v>300</v>
      </c>
      <c r="E36" s="5" t="s">
        <v>301</v>
      </c>
      <c r="F36" s="5" t="s">
        <v>302</v>
      </c>
      <c r="G36" s="5" t="s">
        <v>50</v>
      </c>
      <c r="H36" s="5" t="s">
        <v>51</v>
      </c>
      <c r="I36" s="5" t="s">
        <v>54</v>
      </c>
      <c r="J36" s="5">
        <f t="shared" si="1"/>
        <v>2</v>
      </c>
      <c r="K36" s="5" t="s">
        <v>82</v>
      </c>
      <c r="L36" s="5" t="s">
        <v>82</v>
      </c>
      <c r="M36" s="5" t="s">
        <v>303</v>
      </c>
      <c r="N36" s="5" t="s">
        <v>304</v>
      </c>
    </row>
    <row r="37" ht="15.75" customHeight="1">
      <c r="A37" s="5" t="s">
        <v>294</v>
      </c>
      <c r="B37" s="5">
        <v>57.0</v>
      </c>
      <c r="C37" s="5" t="s">
        <v>38</v>
      </c>
      <c r="D37" s="5" t="s">
        <v>305</v>
      </c>
      <c r="E37" s="5" t="s">
        <v>306</v>
      </c>
      <c r="F37" s="5" t="s">
        <v>307</v>
      </c>
      <c r="G37" s="5" t="s">
        <v>170</v>
      </c>
      <c r="H37" s="5" t="s">
        <v>99</v>
      </c>
      <c r="I37" s="5" t="s">
        <v>54</v>
      </c>
      <c r="J37" s="5">
        <f t="shared" si="1"/>
        <v>2</v>
      </c>
      <c r="K37" s="5" t="s">
        <v>82</v>
      </c>
      <c r="L37" s="5" t="s">
        <v>82</v>
      </c>
      <c r="M37" s="5" t="s">
        <v>308</v>
      </c>
      <c r="N37" s="5" t="s">
        <v>309</v>
      </c>
    </row>
    <row r="38" ht="15.75" customHeight="1">
      <c r="A38" s="5" t="s">
        <v>294</v>
      </c>
      <c r="B38" s="5">
        <v>19.0</v>
      </c>
      <c r="C38" s="5" t="s">
        <v>38</v>
      </c>
      <c r="D38" s="5" t="s">
        <v>310</v>
      </c>
      <c r="E38" s="5" t="s">
        <v>311</v>
      </c>
      <c r="F38" s="5" t="s">
        <v>312</v>
      </c>
      <c r="G38" s="5" t="s">
        <v>111</v>
      </c>
      <c r="H38" s="5" t="s">
        <v>51</v>
      </c>
      <c r="I38" s="5" t="s">
        <v>77</v>
      </c>
      <c r="J38" s="5">
        <f t="shared" si="1"/>
        <v>1</v>
      </c>
      <c r="K38" s="5" t="s">
        <v>82</v>
      </c>
      <c r="L38" s="5" t="s">
        <v>147</v>
      </c>
      <c r="M38" s="5" t="s">
        <v>313</v>
      </c>
      <c r="N38" s="5" t="s">
        <v>314</v>
      </c>
    </row>
    <row r="39" ht="15.75" customHeight="1">
      <c r="A39" s="5" t="s">
        <v>294</v>
      </c>
      <c r="B39" s="5">
        <v>53.0</v>
      </c>
      <c r="C39" s="5" t="s">
        <v>38</v>
      </c>
      <c r="D39" s="5" t="s">
        <v>315</v>
      </c>
      <c r="E39" s="5" t="s">
        <v>316</v>
      </c>
      <c r="F39" s="5" t="s">
        <v>317</v>
      </c>
      <c r="G39" s="5" t="s">
        <v>50</v>
      </c>
      <c r="H39" s="5" t="s">
        <v>51</v>
      </c>
      <c r="I39" s="5" t="s">
        <v>77</v>
      </c>
      <c r="J39" s="5">
        <f t="shared" si="1"/>
        <v>1</v>
      </c>
      <c r="K39" s="5" t="s">
        <v>82</v>
      </c>
      <c r="L39" s="5" t="s">
        <v>82</v>
      </c>
      <c r="M39" s="5" t="s">
        <v>318</v>
      </c>
      <c r="N39" s="5" t="s">
        <v>319</v>
      </c>
    </row>
    <row r="40" ht="15.75" customHeight="1">
      <c r="A40" s="5" t="s">
        <v>294</v>
      </c>
      <c r="B40" s="5">
        <v>76.0</v>
      </c>
      <c r="C40" s="5" t="s">
        <v>320</v>
      </c>
      <c r="D40" s="5" t="s">
        <v>321</v>
      </c>
      <c r="E40" s="5" t="s">
        <v>322</v>
      </c>
      <c r="F40" s="5" t="s">
        <v>323</v>
      </c>
      <c r="G40" s="5" t="s">
        <v>272</v>
      </c>
      <c r="H40" s="5" t="s">
        <v>99</v>
      </c>
      <c r="I40" s="5" t="s">
        <v>97</v>
      </c>
      <c r="J40" s="5">
        <f t="shared" si="1"/>
        <v>3</v>
      </c>
      <c r="K40" s="5" t="s">
        <v>266</v>
      </c>
      <c r="L40" s="5" t="s">
        <v>82</v>
      </c>
      <c r="M40" s="5" t="s">
        <v>324</v>
      </c>
      <c r="N40" s="5" t="s">
        <v>325</v>
      </c>
    </row>
    <row r="41" ht="15.75" customHeight="1">
      <c r="A41" s="5" t="s">
        <v>326</v>
      </c>
      <c r="B41" s="5">
        <v>67.0</v>
      </c>
      <c r="C41" s="5" t="s">
        <v>38</v>
      </c>
      <c r="D41" s="5" t="s">
        <v>327</v>
      </c>
      <c r="E41" s="5" t="s">
        <v>328</v>
      </c>
      <c r="F41" s="5" t="s">
        <v>329</v>
      </c>
      <c r="G41" s="5" t="s">
        <v>96</v>
      </c>
      <c r="H41" s="5" t="s">
        <v>99</v>
      </c>
      <c r="I41" s="5" t="s">
        <v>54</v>
      </c>
      <c r="J41" s="5">
        <f t="shared" si="1"/>
        <v>2</v>
      </c>
      <c r="K41" s="5" t="s">
        <v>84</v>
      </c>
      <c r="L41" s="5" t="s">
        <v>82</v>
      </c>
      <c r="M41" s="5" t="s">
        <v>331</v>
      </c>
      <c r="N41" s="5" t="s">
        <v>332</v>
      </c>
    </row>
    <row r="42" ht="15.75" customHeight="1">
      <c r="A42" s="5" t="s">
        <v>326</v>
      </c>
      <c r="B42" s="5">
        <v>15.0</v>
      </c>
      <c r="C42" s="5" t="s">
        <v>38</v>
      </c>
      <c r="D42" s="5" t="s">
        <v>333</v>
      </c>
      <c r="E42" s="5" t="s">
        <v>334</v>
      </c>
      <c r="F42" s="5" t="s">
        <v>335</v>
      </c>
      <c r="G42" s="5" t="s">
        <v>50</v>
      </c>
      <c r="H42" s="5" t="s">
        <v>51</v>
      </c>
      <c r="I42" s="5" t="s">
        <v>77</v>
      </c>
      <c r="J42" s="5">
        <f t="shared" si="1"/>
        <v>1</v>
      </c>
      <c r="K42" s="5" t="s">
        <v>82</v>
      </c>
      <c r="L42" s="5" t="s">
        <v>82</v>
      </c>
      <c r="M42" s="5" t="s">
        <v>336</v>
      </c>
      <c r="N42" s="5" t="s">
        <v>332</v>
      </c>
    </row>
    <row r="43" ht="15.75" customHeight="1">
      <c r="A43" s="5" t="s">
        <v>326</v>
      </c>
      <c r="B43" s="5">
        <v>60.0</v>
      </c>
      <c r="C43" s="5" t="s">
        <v>38</v>
      </c>
      <c r="D43" s="5" t="s">
        <v>337</v>
      </c>
      <c r="E43" s="5" t="s">
        <v>338</v>
      </c>
      <c r="F43" s="5" t="s">
        <v>339</v>
      </c>
      <c r="G43" s="5" t="s">
        <v>96</v>
      </c>
      <c r="H43" s="5" t="s">
        <v>99</v>
      </c>
      <c r="I43" s="5" t="s">
        <v>77</v>
      </c>
      <c r="J43" s="5">
        <f t="shared" si="1"/>
        <v>1</v>
      </c>
      <c r="K43" s="5" t="s">
        <v>84</v>
      </c>
      <c r="L43" s="5" t="s">
        <v>82</v>
      </c>
      <c r="M43" s="5" t="s">
        <v>340</v>
      </c>
      <c r="N43" s="5" t="s">
        <v>341</v>
      </c>
    </row>
    <row r="44" ht="15.75" customHeight="1">
      <c r="A44" s="5" t="s">
        <v>342</v>
      </c>
      <c r="B44" s="5">
        <v>65.0</v>
      </c>
      <c r="C44" s="5" t="s">
        <v>38</v>
      </c>
      <c r="D44" s="5" t="s">
        <v>343</v>
      </c>
      <c r="E44" s="5" t="s">
        <v>344</v>
      </c>
      <c r="F44" s="5" t="s">
        <v>345</v>
      </c>
      <c r="G44" s="5" t="s">
        <v>96</v>
      </c>
      <c r="H44" s="5" t="s">
        <v>99</v>
      </c>
      <c r="I44" s="5" t="s">
        <v>54</v>
      </c>
      <c r="J44" s="5">
        <f t="shared" si="1"/>
        <v>2</v>
      </c>
      <c r="K44" s="5" t="s">
        <v>266</v>
      </c>
      <c r="L44" s="5" t="s">
        <v>82</v>
      </c>
      <c r="M44" s="5" t="s">
        <v>346</v>
      </c>
      <c r="N44" s="5" t="s">
        <v>347</v>
      </c>
    </row>
    <row r="45" ht="15.75" customHeight="1">
      <c r="A45" s="5" t="s">
        <v>342</v>
      </c>
      <c r="B45" s="5">
        <v>15.0</v>
      </c>
      <c r="C45" s="5" t="s">
        <v>38</v>
      </c>
      <c r="D45" s="5" t="s">
        <v>333</v>
      </c>
      <c r="E45" s="5" t="s">
        <v>334</v>
      </c>
      <c r="F45" s="5" t="s">
        <v>335</v>
      </c>
      <c r="G45" s="5" t="s">
        <v>50</v>
      </c>
      <c r="H45" s="5" t="s">
        <v>51</v>
      </c>
      <c r="I45" s="5" t="s">
        <v>77</v>
      </c>
      <c r="J45" s="5">
        <f t="shared" si="1"/>
        <v>1</v>
      </c>
      <c r="K45" s="5" t="s">
        <v>82</v>
      </c>
      <c r="L45" s="5" t="s">
        <v>82</v>
      </c>
      <c r="M45" s="5" t="s">
        <v>336</v>
      </c>
      <c r="N45" s="5" t="s">
        <v>332</v>
      </c>
    </row>
    <row r="46" ht="15.75" customHeight="1">
      <c r="A46" s="5" t="s">
        <v>348</v>
      </c>
      <c r="B46" s="5">
        <v>64.0</v>
      </c>
      <c r="C46" s="5" t="s">
        <v>38</v>
      </c>
      <c r="D46" s="5" t="s">
        <v>349</v>
      </c>
      <c r="E46" s="5" t="s">
        <v>350</v>
      </c>
      <c r="F46" s="5" t="s">
        <v>351</v>
      </c>
      <c r="G46" s="5" t="s">
        <v>96</v>
      </c>
      <c r="H46" s="5" t="s">
        <v>99</v>
      </c>
      <c r="I46" s="5" t="s">
        <v>54</v>
      </c>
      <c r="J46" s="5">
        <f t="shared" si="1"/>
        <v>2</v>
      </c>
      <c r="K46" s="5" t="s">
        <v>82</v>
      </c>
      <c r="L46" s="5" t="s">
        <v>82</v>
      </c>
      <c r="M46" s="5" t="s">
        <v>352</v>
      </c>
      <c r="N46" s="5" t="s">
        <v>353</v>
      </c>
    </row>
    <row r="47" ht="15.75" customHeight="1">
      <c r="A47" s="5" t="s">
        <v>348</v>
      </c>
      <c r="B47" s="5">
        <v>15.0</v>
      </c>
      <c r="C47" s="5" t="s">
        <v>38</v>
      </c>
      <c r="D47" s="5" t="s">
        <v>333</v>
      </c>
      <c r="E47" s="5" t="s">
        <v>334</v>
      </c>
      <c r="F47" s="5" t="s">
        <v>335</v>
      </c>
      <c r="G47" s="5" t="s">
        <v>50</v>
      </c>
      <c r="H47" s="5" t="s">
        <v>51</v>
      </c>
      <c r="I47" s="5" t="s">
        <v>77</v>
      </c>
      <c r="J47" s="5">
        <f t="shared" si="1"/>
        <v>1</v>
      </c>
      <c r="K47" s="5" t="s">
        <v>82</v>
      </c>
      <c r="L47" s="5" t="s">
        <v>82</v>
      </c>
      <c r="M47" s="5" t="s">
        <v>336</v>
      </c>
      <c r="N47" s="5" t="s">
        <v>332</v>
      </c>
    </row>
    <row r="48" ht="15.75" customHeight="1">
      <c r="A48" s="5" t="s">
        <v>354</v>
      </c>
      <c r="B48" s="5">
        <v>62.0</v>
      </c>
      <c r="C48" s="5" t="s">
        <v>38</v>
      </c>
      <c r="D48" s="5" t="s">
        <v>355</v>
      </c>
      <c r="E48" s="5" t="s">
        <v>356</v>
      </c>
      <c r="F48" s="5" t="s">
        <v>357</v>
      </c>
      <c r="G48" s="5" t="s">
        <v>96</v>
      </c>
      <c r="H48" s="5" t="s">
        <v>99</v>
      </c>
      <c r="I48" s="5" t="s">
        <v>97</v>
      </c>
      <c r="J48" s="5">
        <f t="shared" si="1"/>
        <v>3</v>
      </c>
      <c r="K48" s="5" t="s">
        <v>82</v>
      </c>
      <c r="L48" s="5" t="s">
        <v>84</v>
      </c>
      <c r="M48" s="5" t="s">
        <v>358</v>
      </c>
      <c r="N48" s="5" t="s">
        <v>359</v>
      </c>
    </row>
    <row r="49" ht="15.75" customHeight="1">
      <c r="A49" s="5" t="s">
        <v>354</v>
      </c>
      <c r="B49" s="5">
        <v>61.0</v>
      </c>
      <c r="C49" s="5" t="s">
        <v>38</v>
      </c>
      <c r="D49" s="5" t="s">
        <v>360</v>
      </c>
      <c r="E49" s="5" t="s">
        <v>361</v>
      </c>
      <c r="F49" s="5" t="s">
        <v>362</v>
      </c>
      <c r="G49" s="5" t="s">
        <v>96</v>
      </c>
      <c r="H49" s="5" t="s">
        <v>99</v>
      </c>
      <c r="I49" s="5" t="s">
        <v>77</v>
      </c>
      <c r="J49" s="5">
        <f t="shared" si="1"/>
        <v>1</v>
      </c>
      <c r="K49" s="5" t="s">
        <v>82</v>
      </c>
      <c r="L49" s="5" t="s">
        <v>84</v>
      </c>
      <c r="M49" s="5" t="s">
        <v>363</v>
      </c>
      <c r="N49" s="5" t="s">
        <v>364</v>
      </c>
    </row>
    <row r="50" ht="15.75" customHeight="1">
      <c r="A50" s="5" t="s">
        <v>365</v>
      </c>
      <c r="B50" s="5">
        <v>21.0</v>
      </c>
      <c r="C50" s="5" t="s">
        <v>38</v>
      </c>
      <c r="D50" s="5" t="s">
        <v>366</v>
      </c>
      <c r="E50" s="5" t="s">
        <v>367</v>
      </c>
      <c r="F50" s="5" t="s">
        <v>368</v>
      </c>
      <c r="G50" s="5" t="s">
        <v>111</v>
      </c>
      <c r="H50" s="5" t="s">
        <v>51</v>
      </c>
      <c r="I50" s="5" t="s">
        <v>77</v>
      </c>
      <c r="J50" s="5">
        <f t="shared" si="1"/>
        <v>1</v>
      </c>
      <c r="K50" s="5" t="s">
        <v>84</v>
      </c>
      <c r="L50" s="5" t="s">
        <v>84</v>
      </c>
      <c r="M50" s="5" t="s">
        <v>369</v>
      </c>
      <c r="N50" s="5" t="s">
        <v>250</v>
      </c>
    </row>
    <row r="51" ht="15.75" customHeight="1">
      <c r="A51" s="5" t="s">
        <v>365</v>
      </c>
      <c r="B51" s="5">
        <v>13.0</v>
      </c>
      <c r="C51" s="5" t="s">
        <v>38</v>
      </c>
      <c r="D51" s="5" t="s">
        <v>238</v>
      </c>
      <c r="E51" s="5" t="s">
        <v>239</v>
      </c>
      <c r="F51" s="5" t="s">
        <v>240</v>
      </c>
      <c r="G51" s="5" t="s">
        <v>50</v>
      </c>
      <c r="H51" s="5" t="s">
        <v>51</v>
      </c>
      <c r="I51" s="5" t="s">
        <v>77</v>
      </c>
      <c r="J51" s="5">
        <f t="shared" si="1"/>
        <v>1</v>
      </c>
      <c r="K51" s="5" t="s">
        <v>84</v>
      </c>
      <c r="L51" s="5" t="s">
        <v>84</v>
      </c>
      <c r="M51" s="5" t="s">
        <v>241</v>
      </c>
      <c r="N51" s="5" t="s">
        <v>242</v>
      </c>
    </row>
    <row r="52" ht="15.75" customHeight="1">
      <c r="A52" s="5" t="s">
        <v>370</v>
      </c>
      <c r="B52" s="5">
        <v>17.0</v>
      </c>
      <c r="C52" s="5" t="s">
        <v>38</v>
      </c>
      <c r="D52" s="5" t="s">
        <v>371</v>
      </c>
      <c r="E52" s="5" t="s">
        <v>372</v>
      </c>
      <c r="F52" s="5" t="s">
        <v>373</v>
      </c>
      <c r="G52" s="5" t="s">
        <v>50</v>
      </c>
      <c r="H52" s="5" t="s">
        <v>51</v>
      </c>
      <c r="I52" s="5" t="s">
        <v>77</v>
      </c>
      <c r="J52" s="5">
        <f t="shared" si="1"/>
        <v>1</v>
      </c>
      <c r="K52" s="5" t="s">
        <v>84</v>
      </c>
      <c r="L52" s="5" t="s">
        <v>147</v>
      </c>
      <c r="M52" s="5" t="s">
        <v>374</v>
      </c>
      <c r="N52" s="5" t="s">
        <v>375</v>
      </c>
    </row>
    <row r="53" ht="15.75" customHeight="1">
      <c r="A53" s="5" t="s">
        <v>370</v>
      </c>
      <c r="B53" s="5">
        <v>18.0</v>
      </c>
      <c r="C53" s="5" t="s">
        <v>38</v>
      </c>
      <c r="D53" s="5" t="s">
        <v>376</v>
      </c>
      <c r="E53" s="5" t="s">
        <v>377</v>
      </c>
      <c r="F53" s="5" t="s">
        <v>378</v>
      </c>
      <c r="G53" s="5" t="s">
        <v>248</v>
      </c>
      <c r="H53" s="5" t="s">
        <v>51</v>
      </c>
      <c r="I53" s="5" t="s">
        <v>77</v>
      </c>
      <c r="J53" s="5">
        <f t="shared" si="1"/>
        <v>1</v>
      </c>
      <c r="K53" s="5" t="s">
        <v>84</v>
      </c>
      <c r="L53" s="5" t="s">
        <v>147</v>
      </c>
      <c r="M53" s="5" t="s">
        <v>379</v>
      </c>
      <c r="N53" s="5" t="s">
        <v>375</v>
      </c>
    </row>
    <row r="54" ht="15.75" customHeight="1">
      <c r="A54" s="5" t="s">
        <v>370</v>
      </c>
      <c r="B54" s="5">
        <v>39.0</v>
      </c>
      <c r="C54" s="5" t="s">
        <v>38</v>
      </c>
      <c r="D54" s="5" t="s">
        <v>380</v>
      </c>
      <c r="E54" s="5" t="s">
        <v>381</v>
      </c>
      <c r="F54" s="5" t="s">
        <v>382</v>
      </c>
      <c r="G54" s="5" t="s">
        <v>111</v>
      </c>
      <c r="H54" s="5" t="s">
        <v>51</v>
      </c>
      <c r="I54" s="5" t="s">
        <v>70</v>
      </c>
      <c r="J54" s="5">
        <f t="shared" si="1"/>
        <v>0</v>
      </c>
      <c r="K54" s="5" t="s">
        <v>84</v>
      </c>
      <c r="L54" s="5" t="s">
        <v>147</v>
      </c>
      <c r="M54" s="5" t="s">
        <v>383</v>
      </c>
      <c r="N54" s="5" t="s">
        <v>375</v>
      </c>
    </row>
    <row r="55" ht="15.75" customHeight="1">
      <c r="A55" s="5" t="s">
        <v>384</v>
      </c>
      <c r="B55" s="5">
        <v>50.0</v>
      </c>
      <c r="C55" s="5" t="s">
        <v>38</v>
      </c>
      <c r="D55" s="5" t="s">
        <v>386</v>
      </c>
      <c r="E55" s="5" t="s">
        <v>387</v>
      </c>
      <c r="F55" s="5" t="s">
        <v>388</v>
      </c>
      <c r="G55" s="5" t="s">
        <v>50</v>
      </c>
      <c r="H55" s="5" t="s">
        <v>51</v>
      </c>
      <c r="I55" s="5" t="s">
        <v>54</v>
      </c>
      <c r="J55" s="5">
        <f t="shared" si="1"/>
        <v>2</v>
      </c>
      <c r="K55" s="5" t="s">
        <v>84</v>
      </c>
      <c r="L55" s="5" t="s">
        <v>147</v>
      </c>
      <c r="M55" s="5" t="s">
        <v>390</v>
      </c>
      <c r="N55" s="5" t="s">
        <v>391</v>
      </c>
    </row>
    <row r="56" ht="15.75" customHeight="1">
      <c r="A56" s="5" t="s">
        <v>384</v>
      </c>
      <c r="B56" s="5">
        <v>51.0</v>
      </c>
      <c r="C56" s="5" t="s">
        <v>38</v>
      </c>
      <c r="D56" s="5" t="s">
        <v>392</v>
      </c>
      <c r="E56" s="5" t="s">
        <v>393</v>
      </c>
      <c r="F56" s="5" t="s">
        <v>388</v>
      </c>
      <c r="G56" s="5" t="s">
        <v>248</v>
      </c>
      <c r="H56" s="5" t="s">
        <v>51</v>
      </c>
      <c r="I56" s="5" t="s">
        <v>77</v>
      </c>
      <c r="J56" s="5">
        <f t="shared" si="1"/>
        <v>1</v>
      </c>
      <c r="K56" s="5" t="s">
        <v>84</v>
      </c>
      <c r="L56" s="5" t="s">
        <v>147</v>
      </c>
      <c r="M56" s="5" t="s">
        <v>396</v>
      </c>
      <c r="N56" s="5" t="s">
        <v>391</v>
      </c>
    </row>
    <row r="57" ht="15.75" customHeight="1">
      <c r="A57" s="5" t="s">
        <v>384</v>
      </c>
      <c r="B57" s="5">
        <v>14.0</v>
      </c>
      <c r="C57" s="5" t="s">
        <v>38</v>
      </c>
      <c r="D57" s="5" t="s">
        <v>399</v>
      </c>
      <c r="E57" s="5" t="s">
        <v>401</v>
      </c>
      <c r="F57" s="5" t="s">
        <v>402</v>
      </c>
      <c r="G57" s="5" t="s">
        <v>50</v>
      </c>
      <c r="H57" s="5" t="s">
        <v>51</v>
      </c>
      <c r="I57" s="5" t="s">
        <v>77</v>
      </c>
      <c r="J57" s="5">
        <f t="shared" si="1"/>
        <v>1</v>
      </c>
      <c r="K57" s="5" t="s">
        <v>82</v>
      </c>
      <c r="L57" s="5" t="s">
        <v>147</v>
      </c>
      <c r="M57" s="5" t="s">
        <v>407</v>
      </c>
      <c r="N57" s="5" t="s">
        <v>409</v>
      </c>
    </row>
    <row r="58" ht="15.75" customHeight="1">
      <c r="A58" s="5" t="s">
        <v>410</v>
      </c>
      <c r="B58" s="5">
        <v>51.0</v>
      </c>
      <c r="C58" s="5" t="s">
        <v>38</v>
      </c>
      <c r="D58" s="5" t="s">
        <v>392</v>
      </c>
      <c r="E58" s="5" t="s">
        <v>393</v>
      </c>
      <c r="F58" s="5" t="s">
        <v>388</v>
      </c>
      <c r="G58" s="5" t="s">
        <v>248</v>
      </c>
      <c r="H58" s="5" t="s">
        <v>51</v>
      </c>
      <c r="I58" s="5" t="s">
        <v>77</v>
      </c>
      <c r="J58" s="5">
        <f t="shared" si="1"/>
        <v>1</v>
      </c>
      <c r="K58" s="5" t="s">
        <v>84</v>
      </c>
      <c r="L58" s="5" t="s">
        <v>147</v>
      </c>
      <c r="M58" s="5" t="s">
        <v>396</v>
      </c>
      <c r="N58" s="5" t="s">
        <v>391</v>
      </c>
    </row>
    <row r="59" ht="15.75" customHeight="1">
      <c r="A59" s="5" t="s">
        <v>410</v>
      </c>
      <c r="B59" s="5">
        <v>40.0</v>
      </c>
      <c r="C59" s="5" t="s">
        <v>38</v>
      </c>
      <c r="D59" s="5" t="s">
        <v>421</v>
      </c>
      <c r="E59" s="5" t="s">
        <v>423</v>
      </c>
      <c r="F59" s="5" t="s">
        <v>425</v>
      </c>
      <c r="G59" s="5" t="s">
        <v>50</v>
      </c>
      <c r="H59" s="5" t="s">
        <v>51</v>
      </c>
      <c r="I59" s="5" t="s">
        <v>70</v>
      </c>
      <c r="J59" s="5">
        <f t="shared" si="1"/>
        <v>0</v>
      </c>
      <c r="K59" s="5" t="s">
        <v>84</v>
      </c>
      <c r="L59" s="5" t="s">
        <v>266</v>
      </c>
      <c r="M59" s="5" t="s">
        <v>429</v>
      </c>
      <c r="N59" s="5" t="s">
        <v>430</v>
      </c>
    </row>
    <row r="60" ht="15.75" customHeight="1">
      <c r="A60" s="5" t="s">
        <v>431</v>
      </c>
      <c r="B60" s="5">
        <v>13.0</v>
      </c>
      <c r="C60" s="5" t="s">
        <v>38</v>
      </c>
      <c r="D60" s="5" t="s">
        <v>238</v>
      </c>
      <c r="E60" s="5" t="s">
        <v>239</v>
      </c>
      <c r="F60" s="5" t="s">
        <v>240</v>
      </c>
      <c r="G60" s="5" t="s">
        <v>50</v>
      </c>
      <c r="H60" s="5" t="s">
        <v>51</v>
      </c>
      <c r="I60" s="5" t="s">
        <v>77</v>
      </c>
      <c r="J60" s="5">
        <f t="shared" si="1"/>
        <v>1</v>
      </c>
      <c r="K60" s="5" t="s">
        <v>84</v>
      </c>
      <c r="L60" s="5" t="s">
        <v>84</v>
      </c>
      <c r="M60" s="5" t="s">
        <v>241</v>
      </c>
      <c r="N60" s="5" t="s">
        <v>242</v>
      </c>
    </row>
    <row r="61" ht="15.75" customHeight="1">
      <c r="A61" s="5" t="s">
        <v>431</v>
      </c>
      <c r="B61" s="5">
        <v>16.0</v>
      </c>
      <c r="C61" s="5" t="s">
        <v>38</v>
      </c>
      <c r="D61" s="5" t="s">
        <v>244</v>
      </c>
      <c r="E61" s="5" t="s">
        <v>245</v>
      </c>
      <c r="F61" s="5" t="s">
        <v>247</v>
      </c>
      <c r="G61" s="5" t="s">
        <v>248</v>
      </c>
      <c r="H61" s="5" t="s">
        <v>51</v>
      </c>
      <c r="I61" s="5" t="s">
        <v>77</v>
      </c>
      <c r="J61" s="5">
        <f t="shared" si="1"/>
        <v>1</v>
      </c>
      <c r="K61" s="5" t="s">
        <v>84</v>
      </c>
      <c r="L61" s="5" t="s">
        <v>84</v>
      </c>
      <c r="M61" s="5" t="s">
        <v>249</v>
      </c>
      <c r="N61" s="5" t="s">
        <v>250</v>
      </c>
    </row>
    <row r="62" ht="15.75" customHeight="1">
      <c r="A62" s="5" t="s">
        <v>431</v>
      </c>
      <c r="B62" s="5">
        <v>21.0</v>
      </c>
      <c r="C62" s="5" t="s">
        <v>38</v>
      </c>
      <c r="D62" s="5" t="s">
        <v>366</v>
      </c>
      <c r="E62" s="5" t="s">
        <v>367</v>
      </c>
      <c r="F62" s="5" t="s">
        <v>368</v>
      </c>
      <c r="G62" s="5" t="s">
        <v>111</v>
      </c>
      <c r="H62" s="5" t="s">
        <v>51</v>
      </c>
      <c r="I62" s="5" t="s">
        <v>77</v>
      </c>
      <c r="J62" s="5">
        <f t="shared" si="1"/>
        <v>1</v>
      </c>
      <c r="K62" s="5" t="s">
        <v>84</v>
      </c>
      <c r="L62" s="5" t="s">
        <v>84</v>
      </c>
      <c r="M62" s="5" t="s">
        <v>369</v>
      </c>
      <c r="N62" s="5" t="s">
        <v>250</v>
      </c>
    </row>
    <row r="63" ht="15.75" customHeight="1">
      <c r="A63" s="5" t="s">
        <v>437</v>
      </c>
      <c r="B63" s="5">
        <v>48.0</v>
      </c>
      <c r="C63" s="5" t="s">
        <v>38</v>
      </c>
      <c r="D63" s="5" t="s">
        <v>438</v>
      </c>
      <c r="E63" s="5" t="s">
        <v>439</v>
      </c>
      <c r="F63" s="5" t="s">
        <v>440</v>
      </c>
      <c r="G63" s="5" t="s">
        <v>50</v>
      </c>
      <c r="H63" s="5" t="s">
        <v>51</v>
      </c>
      <c r="I63" s="5" t="s">
        <v>54</v>
      </c>
      <c r="J63" s="5">
        <f t="shared" si="1"/>
        <v>2</v>
      </c>
      <c r="K63" s="5" t="s">
        <v>84</v>
      </c>
      <c r="L63" s="5" t="s">
        <v>266</v>
      </c>
      <c r="M63" s="5" t="s">
        <v>441</v>
      </c>
      <c r="N63" s="5" t="s">
        <v>442</v>
      </c>
    </row>
    <row r="64" ht="15.75" customHeight="1">
      <c r="A64" s="5" t="s">
        <v>437</v>
      </c>
      <c r="B64" s="5">
        <v>40.0</v>
      </c>
      <c r="C64" s="5" t="s">
        <v>38</v>
      </c>
      <c r="D64" s="5" t="s">
        <v>421</v>
      </c>
      <c r="E64" s="5" t="s">
        <v>423</v>
      </c>
      <c r="F64" s="5" t="s">
        <v>425</v>
      </c>
      <c r="G64" s="5" t="s">
        <v>50</v>
      </c>
      <c r="H64" s="5" t="s">
        <v>51</v>
      </c>
      <c r="I64" s="5" t="s">
        <v>70</v>
      </c>
      <c r="J64" s="5">
        <f t="shared" si="1"/>
        <v>0</v>
      </c>
      <c r="K64" s="5" t="s">
        <v>84</v>
      </c>
      <c r="L64" s="5" t="s">
        <v>266</v>
      </c>
      <c r="M64" s="5" t="s">
        <v>429</v>
      </c>
      <c r="N64" s="5" t="s">
        <v>430</v>
      </c>
    </row>
    <row r="65" ht="15.75" customHeight="1">
      <c r="A65" s="5" t="s">
        <v>437</v>
      </c>
      <c r="B65" s="5">
        <v>49.0</v>
      </c>
      <c r="C65" s="5" t="s">
        <v>38</v>
      </c>
      <c r="D65" s="5" t="s">
        <v>443</v>
      </c>
      <c r="E65" s="5" t="s">
        <v>444</v>
      </c>
      <c r="F65" s="5" t="s">
        <v>445</v>
      </c>
      <c r="G65" s="5" t="s">
        <v>111</v>
      </c>
      <c r="H65" s="5" t="s">
        <v>51</v>
      </c>
      <c r="I65" s="5" t="s">
        <v>70</v>
      </c>
      <c r="J65" s="5">
        <f t="shared" si="1"/>
        <v>0</v>
      </c>
      <c r="K65" s="5" t="s">
        <v>84</v>
      </c>
      <c r="L65" s="5" t="s">
        <v>266</v>
      </c>
      <c r="M65" s="5" t="s">
        <v>446</v>
      </c>
      <c r="N65" s="5" t="s">
        <v>447</v>
      </c>
    </row>
    <row r="66" ht="15.75" customHeight="1">
      <c r="A66" s="5" t="s">
        <v>448</v>
      </c>
      <c r="B66" s="5">
        <v>48.0</v>
      </c>
      <c r="C66" s="5" t="s">
        <v>38</v>
      </c>
      <c r="D66" s="5" t="s">
        <v>438</v>
      </c>
      <c r="E66" s="5" t="s">
        <v>439</v>
      </c>
      <c r="F66" s="5" t="s">
        <v>440</v>
      </c>
      <c r="G66" s="5" t="s">
        <v>50</v>
      </c>
      <c r="H66" s="5" t="s">
        <v>51</v>
      </c>
      <c r="I66" s="5" t="s">
        <v>54</v>
      </c>
      <c r="J66" s="5">
        <f t="shared" si="1"/>
        <v>2</v>
      </c>
      <c r="K66" s="5" t="s">
        <v>84</v>
      </c>
      <c r="L66" s="5" t="s">
        <v>266</v>
      </c>
      <c r="M66" s="5" t="s">
        <v>441</v>
      </c>
      <c r="N66" s="5" t="s">
        <v>442</v>
      </c>
    </row>
    <row r="67" ht="15.75" customHeight="1">
      <c r="A67" s="5" t="s">
        <v>448</v>
      </c>
      <c r="B67" s="5">
        <v>49.0</v>
      </c>
      <c r="C67" s="5" t="s">
        <v>38</v>
      </c>
      <c r="D67" s="5" t="s">
        <v>443</v>
      </c>
      <c r="E67" s="5" t="s">
        <v>444</v>
      </c>
      <c r="F67" s="5" t="s">
        <v>445</v>
      </c>
      <c r="G67" s="5" t="s">
        <v>111</v>
      </c>
      <c r="H67" s="5" t="s">
        <v>51</v>
      </c>
      <c r="I67" s="5" t="s">
        <v>70</v>
      </c>
      <c r="J67" s="5">
        <f t="shared" si="1"/>
        <v>0</v>
      </c>
      <c r="K67" s="5" t="s">
        <v>84</v>
      </c>
      <c r="L67" s="5" t="s">
        <v>266</v>
      </c>
      <c r="M67" s="5" t="s">
        <v>446</v>
      </c>
      <c r="N67" s="5" t="s">
        <v>447</v>
      </c>
    </row>
    <row r="68" ht="15.75" customHeight="1">
      <c r="A68" s="5" t="s">
        <v>455</v>
      </c>
      <c r="B68" s="5">
        <v>2.0</v>
      </c>
      <c r="C68" s="5" t="s">
        <v>38</v>
      </c>
      <c r="D68" s="5" t="s">
        <v>456</v>
      </c>
      <c r="E68" s="5" t="s">
        <v>457</v>
      </c>
      <c r="F68" s="5" t="s">
        <v>458</v>
      </c>
      <c r="G68" s="5" t="s">
        <v>50</v>
      </c>
      <c r="H68" s="5" t="s">
        <v>51</v>
      </c>
      <c r="I68" s="5" t="s">
        <v>97</v>
      </c>
      <c r="J68" s="5">
        <f t="shared" si="1"/>
        <v>3</v>
      </c>
      <c r="K68" s="5" t="s">
        <v>84</v>
      </c>
      <c r="L68" s="5" t="s">
        <v>84</v>
      </c>
      <c r="M68" s="5" t="s">
        <v>459</v>
      </c>
      <c r="N68" s="5" t="s">
        <v>460</v>
      </c>
    </row>
    <row r="69" ht="15.75" customHeight="1">
      <c r="A69" s="5" t="s">
        <v>455</v>
      </c>
      <c r="B69" s="5">
        <v>63.0</v>
      </c>
      <c r="C69" s="5" t="s">
        <v>38</v>
      </c>
      <c r="D69" s="5" t="s">
        <v>461</v>
      </c>
      <c r="E69" s="5" t="s">
        <v>462</v>
      </c>
      <c r="F69" s="5" t="s">
        <v>463</v>
      </c>
      <c r="G69" s="5" t="s">
        <v>96</v>
      </c>
      <c r="H69" s="5" t="s">
        <v>99</v>
      </c>
      <c r="I69" s="5" t="s">
        <v>97</v>
      </c>
      <c r="J69" s="5">
        <f t="shared" si="1"/>
        <v>3</v>
      </c>
      <c r="K69" s="5" t="s">
        <v>84</v>
      </c>
      <c r="L69" s="5" t="s">
        <v>84</v>
      </c>
      <c r="M69" s="5" t="s">
        <v>464</v>
      </c>
      <c r="N69" s="5" t="s">
        <v>460</v>
      </c>
    </row>
    <row r="70" ht="15.75" customHeight="1">
      <c r="A70" s="5" t="s">
        <v>455</v>
      </c>
      <c r="B70" s="5">
        <v>66.0</v>
      </c>
      <c r="C70" s="5" t="s">
        <v>38</v>
      </c>
      <c r="D70" s="5" t="s">
        <v>465</v>
      </c>
      <c r="E70" s="5" t="s">
        <v>466</v>
      </c>
      <c r="F70" s="5" t="s">
        <v>467</v>
      </c>
      <c r="G70" s="5" t="s">
        <v>96</v>
      </c>
      <c r="H70" s="5" t="s">
        <v>99</v>
      </c>
      <c r="I70" s="5" t="s">
        <v>97</v>
      </c>
      <c r="J70" s="5">
        <f t="shared" si="1"/>
        <v>3</v>
      </c>
      <c r="K70" s="5" t="s">
        <v>84</v>
      </c>
      <c r="L70" s="5" t="s">
        <v>84</v>
      </c>
      <c r="M70" s="5" t="s">
        <v>468</v>
      </c>
      <c r="N70" s="5" t="s">
        <v>250</v>
      </c>
    </row>
    <row r="71" ht="15.75" customHeight="1">
      <c r="A71" s="5" t="s">
        <v>469</v>
      </c>
      <c r="B71" s="5">
        <v>52.0</v>
      </c>
      <c r="C71" s="5" t="s">
        <v>38</v>
      </c>
      <c r="D71" s="5" t="s">
        <v>470</v>
      </c>
      <c r="E71" s="5" t="s">
        <v>471</v>
      </c>
      <c r="F71" s="5" t="s">
        <v>472</v>
      </c>
      <c r="G71" s="5" t="s">
        <v>248</v>
      </c>
      <c r="H71" s="5" t="s">
        <v>51</v>
      </c>
      <c r="I71" s="5" t="s">
        <v>97</v>
      </c>
      <c r="J71" s="5">
        <f t="shared" si="1"/>
        <v>3</v>
      </c>
      <c r="K71" s="5" t="s">
        <v>84</v>
      </c>
      <c r="L71" s="5" t="s">
        <v>266</v>
      </c>
      <c r="M71" s="5" t="s">
        <v>473</v>
      </c>
      <c r="N71" s="5" t="s">
        <v>474</v>
      </c>
    </row>
    <row r="72" ht="15.75" customHeight="1">
      <c r="A72" s="5" t="s">
        <v>469</v>
      </c>
      <c r="B72" s="5">
        <v>50.0</v>
      </c>
      <c r="C72" s="5" t="s">
        <v>38</v>
      </c>
      <c r="D72" s="5" t="s">
        <v>386</v>
      </c>
      <c r="E72" s="5" t="s">
        <v>387</v>
      </c>
      <c r="F72" s="5" t="s">
        <v>388</v>
      </c>
      <c r="G72" s="5" t="s">
        <v>50</v>
      </c>
      <c r="H72" s="5" t="s">
        <v>51</v>
      </c>
      <c r="I72" s="5" t="s">
        <v>54</v>
      </c>
      <c r="J72" s="5">
        <f t="shared" si="1"/>
        <v>2</v>
      </c>
      <c r="K72" s="5" t="s">
        <v>84</v>
      </c>
      <c r="L72" s="5" t="s">
        <v>147</v>
      </c>
      <c r="M72" s="5" t="s">
        <v>390</v>
      </c>
      <c r="N72" s="5" t="s">
        <v>391</v>
      </c>
    </row>
    <row r="73" ht="15.75" customHeight="1">
      <c r="A73" s="5" t="s">
        <v>475</v>
      </c>
      <c r="B73" s="5">
        <v>66.0</v>
      </c>
      <c r="C73" s="5" t="s">
        <v>38</v>
      </c>
      <c r="D73" s="5" t="s">
        <v>465</v>
      </c>
      <c r="E73" s="5" t="s">
        <v>466</v>
      </c>
      <c r="F73" s="5" t="s">
        <v>467</v>
      </c>
      <c r="G73" s="5" t="s">
        <v>96</v>
      </c>
      <c r="H73" s="5" t="s">
        <v>99</v>
      </c>
      <c r="I73" s="5" t="s">
        <v>97</v>
      </c>
      <c r="J73" s="5">
        <f t="shared" si="1"/>
        <v>3</v>
      </c>
      <c r="K73" s="5" t="s">
        <v>84</v>
      </c>
      <c r="L73" s="5" t="s">
        <v>84</v>
      </c>
      <c r="M73" s="5" t="s">
        <v>468</v>
      </c>
      <c r="N73" s="5" t="s">
        <v>250</v>
      </c>
    </row>
    <row r="74" ht="15.75" customHeight="1">
      <c r="A74" s="5" t="s">
        <v>475</v>
      </c>
      <c r="B74" s="5">
        <v>41.0</v>
      </c>
      <c r="C74" s="5" t="s">
        <v>38</v>
      </c>
      <c r="D74" s="5" t="s">
        <v>480</v>
      </c>
      <c r="E74" s="5" t="s">
        <v>481</v>
      </c>
      <c r="F74" s="5" t="s">
        <v>482</v>
      </c>
      <c r="G74" s="5" t="s">
        <v>111</v>
      </c>
      <c r="H74" s="5" t="s">
        <v>51</v>
      </c>
      <c r="I74" s="5" t="s">
        <v>70</v>
      </c>
      <c r="J74" s="5">
        <f t="shared" si="1"/>
        <v>0</v>
      </c>
      <c r="K74" s="5" t="s">
        <v>84</v>
      </c>
      <c r="L74" s="5" t="s">
        <v>84</v>
      </c>
      <c r="M74" s="5" t="s">
        <v>485</v>
      </c>
      <c r="N74" s="5" t="s">
        <v>486</v>
      </c>
    </row>
    <row r="75" ht="15.75" customHeight="1">
      <c r="A75" s="5" t="s">
        <v>487</v>
      </c>
      <c r="B75" s="5">
        <v>67.0</v>
      </c>
      <c r="C75" s="5" t="s">
        <v>38</v>
      </c>
      <c r="D75" s="5" t="s">
        <v>327</v>
      </c>
      <c r="E75" s="5" t="s">
        <v>328</v>
      </c>
      <c r="F75" s="5" t="s">
        <v>329</v>
      </c>
      <c r="G75" s="5" t="s">
        <v>96</v>
      </c>
      <c r="H75" s="5" t="s">
        <v>99</v>
      </c>
      <c r="I75" s="5" t="s">
        <v>54</v>
      </c>
      <c r="J75" s="5">
        <f t="shared" si="1"/>
        <v>2</v>
      </c>
      <c r="K75" s="5" t="s">
        <v>84</v>
      </c>
      <c r="L75" s="5" t="s">
        <v>82</v>
      </c>
      <c r="M75" s="5" t="s">
        <v>331</v>
      </c>
      <c r="N75" s="5" t="s">
        <v>332</v>
      </c>
    </row>
    <row r="76" ht="15.75" customHeight="1">
      <c r="A76" s="5" t="s">
        <v>487</v>
      </c>
      <c r="B76" s="5">
        <v>15.0</v>
      </c>
      <c r="C76" s="5" t="s">
        <v>38</v>
      </c>
      <c r="D76" s="5" t="s">
        <v>333</v>
      </c>
      <c r="E76" s="5" t="s">
        <v>334</v>
      </c>
      <c r="F76" s="5" t="s">
        <v>335</v>
      </c>
      <c r="G76" s="5" t="s">
        <v>50</v>
      </c>
      <c r="H76" s="5" t="s">
        <v>51</v>
      </c>
      <c r="I76" s="5" t="s">
        <v>77</v>
      </c>
      <c r="J76" s="5">
        <f t="shared" si="1"/>
        <v>1</v>
      </c>
      <c r="K76" s="5" t="s">
        <v>82</v>
      </c>
      <c r="L76" s="5" t="s">
        <v>82</v>
      </c>
      <c r="M76" s="5" t="s">
        <v>336</v>
      </c>
      <c r="N76" s="5" t="s">
        <v>332</v>
      </c>
    </row>
    <row r="77" ht="15.75" customHeight="1">
      <c r="A77" s="5" t="s">
        <v>487</v>
      </c>
      <c r="B77" s="5">
        <v>60.0</v>
      </c>
      <c r="C77" s="5" t="s">
        <v>38</v>
      </c>
      <c r="D77" s="5" t="s">
        <v>337</v>
      </c>
      <c r="E77" s="5" t="s">
        <v>338</v>
      </c>
      <c r="F77" s="5" t="s">
        <v>339</v>
      </c>
      <c r="G77" s="5" t="s">
        <v>96</v>
      </c>
      <c r="H77" s="5" t="s">
        <v>99</v>
      </c>
      <c r="I77" s="5" t="s">
        <v>77</v>
      </c>
      <c r="J77" s="5">
        <f t="shared" si="1"/>
        <v>1</v>
      </c>
      <c r="K77" s="5" t="s">
        <v>84</v>
      </c>
      <c r="L77" s="5" t="s">
        <v>82</v>
      </c>
      <c r="M77" s="5" t="s">
        <v>340</v>
      </c>
      <c r="N77" s="5" t="s">
        <v>341</v>
      </c>
    </row>
    <row r="78" ht="15.75" customHeight="1">
      <c r="A78" s="5" t="s">
        <v>490</v>
      </c>
      <c r="B78" s="5">
        <v>65.0</v>
      </c>
      <c r="C78" s="5" t="s">
        <v>38</v>
      </c>
      <c r="D78" s="5" t="s">
        <v>343</v>
      </c>
      <c r="E78" s="5" t="s">
        <v>344</v>
      </c>
      <c r="F78" s="5" t="s">
        <v>345</v>
      </c>
      <c r="G78" s="5" t="s">
        <v>96</v>
      </c>
      <c r="H78" s="5" t="s">
        <v>99</v>
      </c>
      <c r="I78" s="5" t="s">
        <v>54</v>
      </c>
      <c r="J78" s="5">
        <f t="shared" si="1"/>
        <v>2</v>
      </c>
      <c r="K78" s="5" t="s">
        <v>266</v>
      </c>
      <c r="L78" s="5" t="s">
        <v>82</v>
      </c>
      <c r="M78" s="5" t="s">
        <v>346</v>
      </c>
      <c r="N78" s="5" t="s">
        <v>347</v>
      </c>
    </row>
    <row r="79" ht="15.75" customHeight="1">
      <c r="A79" s="5" t="s">
        <v>490</v>
      </c>
      <c r="B79" s="5">
        <v>61.0</v>
      </c>
      <c r="C79" s="5" t="s">
        <v>38</v>
      </c>
      <c r="D79" s="5" t="s">
        <v>360</v>
      </c>
      <c r="E79" s="5" t="s">
        <v>361</v>
      </c>
      <c r="F79" s="5" t="s">
        <v>362</v>
      </c>
      <c r="G79" s="5" t="s">
        <v>96</v>
      </c>
      <c r="H79" s="5" t="s">
        <v>99</v>
      </c>
      <c r="I79" s="5" t="s">
        <v>77</v>
      </c>
      <c r="J79" s="5">
        <f t="shared" si="1"/>
        <v>1</v>
      </c>
      <c r="K79" s="5" t="s">
        <v>82</v>
      </c>
      <c r="L79" s="5" t="s">
        <v>84</v>
      </c>
      <c r="M79" s="5" t="s">
        <v>363</v>
      </c>
      <c r="N79" s="5" t="s">
        <v>364</v>
      </c>
    </row>
    <row r="80" ht="15.75" customHeight="1">
      <c r="A80" s="5" t="s">
        <v>490</v>
      </c>
      <c r="B80" s="5">
        <v>68.0</v>
      </c>
      <c r="C80" s="5" t="s">
        <v>38</v>
      </c>
      <c r="D80" s="5" t="s">
        <v>491</v>
      </c>
      <c r="E80" s="5" t="s">
        <v>492</v>
      </c>
      <c r="F80" s="5" t="s">
        <v>493</v>
      </c>
      <c r="G80" s="5" t="s">
        <v>278</v>
      </c>
      <c r="H80" s="5" t="s">
        <v>99</v>
      </c>
      <c r="I80" s="5" t="s">
        <v>70</v>
      </c>
      <c r="J80" s="5">
        <f t="shared" si="1"/>
        <v>0</v>
      </c>
      <c r="K80" s="5" t="s">
        <v>266</v>
      </c>
      <c r="L80" s="5" t="s">
        <v>84</v>
      </c>
      <c r="M80" s="5" t="s">
        <v>494</v>
      </c>
      <c r="N80" s="5" t="s">
        <v>460</v>
      </c>
    </row>
    <row r="81" ht="15.75" customHeight="1">
      <c r="A81" s="5" t="s">
        <v>496</v>
      </c>
      <c r="B81" s="5">
        <v>65.0</v>
      </c>
      <c r="C81" s="5" t="s">
        <v>38</v>
      </c>
      <c r="D81" s="5" t="s">
        <v>343</v>
      </c>
      <c r="E81" s="5" t="s">
        <v>344</v>
      </c>
      <c r="F81" s="5" t="s">
        <v>345</v>
      </c>
      <c r="G81" s="5" t="s">
        <v>96</v>
      </c>
      <c r="H81" s="5" t="s">
        <v>99</v>
      </c>
      <c r="I81" s="5" t="s">
        <v>54</v>
      </c>
      <c r="J81" s="5">
        <f t="shared" si="1"/>
        <v>2</v>
      </c>
      <c r="K81" s="5" t="s">
        <v>266</v>
      </c>
      <c r="L81" s="5" t="s">
        <v>82</v>
      </c>
      <c r="M81" s="5" t="s">
        <v>346</v>
      </c>
      <c r="N81" s="5" t="s">
        <v>347</v>
      </c>
    </row>
    <row r="82" ht="15.75" customHeight="1">
      <c r="A82" s="5" t="s">
        <v>500</v>
      </c>
      <c r="B82" s="5">
        <v>5.0</v>
      </c>
      <c r="C82" s="5" t="s">
        <v>38</v>
      </c>
      <c r="D82" s="5" t="s">
        <v>200</v>
      </c>
      <c r="E82" s="5" t="s">
        <v>201</v>
      </c>
      <c r="F82" s="5" t="s">
        <v>202</v>
      </c>
      <c r="G82" s="5" t="s">
        <v>50</v>
      </c>
      <c r="H82" s="5" t="s">
        <v>51</v>
      </c>
      <c r="I82" s="5" t="s">
        <v>54</v>
      </c>
      <c r="J82" s="5">
        <f t="shared" si="1"/>
        <v>2</v>
      </c>
      <c r="K82" s="5" t="s">
        <v>82</v>
      </c>
      <c r="L82" s="5" t="s">
        <v>147</v>
      </c>
      <c r="M82" s="5" t="s">
        <v>205</v>
      </c>
      <c r="N82" s="5" t="s">
        <v>206</v>
      </c>
    </row>
    <row r="83" ht="15.75" customHeight="1">
      <c r="A83" s="5" t="s">
        <v>500</v>
      </c>
      <c r="B83" s="5">
        <v>20.0</v>
      </c>
      <c r="C83" s="5" t="s">
        <v>38</v>
      </c>
      <c r="D83" s="5" t="s">
        <v>207</v>
      </c>
      <c r="E83" s="5" t="s">
        <v>209</v>
      </c>
      <c r="F83" s="5" t="s">
        <v>210</v>
      </c>
      <c r="G83" s="5" t="s">
        <v>50</v>
      </c>
      <c r="H83" s="5" t="s">
        <v>51</v>
      </c>
      <c r="I83" s="5" t="s">
        <v>54</v>
      </c>
      <c r="J83" s="5">
        <f t="shared" si="1"/>
        <v>2</v>
      </c>
      <c r="K83" s="5" t="s">
        <v>82</v>
      </c>
      <c r="L83" s="5" t="s">
        <v>147</v>
      </c>
      <c r="M83" s="5" t="s">
        <v>212</v>
      </c>
      <c r="N83" s="5" t="s">
        <v>206</v>
      </c>
    </row>
    <row r="84" ht="15.75" customHeight="1">
      <c r="A84" s="5" t="s">
        <v>500</v>
      </c>
      <c r="B84" s="5">
        <v>6.0</v>
      </c>
      <c r="C84" s="5" t="s">
        <v>38</v>
      </c>
      <c r="D84" s="5" t="s">
        <v>177</v>
      </c>
      <c r="E84" s="5" t="s">
        <v>178</v>
      </c>
      <c r="F84" s="5" t="s">
        <v>180</v>
      </c>
      <c r="G84" s="5" t="s">
        <v>50</v>
      </c>
      <c r="H84" s="5" t="s">
        <v>51</v>
      </c>
      <c r="I84" s="5" t="s">
        <v>77</v>
      </c>
      <c r="J84" s="5">
        <f t="shared" si="1"/>
        <v>1</v>
      </c>
      <c r="K84" s="5" t="s">
        <v>82</v>
      </c>
      <c r="L84" s="5" t="s">
        <v>147</v>
      </c>
      <c r="M84" s="5" t="s">
        <v>186</v>
      </c>
      <c r="N84" s="5" t="s">
        <v>187</v>
      </c>
    </row>
    <row r="85" ht="15.75" customHeight="1">
      <c r="A85" s="5" t="s">
        <v>502</v>
      </c>
      <c r="B85" s="5">
        <v>5.0</v>
      </c>
      <c r="C85" s="5" t="s">
        <v>38</v>
      </c>
      <c r="D85" s="5" t="s">
        <v>200</v>
      </c>
      <c r="E85" s="5" t="s">
        <v>201</v>
      </c>
      <c r="F85" s="5" t="s">
        <v>202</v>
      </c>
      <c r="G85" s="5" t="s">
        <v>50</v>
      </c>
      <c r="H85" s="5" t="s">
        <v>51</v>
      </c>
      <c r="I85" s="5" t="s">
        <v>54</v>
      </c>
      <c r="J85" s="5">
        <f t="shared" si="1"/>
        <v>2</v>
      </c>
      <c r="K85" s="5" t="s">
        <v>82</v>
      </c>
      <c r="L85" s="5" t="s">
        <v>147</v>
      </c>
      <c r="M85" s="5" t="s">
        <v>205</v>
      </c>
      <c r="N85" s="5" t="s">
        <v>206</v>
      </c>
    </row>
    <row r="86" ht="15.75" customHeight="1">
      <c r="A86" s="5" t="s">
        <v>502</v>
      </c>
      <c r="B86" s="5">
        <v>6.0</v>
      </c>
      <c r="C86" s="5" t="s">
        <v>38</v>
      </c>
      <c r="D86" s="5" t="s">
        <v>177</v>
      </c>
      <c r="E86" s="5" t="s">
        <v>178</v>
      </c>
      <c r="F86" s="5" t="s">
        <v>180</v>
      </c>
      <c r="G86" s="5" t="s">
        <v>50</v>
      </c>
      <c r="H86" s="5" t="s">
        <v>51</v>
      </c>
      <c r="I86" s="5" t="s">
        <v>77</v>
      </c>
      <c r="J86" s="5">
        <f t="shared" si="1"/>
        <v>1</v>
      </c>
      <c r="K86" s="5" t="s">
        <v>82</v>
      </c>
      <c r="L86" s="5" t="s">
        <v>147</v>
      </c>
      <c r="M86" s="5" t="s">
        <v>186</v>
      </c>
      <c r="N86" s="5" t="s">
        <v>187</v>
      </c>
    </row>
    <row r="87" ht="15.75" customHeight="1">
      <c r="A87" s="5" t="s">
        <v>509</v>
      </c>
      <c r="B87" s="5">
        <v>65.0</v>
      </c>
      <c r="C87" s="5" t="s">
        <v>38</v>
      </c>
      <c r="D87" s="5" t="s">
        <v>343</v>
      </c>
      <c r="E87" s="5" t="s">
        <v>344</v>
      </c>
      <c r="F87" s="5" t="s">
        <v>345</v>
      </c>
      <c r="G87" s="5" t="s">
        <v>96</v>
      </c>
      <c r="H87" s="5" t="s">
        <v>99</v>
      </c>
      <c r="I87" s="5" t="s">
        <v>54</v>
      </c>
      <c r="J87" s="5">
        <f t="shared" si="1"/>
        <v>2</v>
      </c>
      <c r="K87" s="5" t="s">
        <v>266</v>
      </c>
      <c r="L87" s="5" t="s">
        <v>82</v>
      </c>
      <c r="M87" s="5" t="s">
        <v>346</v>
      </c>
      <c r="N87" s="5" t="s">
        <v>347</v>
      </c>
    </row>
    <row r="88" ht="15.75" customHeight="1">
      <c r="A88" s="5" t="s">
        <v>510</v>
      </c>
      <c r="B88" s="5">
        <v>65.0</v>
      </c>
      <c r="C88" s="5" t="s">
        <v>38</v>
      </c>
      <c r="D88" s="5" t="s">
        <v>343</v>
      </c>
      <c r="E88" s="5" t="s">
        <v>344</v>
      </c>
      <c r="F88" s="5" t="s">
        <v>345</v>
      </c>
      <c r="G88" s="5" t="s">
        <v>96</v>
      </c>
      <c r="H88" s="5" t="s">
        <v>99</v>
      </c>
      <c r="I88" s="5" t="s">
        <v>54</v>
      </c>
      <c r="J88" s="5">
        <f t="shared" si="1"/>
        <v>2</v>
      </c>
      <c r="K88" s="5" t="s">
        <v>266</v>
      </c>
      <c r="L88" s="5" t="s">
        <v>82</v>
      </c>
      <c r="M88" s="5" t="s">
        <v>346</v>
      </c>
      <c r="N88" s="5" t="s">
        <v>347</v>
      </c>
    </row>
    <row r="89" ht="15.75" customHeight="1">
      <c r="A89" s="5" t="s">
        <v>511</v>
      </c>
      <c r="B89" s="5">
        <v>76.0</v>
      </c>
      <c r="C89" s="5" t="s">
        <v>320</v>
      </c>
      <c r="D89" s="5" t="s">
        <v>321</v>
      </c>
      <c r="E89" s="5" t="s">
        <v>322</v>
      </c>
      <c r="F89" s="5" t="s">
        <v>323</v>
      </c>
      <c r="G89" s="5" t="s">
        <v>272</v>
      </c>
      <c r="H89" s="5" t="s">
        <v>99</v>
      </c>
      <c r="I89" s="5" t="s">
        <v>97</v>
      </c>
      <c r="J89" s="5">
        <f t="shared" si="1"/>
        <v>3</v>
      </c>
      <c r="K89" s="5" t="s">
        <v>266</v>
      </c>
      <c r="L89" s="5" t="s">
        <v>82</v>
      </c>
      <c r="M89" s="5" t="s">
        <v>324</v>
      </c>
      <c r="N89" s="5" t="s">
        <v>325</v>
      </c>
    </row>
    <row r="90" ht="15.75" customHeight="1">
      <c r="A90" s="5" t="s">
        <v>511</v>
      </c>
      <c r="B90" s="5">
        <v>77.0</v>
      </c>
      <c r="C90" s="5" t="s">
        <v>320</v>
      </c>
      <c r="D90" s="5" t="s">
        <v>515</v>
      </c>
      <c r="E90" s="5" t="s">
        <v>516</v>
      </c>
      <c r="F90" s="5" t="s">
        <v>517</v>
      </c>
      <c r="G90" s="5" t="s">
        <v>272</v>
      </c>
      <c r="H90" s="5" t="s">
        <v>99</v>
      </c>
      <c r="I90" s="5" t="s">
        <v>97</v>
      </c>
      <c r="J90" s="5">
        <f t="shared" si="1"/>
        <v>3</v>
      </c>
      <c r="K90" s="5" t="s">
        <v>266</v>
      </c>
      <c r="L90" s="5" t="s">
        <v>82</v>
      </c>
      <c r="M90" s="5" t="s">
        <v>520</v>
      </c>
      <c r="N90" s="5" t="s">
        <v>325</v>
      </c>
    </row>
    <row r="91" ht="15.75" customHeight="1">
      <c r="A91" s="5" t="s">
        <v>521</v>
      </c>
      <c r="B91" s="5">
        <v>76.0</v>
      </c>
      <c r="C91" s="5" t="s">
        <v>320</v>
      </c>
      <c r="D91" s="5" t="s">
        <v>321</v>
      </c>
      <c r="E91" s="5" t="s">
        <v>322</v>
      </c>
      <c r="F91" s="5" t="s">
        <v>323</v>
      </c>
      <c r="G91" s="5" t="s">
        <v>272</v>
      </c>
      <c r="H91" s="5" t="s">
        <v>99</v>
      </c>
      <c r="I91" s="5" t="s">
        <v>97</v>
      </c>
      <c r="J91" s="5">
        <f t="shared" si="1"/>
        <v>3</v>
      </c>
      <c r="K91" s="5" t="s">
        <v>266</v>
      </c>
      <c r="L91" s="5" t="s">
        <v>82</v>
      </c>
      <c r="M91" s="5" t="s">
        <v>324</v>
      </c>
      <c r="N91" s="5" t="s">
        <v>325</v>
      </c>
    </row>
    <row r="92" ht="15.75" customHeight="1">
      <c r="A92" s="5" t="s">
        <v>523</v>
      </c>
      <c r="B92" s="5">
        <v>77.0</v>
      </c>
      <c r="C92" s="5" t="s">
        <v>320</v>
      </c>
      <c r="D92" s="5" t="s">
        <v>515</v>
      </c>
      <c r="E92" s="5" t="s">
        <v>516</v>
      </c>
      <c r="F92" s="5" t="s">
        <v>517</v>
      </c>
      <c r="G92" s="5" t="s">
        <v>272</v>
      </c>
      <c r="H92" s="5" t="s">
        <v>99</v>
      </c>
      <c r="I92" s="5" t="s">
        <v>97</v>
      </c>
      <c r="J92" s="5">
        <f t="shared" si="1"/>
        <v>3</v>
      </c>
      <c r="K92" s="5" t="s">
        <v>266</v>
      </c>
      <c r="L92" s="5" t="s">
        <v>82</v>
      </c>
      <c r="M92" s="5" t="s">
        <v>520</v>
      </c>
      <c r="N92" s="5" t="s">
        <v>325</v>
      </c>
    </row>
    <row r="93" ht="15.75" customHeight="1">
      <c r="A93" s="5" t="s">
        <v>524</v>
      </c>
      <c r="B93" s="5">
        <v>1.0</v>
      </c>
      <c r="C93" s="5" t="s">
        <v>38</v>
      </c>
      <c r="D93" s="5" t="s">
        <v>525</v>
      </c>
      <c r="E93" s="5" t="s">
        <v>526</v>
      </c>
      <c r="F93" s="5" t="s">
        <v>527</v>
      </c>
      <c r="G93" s="5" t="s">
        <v>50</v>
      </c>
      <c r="H93" s="5" t="s">
        <v>51</v>
      </c>
      <c r="I93" s="5" t="s">
        <v>97</v>
      </c>
      <c r="J93" s="5">
        <f t="shared" si="1"/>
        <v>3</v>
      </c>
      <c r="K93" s="5" t="s">
        <v>84</v>
      </c>
      <c r="L93" s="5" t="s">
        <v>84</v>
      </c>
      <c r="M93" s="5" t="s">
        <v>528</v>
      </c>
      <c r="N93" s="5" t="s">
        <v>474</v>
      </c>
    </row>
    <row r="94" ht="15.75" customHeight="1">
      <c r="A94" s="5" t="s">
        <v>524</v>
      </c>
      <c r="B94" s="5">
        <v>61.0</v>
      </c>
      <c r="C94" s="5" t="s">
        <v>38</v>
      </c>
      <c r="D94" s="5" t="s">
        <v>360</v>
      </c>
      <c r="E94" s="5" t="s">
        <v>361</v>
      </c>
      <c r="F94" s="5" t="s">
        <v>362</v>
      </c>
      <c r="G94" s="5" t="s">
        <v>96</v>
      </c>
      <c r="H94" s="5" t="s">
        <v>99</v>
      </c>
      <c r="I94" s="5" t="s">
        <v>77</v>
      </c>
      <c r="J94" s="5">
        <f t="shared" si="1"/>
        <v>1</v>
      </c>
      <c r="K94" s="5" t="s">
        <v>82</v>
      </c>
      <c r="L94" s="5" t="s">
        <v>84</v>
      </c>
      <c r="M94" s="5" t="s">
        <v>363</v>
      </c>
      <c r="N94" s="5" t="s">
        <v>364</v>
      </c>
    </row>
    <row r="95" ht="15.75" customHeight="1">
      <c r="A95" s="5" t="s">
        <v>533</v>
      </c>
      <c r="B95" s="5">
        <v>35.0</v>
      </c>
      <c r="C95" s="5" t="s">
        <v>38</v>
      </c>
      <c r="D95" s="5" t="s">
        <v>535</v>
      </c>
      <c r="E95" s="5" t="s">
        <v>536</v>
      </c>
      <c r="F95" s="5" t="s">
        <v>538</v>
      </c>
      <c r="G95" s="5" t="s">
        <v>111</v>
      </c>
      <c r="H95" s="5" t="s">
        <v>51</v>
      </c>
      <c r="I95" s="5" t="s">
        <v>70</v>
      </c>
      <c r="J95" s="5">
        <f t="shared" si="1"/>
        <v>0</v>
      </c>
      <c r="K95" s="5" t="s">
        <v>82</v>
      </c>
      <c r="L95" s="5" t="s">
        <v>266</v>
      </c>
      <c r="M95" s="5" t="s">
        <v>541</v>
      </c>
      <c r="N95" s="5" t="s">
        <v>242</v>
      </c>
    </row>
    <row r="96" ht="15.75" customHeight="1">
      <c r="A96" s="5" t="s">
        <v>533</v>
      </c>
      <c r="B96" s="5">
        <v>34.0</v>
      </c>
      <c r="C96" s="5" t="s">
        <v>38</v>
      </c>
      <c r="D96" s="5" t="s">
        <v>543</v>
      </c>
      <c r="E96" s="5" t="s">
        <v>544</v>
      </c>
      <c r="F96" s="5" t="s">
        <v>545</v>
      </c>
      <c r="G96" s="5" t="s">
        <v>111</v>
      </c>
      <c r="H96" s="5" t="s">
        <v>51</v>
      </c>
      <c r="I96" s="5" t="s">
        <v>70</v>
      </c>
      <c r="J96" s="5">
        <f t="shared" si="1"/>
        <v>0</v>
      </c>
      <c r="K96" s="5" t="s">
        <v>82</v>
      </c>
      <c r="L96" s="5" t="s">
        <v>84</v>
      </c>
      <c r="M96" s="5" t="s">
        <v>546</v>
      </c>
      <c r="N96" s="5" t="s">
        <v>242</v>
      </c>
    </row>
    <row r="97" ht="15.75" customHeight="1">
      <c r="A97" s="5" t="s">
        <v>547</v>
      </c>
      <c r="B97" s="5">
        <v>74.0</v>
      </c>
      <c r="C97" s="5" t="s">
        <v>38</v>
      </c>
      <c r="D97" s="5" t="s">
        <v>548</v>
      </c>
      <c r="E97" s="5" t="s">
        <v>549</v>
      </c>
      <c r="F97" s="5" t="s">
        <v>550</v>
      </c>
      <c r="G97" s="5" t="s">
        <v>272</v>
      </c>
      <c r="H97" s="5" t="s">
        <v>99</v>
      </c>
      <c r="I97" s="5" t="s">
        <v>97</v>
      </c>
      <c r="J97" s="5">
        <f t="shared" si="1"/>
        <v>3</v>
      </c>
      <c r="K97" s="5" t="s">
        <v>266</v>
      </c>
      <c r="L97" s="5" t="s">
        <v>82</v>
      </c>
      <c r="M97" s="5" t="s">
        <v>551</v>
      </c>
      <c r="N97" s="5" t="s">
        <v>552</v>
      </c>
    </row>
    <row r="98" ht="15.75" customHeight="1">
      <c r="A98" s="5" t="s">
        <v>547</v>
      </c>
      <c r="B98" s="5">
        <v>67.0</v>
      </c>
      <c r="C98" s="5" t="s">
        <v>38</v>
      </c>
      <c r="D98" s="5" t="s">
        <v>327</v>
      </c>
      <c r="E98" s="5" t="s">
        <v>328</v>
      </c>
      <c r="F98" s="5" t="s">
        <v>329</v>
      </c>
      <c r="G98" s="5" t="s">
        <v>96</v>
      </c>
      <c r="H98" s="5" t="s">
        <v>99</v>
      </c>
      <c r="I98" s="5" t="s">
        <v>54</v>
      </c>
      <c r="J98" s="5">
        <f t="shared" si="1"/>
        <v>2</v>
      </c>
      <c r="K98" s="5" t="s">
        <v>84</v>
      </c>
      <c r="L98" s="5" t="s">
        <v>82</v>
      </c>
      <c r="M98" s="5" t="s">
        <v>331</v>
      </c>
      <c r="N98" s="5" t="s">
        <v>332</v>
      </c>
    </row>
    <row r="99" ht="15.75" customHeight="1">
      <c r="A99" s="5" t="s">
        <v>557</v>
      </c>
      <c r="B99" s="5">
        <v>74.0</v>
      </c>
      <c r="C99" s="5" t="s">
        <v>38</v>
      </c>
      <c r="D99" s="5" t="s">
        <v>548</v>
      </c>
      <c r="E99" s="5" t="s">
        <v>549</v>
      </c>
      <c r="F99" s="5" t="s">
        <v>550</v>
      </c>
      <c r="G99" s="5" t="s">
        <v>272</v>
      </c>
      <c r="H99" s="5" t="s">
        <v>99</v>
      </c>
      <c r="I99" s="5" t="s">
        <v>97</v>
      </c>
      <c r="J99" s="5">
        <f t="shared" si="1"/>
        <v>3</v>
      </c>
      <c r="K99" s="5" t="s">
        <v>266</v>
      </c>
      <c r="L99" s="5" t="s">
        <v>82</v>
      </c>
      <c r="M99" s="5" t="s">
        <v>551</v>
      </c>
      <c r="N99" s="5" t="s">
        <v>552</v>
      </c>
    </row>
    <row r="100" ht="15.75" customHeight="1">
      <c r="A100" s="5" t="s">
        <v>560</v>
      </c>
      <c r="B100" s="5">
        <v>78.0</v>
      </c>
      <c r="C100" s="5" t="s">
        <v>320</v>
      </c>
      <c r="D100" s="5" t="s">
        <v>561</v>
      </c>
      <c r="E100" s="5" t="s">
        <v>563</v>
      </c>
      <c r="F100" s="5" t="s">
        <v>564</v>
      </c>
      <c r="G100" s="5" t="s">
        <v>272</v>
      </c>
      <c r="H100" s="5" t="s">
        <v>99</v>
      </c>
      <c r="I100" s="5" t="s">
        <v>97</v>
      </c>
      <c r="J100" s="5">
        <f t="shared" si="1"/>
        <v>3</v>
      </c>
      <c r="K100" s="5" t="s">
        <v>266</v>
      </c>
      <c r="L100" s="5" t="s">
        <v>266</v>
      </c>
      <c r="M100" s="5" t="s">
        <v>565</v>
      </c>
      <c r="N100" s="5" t="s">
        <v>566</v>
      </c>
    </row>
    <row r="101" ht="15.75" customHeight="1">
      <c r="A101" s="5" t="s">
        <v>567</v>
      </c>
      <c r="B101" s="5">
        <v>78.0</v>
      </c>
      <c r="C101" s="5" t="s">
        <v>320</v>
      </c>
      <c r="D101" s="5" t="s">
        <v>561</v>
      </c>
      <c r="E101" s="5" t="s">
        <v>563</v>
      </c>
      <c r="F101" s="5" t="s">
        <v>564</v>
      </c>
      <c r="G101" s="5" t="s">
        <v>272</v>
      </c>
      <c r="H101" s="5" t="s">
        <v>99</v>
      </c>
      <c r="I101" s="5" t="s">
        <v>97</v>
      </c>
      <c r="J101" s="5">
        <f t="shared" si="1"/>
        <v>3</v>
      </c>
      <c r="K101" s="5" t="s">
        <v>266</v>
      </c>
      <c r="L101" s="5" t="s">
        <v>266</v>
      </c>
      <c r="M101" s="5" t="s">
        <v>565</v>
      </c>
      <c r="N101" s="5" t="s">
        <v>566</v>
      </c>
    </row>
    <row r="102" ht="15.75" customHeight="1">
      <c r="A102" s="5" t="s">
        <v>570</v>
      </c>
      <c r="B102" s="5">
        <v>67.0</v>
      </c>
      <c r="C102" s="5" t="s">
        <v>38</v>
      </c>
      <c r="D102" s="5" t="s">
        <v>327</v>
      </c>
      <c r="E102" s="5" t="s">
        <v>328</v>
      </c>
      <c r="F102" s="5" t="s">
        <v>329</v>
      </c>
      <c r="G102" s="5" t="s">
        <v>96</v>
      </c>
      <c r="H102" s="5" t="s">
        <v>99</v>
      </c>
      <c r="I102" s="5" t="s">
        <v>54</v>
      </c>
      <c r="J102" s="5">
        <f t="shared" si="1"/>
        <v>2</v>
      </c>
      <c r="K102" s="5" t="s">
        <v>84</v>
      </c>
      <c r="L102" s="5" t="s">
        <v>82</v>
      </c>
      <c r="M102" s="5" t="s">
        <v>331</v>
      </c>
      <c r="N102" s="5" t="s">
        <v>332</v>
      </c>
    </row>
    <row r="103" ht="15.75" customHeight="1">
      <c r="A103" s="5" t="s">
        <v>570</v>
      </c>
      <c r="B103" s="5">
        <v>30.0</v>
      </c>
      <c r="C103" s="5" t="s">
        <v>38</v>
      </c>
      <c r="D103" s="5" t="s">
        <v>585</v>
      </c>
      <c r="E103" s="5" t="s">
        <v>586</v>
      </c>
      <c r="F103" s="5" t="s">
        <v>588</v>
      </c>
      <c r="G103" s="5" t="s">
        <v>111</v>
      </c>
      <c r="H103" s="5" t="s">
        <v>51</v>
      </c>
      <c r="I103" s="5" t="s">
        <v>70</v>
      </c>
      <c r="J103" s="5">
        <f t="shared" si="1"/>
        <v>0</v>
      </c>
      <c r="K103" s="5" t="s">
        <v>84</v>
      </c>
      <c r="L103" s="5" t="s">
        <v>266</v>
      </c>
      <c r="M103" s="5" t="s">
        <v>592</v>
      </c>
      <c r="N103" s="5" t="s">
        <v>593</v>
      </c>
    </row>
    <row r="104" ht="15.75" customHeight="1">
      <c r="A104" s="5" t="s">
        <v>594</v>
      </c>
      <c r="B104" s="5">
        <v>30.0</v>
      </c>
      <c r="C104" s="5" t="s">
        <v>38</v>
      </c>
      <c r="D104" s="5" t="s">
        <v>585</v>
      </c>
      <c r="E104" s="5" t="s">
        <v>586</v>
      </c>
      <c r="F104" s="5" t="s">
        <v>588</v>
      </c>
      <c r="G104" s="5" t="s">
        <v>111</v>
      </c>
      <c r="H104" s="5" t="s">
        <v>51</v>
      </c>
      <c r="I104" s="5" t="s">
        <v>70</v>
      </c>
      <c r="J104" s="5">
        <f t="shared" si="1"/>
        <v>0</v>
      </c>
      <c r="K104" s="5" t="s">
        <v>84</v>
      </c>
      <c r="L104" s="5" t="s">
        <v>266</v>
      </c>
      <c r="M104" s="5" t="s">
        <v>592</v>
      </c>
      <c r="N104" s="5" t="s">
        <v>593</v>
      </c>
    </row>
    <row r="105" ht="15.75" customHeight="1">
      <c r="A105" s="5" t="s">
        <v>594</v>
      </c>
      <c r="B105" s="5">
        <v>35.0</v>
      </c>
      <c r="C105" s="5" t="s">
        <v>38</v>
      </c>
      <c r="D105" s="5" t="s">
        <v>535</v>
      </c>
      <c r="E105" s="5" t="s">
        <v>536</v>
      </c>
      <c r="F105" s="5" t="s">
        <v>538</v>
      </c>
      <c r="G105" s="5" t="s">
        <v>111</v>
      </c>
      <c r="H105" s="5" t="s">
        <v>51</v>
      </c>
      <c r="I105" s="5" t="s">
        <v>70</v>
      </c>
      <c r="J105" s="5">
        <f t="shared" si="1"/>
        <v>0</v>
      </c>
      <c r="K105" s="5" t="s">
        <v>82</v>
      </c>
      <c r="L105" s="5" t="s">
        <v>266</v>
      </c>
      <c r="M105" s="5" t="s">
        <v>541</v>
      </c>
      <c r="N105" s="5" t="s">
        <v>242</v>
      </c>
    </row>
    <row r="106" ht="15.75" customHeight="1">
      <c r="A106" s="5" t="s">
        <v>600</v>
      </c>
      <c r="B106" s="5">
        <v>74.0</v>
      </c>
      <c r="C106" s="5" t="s">
        <v>38</v>
      </c>
      <c r="D106" s="5" t="s">
        <v>548</v>
      </c>
      <c r="E106" s="5" t="s">
        <v>549</v>
      </c>
      <c r="F106" s="5" t="s">
        <v>550</v>
      </c>
      <c r="G106" s="5" t="s">
        <v>272</v>
      </c>
      <c r="H106" s="5" t="s">
        <v>99</v>
      </c>
      <c r="I106" s="5" t="s">
        <v>97</v>
      </c>
      <c r="J106" s="5">
        <f t="shared" si="1"/>
        <v>3</v>
      </c>
      <c r="K106" s="5" t="s">
        <v>266</v>
      </c>
      <c r="L106" s="5" t="s">
        <v>82</v>
      </c>
      <c r="M106" s="5" t="s">
        <v>551</v>
      </c>
      <c r="N106" s="5" t="s">
        <v>552</v>
      </c>
    </row>
    <row r="107" ht="15.75" customHeight="1">
      <c r="A107" s="5" t="s">
        <v>600</v>
      </c>
      <c r="B107" s="5">
        <v>68.0</v>
      </c>
      <c r="C107" s="5" t="s">
        <v>38</v>
      </c>
      <c r="D107" s="5" t="s">
        <v>491</v>
      </c>
      <c r="E107" s="5" t="s">
        <v>492</v>
      </c>
      <c r="F107" s="5" t="s">
        <v>493</v>
      </c>
      <c r="G107" s="5" t="s">
        <v>278</v>
      </c>
      <c r="H107" s="5" t="s">
        <v>99</v>
      </c>
      <c r="I107" s="5" t="s">
        <v>70</v>
      </c>
      <c r="J107" s="5">
        <f t="shared" si="1"/>
        <v>0</v>
      </c>
      <c r="K107" s="5" t="s">
        <v>266</v>
      </c>
      <c r="L107" s="5" t="s">
        <v>84</v>
      </c>
      <c r="M107" s="5" t="s">
        <v>494</v>
      </c>
      <c r="N107" s="5" t="s">
        <v>460</v>
      </c>
    </row>
    <row r="108" ht="15.75" customHeight="1">
      <c r="A108" s="5" t="s">
        <v>600</v>
      </c>
      <c r="B108" s="5">
        <v>65.0</v>
      </c>
      <c r="C108" s="5" t="s">
        <v>38</v>
      </c>
      <c r="D108" s="5" t="s">
        <v>343</v>
      </c>
      <c r="E108" s="5" t="s">
        <v>344</v>
      </c>
      <c r="F108" s="5" t="s">
        <v>345</v>
      </c>
      <c r="G108" s="5" t="s">
        <v>96</v>
      </c>
      <c r="H108" s="5" t="s">
        <v>99</v>
      </c>
      <c r="I108" s="5" t="s">
        <v>54</v>
      </c>
      <c r="J108" s="5">
        <f t="shared" si="1"/>
        <v>2</v>
      </c>
      <c r="K108" s="5" t="s">
        <v>266</v>
      </c>
      <c r="L108" s="5" t="s">
        <v>82</v>
      </c>
      <c r="M108" s="5" t="s">
        <v>346</v>
      </c>
      <c r="N108" s="5" t="s">
        <v>347</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N$108"/>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9DB"/>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0"/>
    <col customWidth="1" min="2" max="2" width="16.0"/>
    <col customWidth="1" min="3" max="3" width="34.0"/>
    <col customWidth="1" min="4" max="4" width="30.0"/>
    <col customWidth="1" min="5" max="5" width="22.0"/>
    <col customWidth="1" min="6" max="6" width="14.0"/>
    <col customWidth="1" min="7" max="7" width="8.0"/>
    <col customWidth="1" min="8" max="8" width="11.0"/>
    <col customWidth="1" min="9" max="9" width="20.0"/>
    <col customWidth="1" min="10" max="11" width="11.0"/>
    <col customWidth="1" min="12" max="12" width="46.0"/>
    <col customWidth="1" min="13" max="13" width="9.0"/>
    <col customWidth="1" min="14" max="14" width="10.0"/>
    <col customWidth="1" min="15" max="15" width="9.0"/>
    <col customWidth="1" min="16" max="16" width="8.0"/>
    <col customWidth="1" min="17" max="17" width="26.0"/>
    <col customWidth="1" min="18" max="18" width="22.0"/>
    <col customWidth="1" min="19" max="19" width="14.0"/>
    <col customWidth="1" min="20" max="20" width="30.0"/>
    <col customWidth="1" min="21" max="22" width="24.0"/>
    <col customWidth="1" min="23" max="23" width="14.0"/>
    <col customWidth="1" min="24" max="24" width="16.0"/>
    <col customWidth="1" min="25" max="25" width="34.0"/>
    <col customWidth="1" min="26" max="26" width="66.0"/>
  </cols>
  <sheetData>
    <row r="1">
      <c r="A1" s="1" t="s">
        <v>385</v>
      </c>
    </row>
    <row r="2">
      <c r="A2" s="2" t="s">
        <v>389</v>
      </c>
    </row>
    <row r="4" ht="42.0" customHeight="1">
      <c r="A4" s="4" t="s">
        <v>394</v>
      </c>
      <c r="B4" s="4" t="s">
        <v>395</v>
      </c>
      <c r="C4" s="4" t="s">
        <v>397</v>
      </c>
      <c r="D4" s="4" t="s">
        <v>398</v>
      </c>
      <c r="E4" s="4" t="s">
        <v>400</v>
      </c>
      <c r="F4" s="4" t="s">
        <v>403</v>
      </c>
      <c r="G4" s="4" t="s">
        <v>404</v>
      </c>
      <c r="H4" s="4" t="s">
        <v>405</v>
      </c>
      <c r="I4" s="4" t="s">
        <v>406</v>
      </c>
      <c r="J4" s="4" t="s">
        <v>408</v>
      </c>
      <c r="K4" s="4" t="s">
        <v>411</v>
      </c>
      <c r="L4" s="4" t="s">
        <v>412</v>
      </c>
      <c r="M4" s="4" t="s">
        <v>413</v>
      </c>
      <c r="N4" s="4" t="s">
        <v>414</v>
      </c>
      <c r="O4" s="4" t="s">
        <v>415</v>
      </c>
      <c r="P4" s="4" t="s">
        <v>416</v>
      </c>
      <c r="Q4" s="4" t="s">
        <v>417</v>
      </c>
      <c r="R4" s="4" t="s">
        <v>418</v>
      </c>
      <c r="S4" s="4" t="s">
        <v>419</v>
      </c>
      <c r="T4" s="4" t="s">
        <v>420</v>
      </c>
      <c r="U4" s="4" t="s">
        <v>422</v>
      </c>
      <c r="V4" s="4" t="s">
        <v>424</v>
      </c>
      <c r="W4" s="4" t="s">
        <v>426</v>
      </c>
      <c r="X4" s="4" t="s">
        <v>427</v>
      </c>
      <c r="Y4" s="4" t="s">
        <v>428</v>
      </c>
      <c r="Z4" s="4" t="s">
        <v>203</v>
      </c>
    </row>
    <row r="5" ht="51.75" customHeight="1">
      <c r="A5" s="21">
        <v>1.0</v>
      </c>
      <c r="B5" s="22" t="s">
        <v>432</v>
      </c>
      <c r="C5" s="5" t="s">
        <v>433</v>
      </c>
      <c r="D5" s="5" t="s">
        <v>434</v>
      </c>
      <c r="E5" s="5" t="s">
        <v>435</v>
      </c>
      <c r="F5" s="5" t="s">
        <v>436</v>
      </c>
      <c r="G5" s="21"/>
      <c r="H5" s="21" t="str">
        <f t="shared" ref="H5:H61" si="1">IF(G5="","Not scored",IF(G5&gt;=9,"Critical",IF(G5&gt;=7,"High",IF(G5&gt;=4,"Medium","Low"))))</f>
        <v>Not scored</v>
      </c>
      <c r="I5" s="5"/>
      <c r="J5" s="21" t="s">
        <v>449</v>
      </c>
      <c r="K5" s="21" t="s">
        <v>450</v>
      </c>
      <c r="L5" s="5" t="s">
        <v>451</v>
      </c>
      <c r="M5" s="21" t="s">
        <v>266</v>
      </c>
      <c r="N5" s="21" t="s">
        <v>452</v>
      </c>
      <c r="O5" s="21" t="s">
        <v>51</v>
      </c>
      <c r="P5" s="21">
        <v>48.0</v>
      </c>
      <c r="Q5" s="5" t="s">
        <v>440</v>
      </c>
      <c r="R5" s="5" t="s">
        <v>453</v>
      </c>
      <c r="S5" s="5" t="s">
        <v>442</v>
      </c>
      <c r="T5" s="23" t="s">
        <v>454</v>
      </c>
      <c r="U5" s="5" t="s">
        <v>476</v>
      </c>
      <c r="V5" s="5"/>
      <c r="W5" s="3" t="s">
        <v>477</v>
      </c>
      <c r="X5" s="5" t="s">
        <v>478</v>
      </c>
      <c r="Y5" s="5" t="s">
        <v>479</v>
      </c>
      <c r="Z5" s="5" t="s">
        <v>483</v>
      </c>
    </row>
    <row r="6" ht="51.75" customHeight="1">
      <c r="A6" s="21">
        <v>2.0</v>
      </c>
      <c r="B6" s="22" t="s">
        <v>484</v>
      </c>
      <c r="C6" s="5" t="s">
        <v>433</v>
      </c>
      <c r="D6" s="5" t="s">
        <v>434</v>
      </c>
      <c r="E6" s="5" t="s">
        <v>435</v>
      </c>
      <c r="F6" s="5" t="s">
        <v>436</v>
      </c>
      <c r="G6" s="21"/>
      <c r="H6" s="21" t="str">
        <f t="shared" si="1"/>
        <v>Not scored</v>
      </c>
      <c r="I6" s="5"/>
      <c r="J6" s="21" t="s">
        <v>449</v>
      </c>
      <c r="K6" s="21" t="s">
        <v>450</v>
      </c>
      <c r="L6" s="5" t="s">
        <v>488</v>
      </c>
      <c r="M6" s="21" t="s">
        <v>266</v>
      </c>
      <c r="N6" s="21" t="s">
        <v>452</v>
      </c>
      <c r="O6" s="21" t="s">
        <v>51</v>
      </c>
      <c r="P6" s="21">
        <v>48.0</v>
      </c>
      <c r="Q6" s="5" t="s">
        <v>440</v>
      </c>
      <c r="R6" s="5" t="s">
        <v>453</v>
      </c>
      <c r="S6" s="5" t="s">
        <v>442</v>
      </c>
      <c r="T6" s="23" t="s">
        <v>489</v>
      </c>
      <c r="U6" s="5" t="s">
        <v>476</v>
      </c>
      <c r="V6" s="5"/>
      <c r="W6" s="3" t="s">
        <v>477</v>
      </c>
      <c r="X6" s="5" t="s">
        <v>478</v>
      </c>
      <c r="Y6" s="5" t="s">
        <v>479</v>
      </c>
      <c r="Z6" s="5" t="s">
        <v>483</v>
      </c>
    </row>
    <row r="7" ht="51.75" customHeight="1">
      <c r="A7" s="21">
        <v>3.0</v>
      </c>
      <c r="B7" s="22" t="s">
        <v>495</v>
      </c>
      <c r="C7" s="5" t="s">
        <v>433</v>
      </c>
      <c r="D7" s="5" t="s">
        <v>434</v>
      </c>
      <c r="E7" s="5" t="s">
        <v>497</v>
      </c>
      <c r="F7" s="5" t="s">
        <v>436</v>
      </c>
      <c r="G7" s="21"/>
      <c r="H7" s="21" t="str">
        <f t="shared" si="1"/>
        <v>Not scored</v>
      </c>
      <c r="I7" s="5"/>
      <c r="J7" s="21" t="s">
        <v>498</v>
      </c>
      <c r="K7" s="21" t="s">
        <v>450</v>
      </c>
      <c r="L7" s="5" t="s">
        <v>499</v>
      </c>
      <c r="M7" s="21" t="s">
        <v>266</v>
      </c>
      <c r="N7" s="21" t="s">
        <v>452</v>
      </c>
      <c r="O7" s="21" t="s">
        <v>51</v>
      </c>
      <c r="P7" s="21">
        <v>48.0</v>
      </c>
      <c r="Q7" s="5" t="s">
        <v>440</v>
      </c>
      <c r="R7" s="5" t="s">
        <v>453</v>
      </c>
      <c r="S7" s="5" t="s">
        <v>442</v>
      </c>
      <c r="T7" s="23" t="s">
        <v>501</v>
      </c>
      <c r="U7" s="5" t="s">
        <v>476</v>
      </c>
      <c r="V7" s="5"/>
      <c r="W7" s="3" t="s">
        <v>477</v>
      </c>
      <c r="X7" s="5" t="s">
        <v>478</v>
      </c>
      <c r="Y7" s="5" t="s">
        <v>479</v>
      </c>
      <c r="Z7" s="5" t="s">
        <v>483</v>
      </c>
    </row>
    <row r="8" ht="51.75" customHeight="1">
      <c r="A8" s="21">
        <v>4.0</v>
      </c>
      <c r="B8" s="22" t="s">
        <v>503</v>
      </c>
      <c r="C8" s="5" t="s">
        <v>433</v>
      </c>
      <c r="D8" s="5" t="s">
        <v>434</v>
      </c>
      <c r="E8" s="5" t="s">
        <v>504</v>
      </c>
      <c r="F8" s="5" t="s">
        <v>436</v>
      </c>
      <c r="G8" s="21"/>
      <c r="H8" s="21" t="str">
        <f t="shared" si="1"/>
        <v>Not scored</v>
      </c>
      <c r="I8" s="5"/>
      <c r="J8" s="21" t="s">
        <v>505</v>
      </c>
      <c r="K8" s="21" t="s">
        <v>450</v>
      </c>
      <c r="L8" s="5" t="s">
        <v>506</v>
      </c>
      <c r="M8" s="21" t="s">
        <v>266</v>
      </c>
      <c r="N8" s="21" t="s">
        <v>452</v>
      </c>
      <c r="O8" s="21" t="s">
        <v>51</v>
      </c>
      <c r="P8" s="21">
        <v>48.0</v>
      </c>
      <c r="Q8" s="5" t="s">
        <v>440</v>
      </c>
      <c r="R8" s="5" t="s">
        <v>507</v>
      </c>
      <c r="S8" s="5" t="s">
        <v>442</v>
      </c>
      <c r="T8" s="23" t="s">
        <v>508</v>
      </c>
      <c r="U8" s="5" t="s">
        <v>476</v>
      </c>
      <c r="V8" s="5"/>
      <c r="W8" s="3" t="s">
        <v>477</v>
      </c>
      <c r="X8" s="5" t="s">
        <v>478</v>
      </c>
      <c r="Y8" s="5" t="s">
        <v>479</v>
      </c>
      <c r="Z8" s="5" t="s">
        <v>483</v>
      </c>
    </row>
    <row r="9" ht="51.75" customHeight="1">
      <c r="A9" s="21">
        <v>5.0</v>
      </c>
      <c r="B9" s="22" t="s">
        <v>512</v>
      </c>
      <c r="C9" s="5" t="s">
        <v>433</v>
      </c>
      <c r="D9" s="5" t="s">
        <v>513</v>
      </c>
      <c r="E9" s="5" t="s">
        <v>514</v>
      </c>
      <c r="F9" s="5" t="s">
        <v>436</v>
      </c>
      <c r="G9" s="21"/>
      <c r="H9" s="21" t="str">
        <f t="shared" si="1"/>
        <v>Not scored</v>
      </c>
      <c r="I9" s="5"/>
      <c r="J9" s="21" t="s">
        <v>518</v>
      </c>
      <c r="K9" s="21" t="s">
        <v>450</v>
      </c>
      <c r="L9" s="5" t="s">
        <v>519</v>
      </c>
      <c r="M9" s="21" t="s">
        <v>266</v>
      </c>
      <c r="N9" s="21" t="s">
        <v>452</v>
      </c>
      <c r="O9" s="21" t="s">
        <v>51</v>
      </c>
      <c r="P9" s="21">
        <v>48.0</v>
      </c>
      <c r="Q9" s="5" t="s">
        <v>440</v>
      </c>
      <c r="R9" s="5" t="s">
        <v>507</v>
      </c>
      <c r="S9" s="5" t="s">
        <v>442</v>
      </c>
      <c r="T9" s="23" t="s">
        <v>522</v>
      </c>
      <c r="U9" s="5" t="s">
        <v>476</v>
      </c>
      <c r="V9" s="5"/>
      <c r="W9" s="3" t="s">
        <v>477</v>
      </c>
      <c r="X9" s="5" t="s">
        <v>478</v>
      </c>
      <c r="Y9" s="5" t="s">
        <v>479</v>
      </c>
      <c r="Z9" s="5" t="s">
        <v>483</v>
      </c>
    </row>
    <row r="10" ht="51.75" customHeight="1">
      <c r="A10" s="21">
        <v>6.0</v>
      </c>
      <c r="B10" s="22" t="s">
        <v>529</v>
      </c>
      <c r="C10" s="5" t="s">
        <v>433</v>
      </c>
      <c r="D10" s="5" t="s">
        <v>530</v>
      </c>
      <c r="E10" s="5" t="s">
        <v>531</v>
      </c>
      <c r="F10" s="5" t="s">
        <v>532</v>
      </c>
      <c r="G10" s="21"/>
      <c r="H10" s="21" t="str">
        <f t="shared" si="1"/>
        <v>Not scored</v>
      </c>
      <c r="I10" s="5"/>
      <c r="J10" s="21" t="s">
        <v>534</v>
      </c>
      <c r="K10" s="21" t="s">
        <v>450</v>
      </c>
      <c r="L10" s="5" t="s">
        <v>537</v>
      </c>
      <c r="M10" s="21" t="s">
        <v>266</v>
      </c>
      <c r="N10" s="21" t="s">
        <v>452</v>
      </c>
      <c r="O10" s="21" t="s">
        <v>51</v>
      </c>
      <c r="P10" s="21">
        <v>49.0</v>
      </c>
      <c r="Q10" s="5" t="s">
        <v>445</v>
      </c>
      <c r="R10" s="5" t="s">
        <v>539</v>
      </c>
      <c r="S10" s="5" t="s">
        <v>540</v>
      </c>
      <c r="T10" s="23" t="s">
        <v>542</v>
      </c>
      <c r="U10" s="5" t="s">
        <v>476</v>
      </c>
      <c r="V10" s="5"/>
      <c r="W10" s="3" t="s">
        <v>477</v>
      </c>
      <c r="X10" s="5" t="s">
        <v>553</v>
      </c>
      <c r="Y10" s="5" t="s">
        <v>479</v>
      </c>
      <c r="Z10" s="5" t="s">
        <v>483</v>
      </c>
    </row>
    <row r="11" ht="51.75" customHeight="1">
      <c r="A11" s="21">
        <v>7.0</v>
      </c>
      <c r="B11" s="22" t="s">
        <v>555</v>
      </c>
      <c r="C11" s="5" t="s">
        <v>433</v>
      </c>
      <c r="D11" s="5" t="s">
        <v>530</v>
      </c>
      <c r="E11" s="5" t="s">
        <v>556</v>
      </c>
      <c r="F11" s="5" t="s">
        <v>532</v>
      </c>
      <c r="G11" s="21"/>
      <c r="H11" s="21" t="str">
        <f t="shared" si="1"/>
        <v>Not scored</v>
      </c>
      <c r="I11" s="5"/>
      <c r="J11" s="21" t="s">
        <v>534</v>
      </c>
      <c r="K11" s="21" t="s">
        <v>450</v>
      </c>
      <c r="L11" s="5" t="s">
        <v>559</v>
      </c>
      <c r="M11" s="21" t="s">
        <v>266</v>
      </c>
      <c r="N11" s="21" t="s">
        <v>452</v>
      </c>
      <c r="O11" s="21" t="s">
        <v>51</v>
      </c>
      <c r="P11" s="21">
        <v>49.0</v>
      </c>
      <c r="Q11" s="5" t="s">
        <v>445</v>
      </c>
      <c r="R11" s="5" t="s">
        <v>539</v>
      </c>
      <c r="S11" s="5" t="s">
        <v>540</v>
      </c>
      <c r="T11" s="23" t="s">
        <v>562</v>
      </c>
      <c r="U11" s="5" t="s">
        <v>476</v>
      </c>
      <c r="V11" s="5"/>
      <c r="W11" s="3" t="s">
        <v>477</v>
      </c>
      <c r="X11" s="5" t="s">
        <v>553</v>
      </c>
      <c r="Y11" s="5" t="s">
        <v>479</v>
      </c>
      <c r="Z11" s="5" t="s">
        <v>483</v>
      </c>
    </row>
    <row r="12" ht="63.0" customHeight="1">
      <c r="A12" s="21">
        <v>8.0</v>
      </c>
      <c r="B12" s="22" t="s">
        <v>579</v>
      </c>
      <c r="C12" s="5" t="s">
        <v>433</v>
      </c>
      <c r="D12" s="5" t="s">
        <v>581</v>
      </c>
      <c r="E12" s="5" t="s">
        <v>582</v>
      </c>
      <c r="F12" s="5" t="s">
        <v>584</v>
      </c>
      <c r="G12" s="21">
        <v>9.8</v>
      </c>
      <c r="H12" s="21" t="str">
        <f t="shared" si="1"/>
        <v>Critical</v>
      </c>
      <c r="I12" s="5" t="s">
        <v>589</v>
      </c>
      <c r="J12" s="21" t="s">
        <v>590</v>
      </c>
      <c r="K12" s="21" t="s">
        <v>450</v>
      </c>
      <c r="L12" s="5" t="s">
        <v>591</v>
      </c>
      <c r="M12" s="21" t="s">
        <v>266</v>
      </c>
      <c r="N12" s="21" t="s">
        <v>452</v>
      </c>
      <c r="O12" s="21" t="s">
        <v>51</v>
      </c>
      <c r="P12" s="21"/>
      <c r="Q12" s="5" t="s">
        <v>595</v>
      </c>
      <c r="R12" s="5" t="s">
        <v>596</v>
      </c>
      <c r="S12" s="5" t="s">
        <v>597</v>
      </c>
      <c r="T12" s="23" t="s">
        <v>598</v>
      </c>
      <c r="U12" s="5" t="s">
        <v>476</v>
      </c>
      <c r="V12" s="5"/>
      <c r="W12" s="3" t="s">
        <v>601</v>
      </c>
      <c r="X12" s="5" t="s">
        <v>511</v>
      </c>
      <c r="Y12" s="5" t="s">
        <v>602</v>
      </c>
      <c r="Z12" s="5" t="s">
        <v>603</v>
      </c>
    </row>
    <row r="13" ht="51.75" customHeight="1">
      <c r="A13" s="21">
        <v>9.0</v>
      </c>
      <c r="B13" s="22" t="s">
        <v>604</v>
      </c>
      <c r="C13" s="5" t="s">
        <v>605</v>
      </c>
      <c r="D13" s="5" t="s">
        <v>606</v>
      </c>
      <c r="E13" s="5" t="s">
        <v>607</v>
      </c>
      <c r="F13" s="5" t="s">
        <v>608</v>
      </c>
      <c r="G13" s="21">
        <v>9.4</v>
      </c>
      <c r="H13" s="21" t="str">
        <f t="shared" si="1"/>
        <v>Critical</v>
      </c>
      <c r="I13" s="5" t="s">
        <v>610</v>
      </c>
      <c r="J13" s="21" t="s">
        <v>611</v>
      </c>
      <c r="K13" s="21" t="s">
        <v>450</v>
      </c>
      <c r="L13" s="5" t="s">
        <v>612</v>
      </c>
      <c r="M13" s="21" t="s">
        <v>82</v>
      </c>
      <c r="N13" s="21" t="s">
        <v>613</v>
      </c>
      <c r="O13" s="21" t="s">
        <v>51</v>
      </c>
      <c r="P13" s="21"/>
      <c r="Q13" s="5" t="s">
        <v>595</v>
      </c>
      <c r="R13" s="5" t="s">
        <v>615</v>
      </c>
      <c r="S13" s="5" t="s">
        <v>617</v>
      </c>
      <c r="T13" s="23" t="s">
        <v>618</v>
      </c>
      <c r="U13" s="5" t="s">
        <v>476</v>
      </c>
      <c r="V13" s="5" t="s">
        <v>620</v>
      </c>
      <c r="W13" s="3" t="s">
        <v>621</v>
      </c>
      <c r="X13" s="5" t="s">
        <v>622</v>
      </c>
      <c r="Y13" s="5" t="s">
        <v>623</v>
      </c>
      <c r="Z13" s="5" t="s">
        <v>624</v>
      </c>
    </row>
    <row r="14" ht="40.5" customHeight="1">
      <c r="A14" s="21">
        <v>10.0</v>
      </c>
      <c r="B14" s="22" t="s">
        <v>625</v>
      </c>
      <c r="C14" s="5" t="s">
        <v>626</v>
      </c>
      <c r="D14" s="5" t="s">
        <v>627</v>
      </c>
      <c r="E14" s="5" t="s">
        <v>628</v>
      </c>
      <c r="F14" s="5" t="s">
        <v>436</v>
      </c>
      <c r="G14" s="21"/>
      <c r="H14" s="21" t="str">
        <f t="shared" si="1"/>
        <v>Not scored</v>
      </c>
      <c r="I14" s="5"/>
      <c r="J14" s="21" t="s">
        <v>629</v>
      </c>
      <c r="K14" s="21" t="s">
        <v>450</v>
      </c>
      <c r="L14" s="5" t="s">
        <v>630</v>
      </c>
      <c r="M14" s="21" t="s">
        <v>82</v>
      </c>
      <c r="N14" s="21" t="s">
        <v>613</v>
      </c>
      <c r="O14" s="21" t="s">
        <v>99</v>
      </c>
      <c r="P14" s="21">
        <v>61.0</v>
      </c>
      <c r="Q14" s="5" t="s">
        <v>362</v>
      </c>
      <c r="R14" s="5" t="s">
        <v>453</v>
      </c>
      <c r="S14" s="5" t="s">
        <v>364</v>
      </c>
      <c r="T14" s="23" t="s">
        <v>631</v>
      </c>
      <c r="U14" s="5" t="s">
        <v>476</v>
      </c>
      <c r="V14" s="5" t="s">
        <v>632</v>
      </c>
      <c r="W14" s="3" t="s">
        <v>633</v>
      </c>
      <c r="X14" s="5" t="s">
        <v>354</v>
      </c>
      <c r="Y14" s="5" t="s">
        <v>634</v>
      </c>
      <c r="Z14" s="5" t="s">
        <v>635</v>
      </c>
    </row>
    <row r="15" ht="40.5" customHeight="1">
      <c r="A15" s="21">
        <v>11.0</v>
      </c>
      <c r="B15" s="22" t="s">
        <v>636</v>
      </c>
      <c r="C15" s="5" t="s">
        <v>626</v>
      </c>
      <c r="D15" s="5" t="s">
        <v>637</v>
      </c>
      <c r="E15" s="5" t="s">
        <v>628</v>
      </c>
      <c r="F15" s="5" t="s">
        <v>436</v>
      </c>
      <c r="G15" s="21"/>
      <c r="H15" s="21" t="str">
        <f t="shared" si="1"/>
        <v>Not scored</v>
      </c>
      <c r="I15" s="5"/>
      <c r="J15" s="21" t="s">
        <v>638</v>
      </c>
      <c r="K15" s="21" t="s">
        <v>450</v>
      </c>
      <c r="L15" s="5" t="s">
        <v>639</v>
      </c>
      <c r="M15" s="21" t="s">
        <v>82</v>
      </c>
      <c r="N15" s="21" t="s">
        <v>613</v>
      </c>
      <c r="O15" s="21" t="s">
        <v>99</v>
      </c>
      <c r="P15" s="21">
        <v>61.0</v>
      </c>
      <c r="Q15" s="5" t="s">
        <v>362</v>
      </c>
      <c r="R15" s="5" t="s">
        <v>453</v>
      </c>
      <c r="S15" s="5" t="s">
        <v>364</v>
      </c>
      <c r="T15" s="23" t="s">
        <v>640</v>
      </c>
      <c r="U15" s="5" t="s">
        <v>476</v>
      </c>
      <c r="V15" s="5" t="s">
        <v>641</v>
      </c>
      <c r="W15" s="3" t="s">
        <v>633</v>
      </c>
      <c r="X15" s="5" t="s">
        <v>354</v>
      </c>
      <c r="Y15" s="5" t="s">
        <v>634</v>
      </c>
      <c r="Z15" s="5" t="s">
        <v>635</v>
      </c>
    </row>
    <row r="16" ht="40.5" customHeight="1">
      <c r="A16" s="21">
        <v>12.0</v>
      </c>
      <c r="B16" s="22" t="s">
        <v>642</v>
      </c>
      <c r="C16" s="5" t="s">
        <v>626</v>
      </c>
      <c r="D16" s="5" t="s">
        <v>637</v>
      </c>
      <c r="E16" s="5" t="s">
        <v>628</v>
      </c>
      <c r="F16" s="5" t="s">
        <v>436</v>
      </c>
      <c r="G16" s="21"/>
      <c r="H16" s="21" t="str">
        <f t="shared" si="1"/>
        <v>Not scored</v>
      </c>
      <c r="I16" s="5"/>
      <c r="J16" s="21" t="s">
        <v>629</v>
      </c>
      <c r="K16" s="21" t="s">
        <v>450</v>
      </c>
      <c r="L16" s="5" t="s">
        <v>643</v>
      </c>
      <c r="M16" s="21" t="s">
        <v>82</v>
      </c>
      <c r="N16" s="21" t="s">
        <v>613</v>
      </c>
      <c r="O16" s="21" t="s">
        <v>99</v>
      </c>
      <c r="P16" s="21">
        <v>61.0</v>
      </c>
      <c r="Q16" s="5" t="s">
        <v>362</v>
      </c>
      <c r="R16" s="5" t="s">
        <v>453</v>
      </c>
      <c r="S16" s="5" t="s">
        <v>364</v>
      </c>
      <c r="T16" s="23" t="s">
        <v>644</v>
      </c>
      <c r="U16" s="5" t="s">
        <v>476</v>
      </c>
      <c r="V16" s="5"/>
      <c r="W16" s="3" t="s">
        <v>633</v>
      </c>
      <c r="X16" s="5" t="s">
        <v>354</v>
      </c>
      <c r="Y16" s="5" t="s">
        <v>634</v>
      </c>
      <c r="Z16" s="5" t="s">
        <v>635</v>
      </c>
    </row>
    <row r="17" ht="63.0" customHeight="1">
      <c r="A17" s="21">
        <v>13.0</v>
      </c>
      <c r="B17" s="22" t="s">
        <v>646</v>
      </c>
      <c r="C17" s="5" t="s">
        <v>647</v>
      </c>
      <c r="D17" s="5" t="s">
        <v>648</v>
      </c>
      <c r="E17" s="5" t="s">
        <v>649</v>
      </c>
      <c r="F17" s="5" t="s">
        <v>650</v>
      </c>
      <c r="G17" s="21">
        <v>6.1</v>
      </c>
      <c r="H17" s="21" t="str">
        <f t="shared" si="1"/>
        <v>Medium</v>
      </c>
      <c r="I17" s="5" t="s">
        <v>589</v>
      </c>
      <c r="J17" s="21" t="s">
        <v>651</v>
      </c>
      <c r="K17" s="21" t="s">
        <v>450</v>
      </c>
      <c r="L17" s="5" t="s">
        <v>652</v>
      </c>
      <c r="M17" s="21" t="s">
        <v>266</v>
      </c>
      <c r="N17" s="21" t="s">
        <v>452</v>
      </c>
      <c r="O17" s="21" t="s">
        <v>99</v>
      </c>
      <c r="P17" s="21">
        <v>65.0</v>
      </c>
      <c r="Q17" s="5" t="s">
        <v>345</v>
      </c>
      <c r="R17" s="5" t="s">
        <v>453</v>
      </c>
      <c r="S17" s="5" t="s">
        <v>653</v>
      </c>
      <c r="T17" s="23" t="s">
        <v>654</v>
      </c>
      <c r="U17" s="5" t="s">
        <v>476</v>
      </c>
      <c r="V17" s="5"/>
      <c r="W17" s="3" t="s">
        <v>655</v>
      </c>
      <c r="X17" s="5" t="s">
        <v>600</v>
      </c>
      <c r="Y17" s="5" t="s">
        <v>634</v>
      </c>
      <c r="Z17" s="5" t="s">
        <v>656</v>
      </c>
    </row>
    <row r="18" ht="63.0" customHeight="1">
      <c r="A18" s="21">
        <v>14.0</v>
      </c>
      <c r="B18" s="22" t="s">
        <v>657</v>
      </c>
      <c r="C18" s="5" t="s">
        <v>647</v>
      </c>
      <c r="D18" s="5" t="s">
        <v>648</v>
      </c>
      <c r="E18" s="5" t="s">
        <v>649</v>
      </c>
      <c r="F18" s="5" t="s">
        <v>658</v>
      </c>
      <c r="G18" s="21">
        <v>7.5</v>
      </c>
      <c r="H18" s="21" t="str">
        <f t="shared" si="1"/>
        <v>High</v>
      </c>
      <c r="I18" s="5" t="s">
        <v>589</v>
      </c>
      <c r="J18" s="21" t="s">
        <v>651</v>
      </c>
      <c r="K18" s="21" t="s">
        <v>450</v>
      </c>
      <c r="L18" s="5" t="s">
        <v>659</v>
      </c>
      <c r="M18" s="21" t="s">
        <v>266</v>
      </c>
      <c r="N18" s="21" t="s">
        <v>452</v>
      </c>
      <c r="O18" s="21" t="s">
        <v>99</v>
      </c>
      <c r="P18" s="21">
        <v>65.0</v>
      </c>
      <c r="Q18" s="5" t="s">
        <v>345</v>
      </c>
      <c r="R18" s="5" t="s">
        <v>453</v>
      </c>
      <c r="S18" s="5" t="s">
        <v>653</v>
      </c>
      <c r="T18" s="23" t="s">
        <v>660</v>
      </c>
      <c r="U18" s="5" t="s">
        <v>476</v>
      </c>
      <c r="V18" s="5"/>
      <c r="W18" s="3" t="s">
        <v>655</v>
      </c>
      <c r="X18" s="5" t="s">
        <v>600</v>
      </c>
      <c r="Y18" s="5" t="s">
        <v>634</v>
      </c>
      <c r="Z18" s="5" t="s">
        <v>656</v>
      </c>
    </row>
    <row r="19" ht="63.0" customHeight="1">
      <c r="A19" s="21">
        <v>15.0</v>
      </c>
      <c r="B19" s="22" t="s">
        <v>661</v>
      </c>
      <c r="C19" s="5" t="s">
        <v>647</v>
      </c>
      <c r="D19" s="5" t="s">
        <v>648</v>
      </c>
      <c r="E19" s="5" t="s">
        <v>662</v>
      </c>
      <c r="F19" s="5" t="s">
        <v>663</v>
      </c>
      <c r="G19" s="21">
        <v>7.5</v>
      </c>
      <c r="H19" s="21" t="str">
        <f t="shared" si="1"/>
        <v>High</v>
      </c>
      <c r="I19" s="5" t="s">
        <v>589</v>
      </c>
      <c r="J19" s="21" t="s">
        <v>651</v>
      </c>
      <c r="K19" s="21" t="s">
        <v>450</v>
      </c>
      <c r="L19" s="5" t="s">
        <v>664</v>
      </c>
      <c r="M19" s="21" t="s">
        <v>266</v>
      </c>
      <c r="N19" s="21" t="s">
        <v>452</v>
      </c>
      <c r="O19" s="21" t="s">
        <v>99</v>
      </c>
      <c r="P19" s="21">
        <v>65.0</v>
      </c>
      <c r="Q19" s="5" t="s">
        <v>345</v>
      </c>
      <c r="R19" s="5" t="s">
        <v>453</v>
      </c>
      <c r="S19" s="5" t="s">
        <v>653</v>
      </c>
      <c r="T19" s="23" t="s">
        <v>665</v>
      </c>
      <c r="U19" s="5" t="s">
        <v>476</v>
      </c>
      <c r="V19" s="5"/>
      <c r="W19" s="3" t="s">
        <v>655</v>
      </c>
      <c r="X19" s="5" t="s">
        <v>600</v>
      </c>
      <c r="Y19" s="5" t="s">
        <v>634</v>
      </c>
      <c r="Z19" s="5" t="s">
        <v>656</v>
      </c>
    </row>
    <row r="20" ht="63.0" customHeight="1">
      <c r="A20" s="21">
        <v>16.0</v>
      </c>
      <c r="B20" s="22" t="s">
        <v>666</v>
      </c>
      <c r="C20" s="5" t="s">
        <v>647</v>
      </c>
      <c r="D20" s="5" t="s">
        <v>648</v>
      </c>
      <c r="E20" s="5" t="s">
        <v>662</v>
      </c>
      <c r="F20" s="5" t="s">
        <v>663</v>
      </c>
      <c r="G20" s="21">
        <v>9.1</v>
      </c>
      <c r="H20" s="21" t="str">
        <f t="shared" si="1"/>
        <v>Critical</v>
      </c>
      <c r="I20" s="5" t="s">
        <v>589</v>
      </c>
      <c r="J20" s="21" t="s">
        <v>651</v>
      </c>
      <c r="K20" s="21" t="s">
        <v>450</v>
      </c>
      <c r="L20" s="5" t="s">
        <v>667</v>
      </c>
      <c r="M20" s="21" t="s">
        <v>266</v>
      </c>
      <c r="N20" s="21" t="s">
        <v>452</v>
      </c>
      <c r="O20" s="21" t="s">
        <v>99</v>
      </c>
      <c r="P20" s="21">
        <v>65.0</v>
      </c>
      <c r="Q20" s="5" t="s">
        <v>345</v>
      </c>
      <c r="R20" s="5" t="s">
        <v>453</v>
      </c>
      <c r="S20" s="5" t="s">
        <v>653</v>
      </c>
      <c r="T20" s="23" t="s">
        <v>668</v>
      </c>
      <c r="U20" s="5" t="s">
        <v>476</v>
      </c>
      <c r="V20" s="5"/>
      <c r="W20" s="3" t="s">
        <v>655</v>
      </c>
      <c r="X20" s="5" t="s">
        <v>600</v>
      </c>
      <c r="Y20" s="5" t="s">
        <v>634</v>
      </c>
      <c r="Z20" s="5" t="s">
        <v>656</v>
      </c>
    </row>
    <row r="21" ht="63.0" customHeight="1">
      <c r="A21" s="21">
        <v>17.0</v>
      </c>
      <c r="B21" s="22" t="s">
        <v>669</v>
      </c>
      <c r="C21" s="5" t="s">
        <v>647</v>
      </c>
      <c r="D21" s="5" t="s">
        <v>648</v>
      </c>
      <c r="E21" s="5" t="s">
        <v>670</v>
      </c>
      <c r="F21" s="5" t="s">
        <v>671</v>
      </c>
      <c r="G21" s="21">
        <v>9.8</v>
      </c>
      <c r="H21" s="21" t="str">
        <f t="shared" si="1"/>
        <v>Critical</v>
      </c>
      <c r="I21" s="5" t="s">
        <v>589</v>
      </c>
      <c r="J21" s="21" t="s">
        <v>651</v>
      </c>
      <c r="K21" s="21" t="s">
        <v>450</v>
      </c>
      <c r="L21" s="5" t="s">
        <v>672</v>
      </c>
      <c r="M21" s="21" t="s">
        <v>266</v>
      </c>
      <c r="N21" s="21" t="s">
        <v>452</v>
      </c>
      <c r="O21" s="21" t="s">
        <v>99</v>
      </c>
      <c r="P21" s="21">
        <v>65.0</v>
      </c>
      <c r="Q21" s="5" t="s">
        <v>345</v>
      </c>
      <c r="R21" s="5" t="s">
        <v>453</v>
      </c>
      <c r="S21" s="5" t="s">
        <v>653</v>
      </c>
      <c r="T21" s="23" t="s">
        <v>673</v>
      </c>
      <c r="U21" s="5" t="s">
        <v>476</v>
      </c>
      <c r="V21" s="5"/>
      <c r="W21" s="3" t="s">
        <v>655</v>
      </c>
      <c r="X21" s="5" t="s">
        <v>600</v>
      </c>
      <c r="Y21" s="5" t="s">
        <v>634</v>
      </c>
      <c r="Z21" s="5" t="s">
        <v>656</v>
      </c>
    </row>
    <row r="22" ht="63.0" customHeight="1">
      <c r="A22" s="21">
        <v>18.0</v>
      </c>
      <c r="B22" s="22" t="s">
        <v>674</v>
      </c>
      <c r="C22" s="5" t="s">
        <v>647</v>
      </c>
      <c r="D22" s="5" t="s">
        <v>648</v>
      </c>
      <c r="E22" s="5" t="s">
        <v>649</v>
      </c>
      <c r="F22" s="5" t="s">
        <v>675</v>
      </c>
      <c r="G22" s="21">
        <v>9.8</v>
      </c>
      <c r="H22" s="21" t="str">
        <f t="shared" si="1"/>
        <v>Critical</v>
      </c>
      <c r="I22" s="5" t="s">
        <v>589</v>
      </c>
      <c r="J22" s="21" t="s">
        <v>651</v>
      </c>
      <c r="K22" s="21" t="s">
        <v>450</v>
      </c>
      <c r="L22" s="5" t="s">
        <v>676</v>
      </c>
      <c r="M22" s="21" t="s">
        <v>266</v>
      </c>
      <c r="N22" s="21" t="s">
        <v>452</v>
      </c>
      <c r="O22" s="21" t="s">
        <v>99</v>
      </c>
      <c r="P22" s="21">
        <v>65.0</v>
      </c>
      <c r="Q22" s="5" t="s">
        <v>345</v>
      </c>
      <c r="R22" s="5" t="s">
        <v>453</v>
      </c>
      <c r="S22" s="5" t="s">
        <v>653</v>
      </c>
      <c r="T22" s="23" t="s">
        <v>677</v>
      </c>
      <c r="U22" s="5" t="s">
        <v>476</v>
      </c>
      <c r="V22" s="5"/>
      <c r="W22" s="3" t="s">
        <v>655</v>
      </c>
      <c r="X22" s="5" t="s">
        <v>600</v>
      </c>
      <c r="Y22" s="5" t="s">
        <v>634</v>
      </c>
      <c r="Z22" s="5" t="s">
        <v>656</v>
      </c>
    </row>
    <row r="23" ht="63.0" customHeight="1">
      <c r="A23" s="21">
        <v>19.0</v>
      </c>
      <c r="B23" s="22" t="s">
        <v>678</v>
      </c>
      <c r="C23" s="5" t="s">
        <v>647</v>
      </c>
      <c r="D23" s="5" t="s">
        <v>648</v>
      </c>
      <c r="E23" s="5" t="s">
        <v>670</v>
      </c>
      <c r="F23" s="5" t="s">
        <v>679</v>
      </c>
      <c r="G23" s="21">
        <v>9.8</v>
      </c>
      <c r="H23" s="21" t="str">
        <f t="shared" si="1"/>
        <v>Critical</v>
      </c>
      <c r="I23" s="5" t="s">
        <v>589</v>
      </c>
      <c r="J23" s="21" t="s">
        <v>651</v>
      </c>
      <c r="K23" s="21" t="s">
        <v>450</v>
      </c>
      <c r="L23" s="5" t="s">
        <v>680</v>
      </c>
      <c r="M23" s="21" t="s">
        <v>266</v>
      </c>
      <c r="N23" s="21" t="s">
        <v>452</v>
      </c>
      <c r="O23" s="21" t="s">
        <v>99</v>
      </c>
      <c r="P23" s="21">
        <v>65.0</v>
      </c>
      <c r="Q23" s="5" t="s">
        <v>345</v>
      </c>
      <c r="R23" s="5" t="s">
        <v>453</v>
      </c>
      <c r="S23" s="5" t="s">
        <v>653</v>
      </c>
      <c r="T23" s="23" t="s">
        <v>681</v>
      </c>
      <c r="U23" s="5" t="s">
        <v>476</v>
      </c>
      <c r="V23" s="5"/>
      <c r="W23" s="3" t="s">
        <v>655</v>
      </c>
      <c r="X23" s="5" t="s">
        <v>600</v>
      </c>
      <c r="Y23" s="5" t="s">
        <v>634</v>
      </c>
      <c r="Z23" s="5" t="s">
        <v>656</v>
      </c>
    </row>
    <row r="24" ht="63.0" customHeight="1">
      <c r="A24" s="21">
        <v>20.0</v>
      </c>
      <c r="B24" s="22" t="s">
        <v>682</v>
      </c>
      <c r="C24" s="5" t="s">
        <v>647</v>
      </c>
      <c r="D24" s="5" t="s">
        <v>683</v>
      </c>
      <c r="E24" s="5" t="s">
        <v>684</v>
      </c>
      <c r="F24" s="5" t="s">
        <v>436</v>
      </c>
      <c r="G24" s="21"/>
      <c r="H24" s="21" t="str">
        <f t="shared" si="1"/>
        <v>Not scored</v>
      </c>
      <c r="I24" s="5"/>
      <c r="J24" s="21" t="s">
        <v>685</v>
      </c>
      <c r="K24" s="21" t="s">
        <v>450</v>
      </c>
      <c r="L24" s="5" t="s">
        <v>686</v>
      </c>
      <c r="M24" s="21" t="s">
        <v>266</v>
      </c>
      <c r="N24" s="21" t="s">
        <v>452</v>
      </c>
      <c r="O24" s="21" t="s">
        <v>99</v>
      </c>
      <c r="P24" s="21">
        <v>65.0</v>
      </c>
      <c r="Q24" s="5" t="s">
        <v>345</v>
      </c>
      <c r="R24" s="5" t="s">
        <v>453</v>
      </c>
      <c r="S24" s="5" t="s">
        <v>653</v>
      </c>
      <c r="T24" s="23" t="s">
        <v>687</v>
      </c>
      <c r="U24" s="5" t="s">
        <v>476</v>
      </c>
      <c r="V24" s="5"/>
      <c r="W24" s="3" t="s">
        <v>655</v>
      </c>
      <c r="X24" s="5" t="s">
        <v>600</v>
      </c>
      <c r="Y24" s="5" t="s">
        <v>634</v>
      </c>
      <c r="Z24" s="5" t="s">
        <v>656</v>
      </c>
    </row>
    <row r="25" ht="63.0" customHeight="1">
      <c r="A25" s="21">
        <v>21.0</v>
      </c>
      <c r="B25" s="22" t="s">
        <v>701</v>
      </c>
      <c r="C25" s="5" t="s">
        <v>647</v>
      </c>
      <c r="D25" s="5" t="s">
        <v>683</v>
      </c>
      <c r="E25" s="5" t="s">
        <v>684</v>
      </c>
      <c r="F25" s="5" t="s">
        <v>436</v>
      </c>
      <c r="G25" s="21"/>
      <c r="H25" s="21" t="str">
        <f t="shared" si="1"/>
        <v>Not scored</v>
      </c>
      <c r="I25" s="5"/>
      <c r="J25" s="21" t="s">
        <v>685</v>
      </c>
      <c r="K25" s="21" t="s">
        <v>450</v>
      </c>
      <c r="L25" s="5" t="s">
        <v>703</v>
      </c>
      <c r="M25" s="21" t="s">
        <v>266</v>
      </c>
      <c r="N25" s="21" t="s">
        <v>452</v>
      </c>
      <c r="O25" s="21" t="s">
        <v>99</v>
      </c>
      <c r="P25" s="21">
        <v>65.0</v>
      </c>
      <c r="Q25" s="5" t="s">
        <v>345</v>
      </c>
      <c r="R25" s="5" t="s">
        <v>453</v>
      </c>
      <c r="S25" s="5" t="s">
        <v>653</v>
      </c>
      <c r="T25" s="23" t="s">
        <v>709</v>
      </c>
      <c r="U25" s="5" t="s">
        <v>476</v>
      </c>
      <c r="V25" s="5"/>
      <c r="W25" s="3" t="s">
        <v>655</v>
      </c>
      <c r="X25" s="5" t="s">
        <v>600</v>
      </c>
      <c r="Y25" s="5" t="s">
        <v>634</v>
      </c>
      <c r="Z25" s="5" t="s">
        <v>656</v>
      </c>
    </row>
    <row r="26" ht="63.0" customHeight="1">
      <c r="A26" s="21">
        <v>22.0</v>
      </c>
      <c r="B26" s="22" t="s">
        <v>711</v>
      </c>
      <c r="C26" s="5" t="s">
        <v>647</v>
      </c>
      <c r="D26" s="5" t="s">
        <v>683</v>
      </c>
      <c r="E26" s="5" t="s">
        <v>684</v>
      </c>
      <c r="F26" s="5" t="s">
        <v>436</v>
      </c>
      <c r="G26" s="21"/>
      <c r="H26" s="21" t="str">
        <f t="shared" si="1"/>
        <v>Not scored</v>
      </c>
      <c r="I26" s="5"/>
      <c r="J26" s="21" t="s">
        <v>685</v>
      </c>
      <c r="K26" s="21" t="s">
        <v>450</v>
      </c>
      <c r="L26" s="5" t="s">
        <v>713</v>
      </c>
      <c r="M26" s="21" t="s">
        <v>266</v>
      </c>
      <c r="N26" s="21" t="s">
        <v>452</v>
      </c>
      <c r="O26" s="21" t="s">
        <v>99</v>
      </c>
      <c r="P26" s="21">
        <v>65.0</v>
      </c>
      <c r="Q26" s="5" t="s">
        <v>345</v>
      </c>
      <c r="R26" s="5" t="s">
        <v>453</v>
      </c>
      <c r="S26" s="5" t="s">
        <v>653</v>
      </c>
      <c r="T26" s="23" t="s">
        <v>714</v>
      </c>
      <c r="U26" s="5" t="s">
        <v>476</v>
      </c>
      <c r="V26" s="5"/>
      <c r="W26" s="3" t="s">
        <v>655</v>
      </c>
      <c r="X26" s="5" t="s">
        <v>600</v>
      </c>
      <c r="Y26" s="5" t="s">
        <v>634</v>
      </c>
      <c r="Z26" s="5" t="s">
        <v>656</v>
      </c>
    </row>
    <row r="27" ht="63.0" customHeight="1">
      <c r="A27" s="21">
        <v>23.0</v>
      </c>
      <c r="B27" s="22" t="s">
        <v>724</v>
      </c>
      <c r="C27" s="5" t="s">
        <v>647</v>
      </c>
      <c r="D27" s="5" t="s">
        <v>683</v>
      </c>
      <c r="E27" s="5" t="s">
        <v>684</v>
      </c>
      <c r="F27" s="5" t="s">
        <v>436</v>
      </c>
      <c r="G27" s="21"/>
      <c r="H27" s="21" t="str">
        <f t="shared" si="1"/>
        <v>Not scored</v>
      </c>
      <c r="I27" s="5"/>
      <c r="J27" s="21" t="s">
        <v>685</v>
      </c>
      <c r="K27" s="21" t="s">
        <v>450</v>
      </c>
      <c r="L27" s="5" t="s">
        <v>732</v>
      </c>
      <c r="M27" s="21" t="s">
        <v>266</v>
      </c>
      <c r="N27" s="21" t="s">
        <v>452</v>
      </c>
      <c r="O27" s="21" t="s">
        <v>99</v>
      </c>
      <c r="P27" s="21">
        <v>65.0</v>
      </c>
      <c r="Q27" s="5" t="s">
        <v>345</v>
      </c>
      <c r="R27" s="5" t="s">
        <v>453</v>
      </c>
      <c r="S27" s="5" t="s">
        <v>653</v>
      </c>
      <c r="T27" s="23" t="s">
        <v>735</v>
      </c>
      <c r="U27" s="5" t="s">
        <v>476</v>
      </c>
      <c r="V27" s="5"/>
      <c r="W27" s="3" t="s">
        <v>655</v>
      </c>
      <c r="X27" s="5" t="s">
        <v>600</v>
      </c>
      <c r="Y27" s="5" t="s">
        <v>634</v>
      </c>
      <c r="Z27" s="5" t="s">
        <v>656</v>
      </c>
    </row>
    <row r="28" ht="63.0" customHeight="1">
      <c r="A28" s="21">
        <v>24.0</v>
      </c>
      <c r="B28" s="22" t="s">
        <v>741</v>
      </c>
      <c r="C28" s="5" t="s">
        <v>647</v>
      </c>
      <c r="D28" s="5" t="s">
        <v>683</v>
      </c>
      <c r="E28" s="5" t="s">
        <v>684</v>
      </c>
      <c r="F28" s="5" t="s">
        <v>436</v>
      </c>
      <c r="G28" s="21"/>
      <c r="H28" s="21" t="str">
        <f t="shared" si="1"/>
        <v>Not scored</v>
      </c>
      <c r="I28" s="5"/>
      <c r="J28" s="21" t="s">
        <v>685</v>
      </c>
      <c r="K28" s="21" t="s">
        <v>450</v>
      </c>
      <c r="L28" s="5" t="s">
        <v>742</v>
      </c>
      <c r="M28" s="21" t="s">
        <v>266</v>
      </c>
      <c r="N28" s="21" t="s">
        <v>452</v>
      </c>
      <c r="O28" s="21" t="s">
        <v>99</v>
      </c>
      <c r="P28" s="21">
        <v>65.0</v>
      </c>
      <c r="Q28" s="5" t="s">
        <v>345</v>
      </c>
      <c r="R28" s="5" t="s">
        <v>453</v>
      </c>
      <c r="S28" s="5" t="s">
        <v>653</v>
      </c>
      <c r="T28" s="23" t="s">
        <v>744</v>
      </c>
      <c r="U28" s="5" t="s">
        <v>476</v>
      </c>
      <c r="V28" s="5"/>
      <c r="W28" s="3" t="s">
        <v>655</v>
      </c>
      <c r="X28" s="5" t="s">
        <v>600</v>
      </c>
      <c r="Y28" s="5" t="s">
        <v>634</v>
      </c>
      <c r="Z28" s="5" t="s">
        <v>656</v>
      </c>
    </row>
    <row r="29" ht="63.0" customHeight="1">
      <c r="A29" s="21">
        <v>25.0</v>
      </c>
      <c r="B29" s="22" t="s">
        <v>753</v>
      </c>
      <c r="C29" s="5" t="s">
        <v>647</v>
      </c>
      <c r="D29" s="5" t="s">
        <v>683</v>
      </c>
      <c r="E29" s="5" t="s">
        <v>684</v>
      </c>
      <c r="F29" s="5" t="s">
        <v>436</v>
      </c>
      <c r="G29" s="21"/>
      <c r="H29" s="21" t="str">
        <f t="shared" si="1"/>
        <v>Not scored</v>
      </c>
      <c r="I29" s="5"/>
      <c r="J29" s="21" t="s">
        <v>757</v>
      </c>
      <c r="K29" s="21" t="s">
        <v>450</v>
      </c>
      <c r="L29" s="5" t="s">
        <v>758</v>
      </c>
      <c r="M29" s="21" t="s">
        <v>266</v>
      </c>
      <c r="N29" s="21" t="s">
        <v>452</v>
      </c>
      <c r="O29" s="21" t="s">
        <v>99</v>
      </c>
      <c r="P29" s="21">
        <v>65.0</v>
      </c>
      <c r="Q29" s="5" t="s">
        <v>345</v>
      </c>
      <c r="R29" s="5" t="s">
        <v>453</v>
      </c>
      <c r="S29" s="5" t="s">
        <v>653</v>
      </c>
      <c r="T29" s="23" t="s">
        <v>759</v>
      </c>
      <c r="U29" s="5" t="s">
        <v>476</v>
      </c>
      <c r="V29" s="5"/>
      <c r="W29" s="3" t="s">
        <v>655</v>
      </c>
      <c r="X29" s="5" t="s">
        <v>600</v>
      </c>
      <c r="Y29" s="5" t="s">
        <v>634</v>
      </c>
      <c r="Z29" s="5" t="s">
        <v>656</v>
      </c>
    </row>
    <row r="30" ht="63.0" customHeight="1">
      <c r="A30" s="21">
        <v>26.0</v>
      </c>
      <c r="B30" s="22" t="s">
        <v>767</v>
      </c>
      <c r="C30" s="5" t="s">
        <v>647</v>
      </c>
      <c r="D30" s="5" t="s">
        <v>683</v>
      </c>
      <c r="E30" s="5" t="s">
        <v>684</v>
      </c>
      <c r="F30" s="5" t="s">
        <v>650</v>
      </c>
      <c r="G30" s="21">
        <v>5.4</v>
      </c>
      <c r="H30" s="21" t="str">
        <f t="shared" si="1"/>
        <v>Medium</v>
      </c>
      <c r="I30" s="5" t="s">
        <v>589</v>
      </c>
      <c r="J30" s="21" t="s">
        <v>757</v>
      </c>
      <c r="K30" s="21" t="s">
        <v>450</v>
      </c>
      <c r="L30" s="5" t="s">
        <v>768</v>
      </c>
      <c r="M30" s="21" t="s">
        <v>266</v>
      </c>
      <c r="N30" s="21" t="s">
        <v>452</v>
      </c>
      <c r="O30" s="21" t="s">
        <v>99</v>
      </c>
      <c r="P30" s="21">
        <v>65.0</v>
      </c>
      <c r="Q30" s="5" t="s">
        <v>345</v>
      </c>
      <c r="R30" s="5" t="s">
        <v>453</v>
      </c>
      <c r="S30" s="5" t="s">
        <v>653</v>
      </c>
      <c r="T30" s="23" t="s">
        <v>771</v>
      </c>
      <c r="U30" s="5" t="s">
        <v>476</v>
      </c>
      <c r="V30" s="5"/>
      <c r="W30" s="3" t="s">
        <v>655</v>
      </c>
      <c r="X30" s="5" t="s">
        <v>600</v>
      </c>
      <c r="Y30" s="5" t="s">
        <v>634</v>
      </c>
      <c r="Z30" s="5" t="s">
        <v>656</v>
      </c>
    </row>
    <row r="31" ht="63.0" customHeight="1">
      <c r="A31" s="21">
        <v>27.0</v>
      </c>
      <c r="B31" s="22" t="s">
        <v>781</v>
      </c>
      <c r="C31" s="5" t="s">
        <v>647</v>
      </c>
      <c r="D31" s="5" t="s">
        <v>683</v>
      </c>
      <c r="E31" s="5" t="s">
        <v>684</v>
      </c>
      <c r="F31" s="5" t="s">
        <v>436</v>
      </c>
      <c r="G31" s="21"/>
      <c r="H31" s="21" t="str">
        <f t="shared" si="1"/>
        <v>Not scored</v>
      </c>
      <c r="I31" s="5"/>
      <c r="J31" s="21" t="s">
        <v>757</v>
      </c>
      <c r="K31" s="21" t="s">
        <v>450</v>
      </c>
      <c r="L31" s="5" t="s">
        <v>784</v>
      </c>
      <c r="M31" s="21" t="s">
        <v>266</v>
      </c>
      <c r="N31" s="21" t="s">
        <v>452</v>
      </c>
      <c r="O31" s="21" t="s">
        <v>99</v>
      </c>
      <c r="P31" s="21">
        <v>65.0</v>
      </c>
      <c r="Q31" s="5" t="s">
        <v>345</v>
      </c>
      <c r="R31" s="5" t="s">
        <v>453</v>
      </c>
      <c r="S31" s="5" t="s">
        <v>653</v>
      </c>
      <c r="T31" s="23" t="s">
        <v>785</v>
      </c>
      <c r="U31" s="5" t="s">
        <v>476</v>
      </c>
      <c r="V31" s="5"/>
      <c r="W31" s="3" t="s">
        <v>655</v>
      </c>
      <c r="X31" s="5" t="s">
        <v>600</v>
      </c>
      <c r="Y31" s="5" t="s">
        <v>634</v>
      </c>
      <c r="Z31" s="5" t="s">
        <v>656</v>
      </c>
    </row>
    <row r="32" ht="63.0" customHeight="1">
      <c r="A32" s="21">
        <v>28.0</v>
      </c>
      <c r="B32" s="22" t="s">
        <v>791</v>
      </c>
      <c r="C32" s="5" t="s">
        <v>647</v>
      </c>
      <c r="D32" s="5" t="s">
        <v>792</v>
      </c>
      <c r="E32" s="5" t="s">
        <v>793</v>
      </c>
      <c r="F32" s="5" t="s">
        <v>794</v>
      </c>
      <c r="G32" s="21">
        <v>7.5</v>
      </c>
      <c r="H32" s="21" t="str">
        <f t="shared" si="1"/>
        <v>High</v>
      </c>
      <c r="I32" s="5" t="s">
        <v>589</v>
      </c>
      <c r="J32" s="21" t="s">
        <v>795</v>
      </c>
      <c r="K32" s="21" t="s">
        <v>450</v>
      </c>
      <c r="L32" s="5" t="s">
        <v>798</v>
      </c>
      <c r="M32" s="21" t="s">
        <v>266</v>
      </c>
      <c r="N32" s="21" t="s">
        <v>452</v>
      </c>
      <c r="O32" s="21" t="s">
        <v>99</v>
      </c>
      <c r="P32" s="21">
        <v>65.0</v>
      </c>
      <c r="Q32" s="5" t="s">
        <v>345</v>
      </c>
      <c r="R32" s="5" t="s">
        <v>453</v>
      </c>
      <c r="S32" s="5" t="s">
        <v>802</v>
      </c>
      <c r="T32" s="23" t="s">
        <v>803</v>
      </c>
      <c r="U32" s="5" t="s">
        <v>476</v>
      </c>
      <c r="V32" s="5"/>
      <c r="W32" s="3" t="s">
        <v>655</v>
      </c>
      <c r="X32" s="5" t="s">
        <v>600</v>
      </c>
      <c r="Y32" s="5" t="s">
        <v>634</v>
      </c>
      <c r="Z32" s="5" t="s">
        <v>656</v>
      </c>
    </row>
    <row r="33" ht="63.0" customHeight="1">
      <c r="A33" s="21">
        <v>29.0</v>
      </c>
      <c r="B33" s="22" t="s">
        <v>809</v>
      </c>
      <c r="C33" s="5" t="s">
        <v>647</v>
      </c>
      <c r="D33" s="5" t="s">
        <v>792</v>
      </c>
      <c r="E33" s="5" t="s">
        <v>810</v>
      </c>
      <c r="F33" s="5" t="s">
        <v>436</v>
      </c>
      <c r="G33" s="21"/>
      <c r="H33" s="21" t="str">
        <f t="shared" si="1"/>
        <v>Not scored</v>
      </c>
      <c r="I33" s="5"/>
      <c r="J33" s="21" t="s">
        <v>811</v>
      </c>
      <c r="K33" s="21" t="s">
        <v>450</v>
      </c>
      <c r="L33" s="5" t="s">
        <v>812</v>
      </c>
      <c r="M33" s="21" t="s">
        <v>266</v>
      </c>
      <c r="N33" s="21" t="s">
        <v>452</v>
      </c>
      <c r="O33" s="21" t="s">
        <v>99</v>
      </c>
      <c r="P33" s="21">
        <v>65.0</v>
      </c>
      <c r="Q33" s="5" t="s">
        <v>345</v>
      </c>
      <c r="R33" s="5" t="s">
        <v>453</v>
      </c>
      <c r="S33" s="5" t="s">
        <v>802</v>
      </c>
      <c r="T33" s="23" t="s">
        <v>813</v>
      </c>
      <c r="U33" s="5" t="s">
        <v>476</v>
      </c>
      <c r="V33" s="5"/>
      <c r="W33" s="3" t="s">
        <v>655</v>
      </c>
      <c r="X33" s="5" t="s">
        <v>600</v>
      </c>
      <c r="Y33" s="5" t="s">
        <v>634</v>
      </c>
      <c r="Z33" s="5" t="s">
        <v>656</v>
      </c>
    </row>
    <row r="34" ht="63.0" customHeight="1">
      <c r="A34" s="21">
        <v>30.0</v>
      </c>
      <c r="B34" s="22" t="s">
        <v>820</v>
      </c>
      <c r="C34" s="5" t="s">
        <v>647</v>
      </c>
      <c r="D34" s="5" t="s">
        <v>792</v>
      </c>
      <c r="E34" s="5" t="s">
        <v>810</v>
      </c>
      <c r="F34" s="5" t="s">
        <v>436</v>
      </c>
      <c r="G34" s="21"/>
      <c r="H34" s="21" t="str">
        <f t="shared" si="1"/>
        <v>Not scored</v>
      </c>
      <c r="I34" s="5"/>
      <c r="J34" s="21" t="s">
        <v>811</v>
      </c>
      <c r="K34" s="21" t="s">
        <v>450</v>
      </c>
      <c r="L34" s="5" t="s">
        <v>826</v>
      </c>
      <c r="M34" s="21" t="s">
        <v>266</v>
      </c>
      <c r="N34" s="21" t="s">
        <v>452</v>
      </c>
      <c r="O34" s="21" t="s">
        <v>99</v>
      </c>
      <c r="P34" s="21">
        <v>65.0</v>
      </c>
      <c r="Q34" s="5" t="s">
        <v>345</v>
      </c>
      <c r="R34" s="5" t="s">
        <v>453</v>
      </c>
      <c r="S34" s="5" t="s">
        <v>802</v>
      </c>
      <c r="T34" s="23" t="s">
        <v>828</v>
      </c>
      <c r="U34" s="5" t="s">
        <v>476</v>
      </c>
      <c r="V34" s="5"/>
      <c r="W34" s="3" t="s">
        <v>655</v>
      </c>
      <c r="X34" s="5" t="s">
        <v>600</v>
      </c>
      <c r="Y34" s="5" t="s">
        <v>634</v>
      </c>
      <c r="Z34" s="5" t="s">
        <v>656</v>
      </c>
    </row>
    <row r="35" ht="51.75" customHeight="1">
      <c r="A35" s="21">
        <v>31.0</v>
      </c>
      <c r="B35" s="22" t="s">
        <v>834</v>
      </c>
      <c r="C35" s="5" t="s">
        <v>835</v>
      </c>
      <c r="D35" s="5" t="s">
        <v>837</v>
      </c>
      <c r="E35" s="5" t="s">
        <v>628</v>
      </c>
      <c r="F35" s="5" t="s">
        <v>663</v>
      </c>
      <c r="G35" s="21">
        <v>7.5</v>
      </c>
      <c r="H35" s="21" t="str">
        <f t="shared" si="1"/>
        <v>High</v>
      </c>
      <c r="I35" s="5" t="s">
        <v>589</v>
      </c>
      <c r="J35" s="21" t="s">
        <v>838</v>
      </c>
      <c r="K35" s="21" t="s">
        <v>450</v>
      </c>
      <c r="L35" s="5" t="s">
        <v>839</v>
      </c>
      <c r="M35" s="21" t="s">
        <v>82</v>
      </c>
      <c r="N35" s="21" t="s">
        <v>613</v>
      </c>
      <c r="O35" s="21" t="s">
        <v>99</v>
      </c>
      <c r="P35" s="21">
        <v>65.0</v>
      </c>
      <c r="Q35" s="5" t="s">
        <v>345</v>
      </c>
      <c r="R35" s="5" t="s">
        <v>453</v>
      </c>
      <c r="S35" s="5" t="s">
        <v>332</v>
      </c>
      <c r="T35" s="23" t="s">
        <v>840</v>
      </c>
      <c r="U35" s="5" t="s">
        <v>476</v>
      </c>
      <c r="V35" s="5"/>
      <c r="W35" s="3" t="s">
        <v>752</v>
      </c>
      <c r="X35" s="5" t="s">
        <v>342</v>
      </c>
      <c r="Y35" s="5" t="s">
        <v>634</v>
      </c>
      <c r="Z35" s="5" t="s">
        <v>761</v>
      </c>
    </row>
    <row r="36" ht="51.75" customHeight="1">
      <c r="A36" s="21">
        <v>32.0</v>
      </c>
      <c r="B36" s="22" t="s">
        <v>846</v>
      </c>
      <c r="C36" s="5" t="s">
        <v>835</v>
      </c>
      <c r="D36" s="5" t="s">
        <v>837</v>
      </c>
      <c r="E36" s="5" t="s">
        <v>628</v>
      </c>
      <c r="F36" s="5" t="s">
        <v>850</v>
      </c>
      <c r="G36" s="21">
        <v>7.5</v>
      </c>
      <c r="H36" s="21" t="str">
        <f t="shared" si="1"/>
        <v>High</v>
      </c>
      <c r="I36" s="5" t="s">
        <v>589</v>
      </c>
      <c r="J36" s="21" t="s">
        <v>838</v>
      </c>
      <c r="K36" s="21" t="s">
        <v>450</v>
      </c>
      <c r="L36" s="5" t="s">
        <v>852</v>
      </c>
      <c r="M36" s="21" t="s">
        <v>82</v>
      </c>
      <c r="N36" s="21" t="s">
        <v>613</v>
      </c>
      <c r="O36" s="21" t="s">
        <v>99</v>
      </c>
      <c r="P36" s="21">
        <v>65.0</v>
      </c>
      <c r="Q36" s="5" t="s">
        <v>345</v>
      </c>
      <c r="R36" s="5" t="s">
        <v>453</v>
      </c>
      <c r="S36" s="5" t="s">
        <v>332</v>
      </c>
      <c r="T36" s="23" t="s">
        <v>853</v>
      </c>
      <c r="U36" s="5" t="s">
        <v>476</v>
      </c>
      <c r="V36" s="5"/>
      <c r="W36" s="3" t="s">
        <v>752</v>
      </c>
      <c r="X36" s="5" t="s">
        <v>342</v>
      </c>
      <c r="Y36" s="5" t="s">
        <v>634</v>
      </c>
      <c r="Z36" s="5" t="s">
        <v>761</v>
      </c>
    </row>
    <row r="37" ht="51.75" customHeight="1">
      <c r="A37" s="21">
        <v>33.0</v>
      </c>
      <c r="B37" s="22" t="s">
        <v>858</v>
      </c>
      <c r="C37" s="5" t="s">
        <v>835</v>
      </c>
      <c r="D37" s="5" t="s">
        <v>837</v>
      </c>
      <c r="E37" s="5" t="s">
        <v>628</v>
      </c>
      <c r="F37" s="5" t="s">
        <v>859</v>
      </c>
      <c r="G37" s="21">
        <v>9.8</v>
      </c>
      <c r="H37" s="21" t="str">
        <f t="shared" si="1"/>
        <v>Critical</v>
      </c>
      <c r="I37" s="5" t="s">
        <v>589</v>
      </c>
      <c r="J37" s="21" t="s">
        <v>838</v>
      </c>
      <c r="K37" s="21" t="s">
        <v>450</v>
      </c>
      <c r="L37" s="5" t="s">
        <v>860</v>
      </c>
      <c r="M37" s="21" t="s">
        <v>82</v>
      </c>
      <c r="N37" s="21" t="s">
        <v>613</v>
      </c>
      <c r="O37" s="21" t="s">
        <v>99</v>
      </c>
      <c r="P37" s="21">
        <v>65.0</v>
      </c>
      <c r="Q37" s="5" t="s">
        <v>345</v>
      </c>
      <c r="R37" s="5" t="s">
        <v>453</v>
      </c>
      <c r="S37" s="5" t="s">
        <v>332</v>
      </c>
      <c r="T37" s="23" t="s">
        <v>861</v>
      </c>
      <c r="U37" s="5" t="s">
        <v>476</v>
      </c>
      <c r="V37" s="5"/>
      <c r="W37" s="3" t="s">
        <v>752</v>
      </c>
      <c r="X37" s="5" t="s">
        <v>342</v>
      </c>
      <c r="Y37" s="5" t="s">
        <v>634</v>
      </c>
      <c r="Z37" s="5" t="s">
        <v>761</v>
      </c>
    </row>
    <row r="38" ht="51.75" customHeight="1">
      <c r="A38" s="21">
        <v>34.0</v>
      </c>
      <c r="B38" s="22" t="s">
        <v>874</v>
      </c>
      <c r="C38" s="5" t="s">
        <v>835</v>
      </c>
      <c r="D38" s="5" t="s">
        <v>837</v>
      </c>
      <c r="E38" s="5" t="s">
        <v>628</v>
      </c>
      <c r="F38" s="5" t="s">
        <v>875</v>
      </c>
      <c r="G38" s="21">
        <v>7.5</v>
      </c>
      <c r="H38" s="21" t="str">
        <f t="shared" si="1"/>
        <v>High</v>
      </c>
      <c r="I38" s="5" t="s">
        <v>589</v>
      </c>
      <c r="J38" s="21" t="s">
        <v>838</v>
      </c>
      <c r="K38" s="21" t="s">
        <v>450</v>
      </c>
      <c r="L38" s="5" t="s">
        <v>880</v>
      </c>
      <c r="M38" s="21" t="s">
        <v>82</v>
      </c>
      <c r="N38" s="21" t="s">
        <v>613</v>
      </c>
      <c r="O38" s="21" t="s">
        <v>99</v>
      </c>
      <c r="P38" s="21">
        <v>65.0</v>
      </c>
      <c r="Q38" s="5" t="s">
        <v>345</v>
      </c>
      <c r="R38" s="5" t="s">
        <v>453</v>
      </c>
      <c r="S38" s="5" t="s">
        <v>332</v>
      </c>
      <c r="T38" s="23" t="s">
        <v>882</v>
      </c>
      <c r="U38" s="5" t="s">
        <v>476</v>
      </c>
      <c r="V38" s="5"/>
      <c r="W38" s="3" t="s">
        <v>752</v>
      </c>
      <c r="X38" s="5" t="s">
        <v>342</v>
      </c>
      <c r="Y38" s="5" t="s">
        <v>634</v>
      </c>
      <c r="Z38" s="5" t="s">
        <v>761</v>
      </c>
    </row>
    <row r="39" ht="63.0" customHeight="1">
      <c r="A39" s="21">
        <v>35.0</v>
      </c>
      <c r="B39" s="22" t="s">
        <v>889</v>
      </c>
      <c r="C39" s="5" t="s">
        <v>647</v>
      </c>
      <c r="D39" s="5" t="s">
        <v>890</v>
      </c>
      <c r="E39" s="5" t="s">
        <v>891</v>
      </c>
      <c r="F39" s="5" t="s">
        <v>671</v>
      </c>
      <c r="G39" s="21">
        <v>9.8</v>
      </c>
      <c r="H39" s="21" t="str">
        <f t="shared" si="1"/>
        <v>Critical</v>
      </c>
      <c r="I39" s="5" t="s">
        <v>589</v>
      </c>
      <c r="J39" s="21" t="s">
        <v>838</v>
      </c>
      <c r="K39" s="21" t="s">
        <v>450</v>
      </c>
      <c r="L39" s="5" t="s">
        <v>892</v>
      </c>
      <c r="M39" s="21" t="s">
        <v>266</v>
      </c>
      <c r="N39" s="21" t="s">
        <v>452</v>
      </c>
      <c r="O39" s="21" t="s">
        <v>99</v>
      </c>
      <c r="P39" s="21">
        <v>65.0</v>
      </c>
      <c r="Q39" s="5" t="s">
        <v>345</v>
      </c>
      <c r="R39" s="5" t="s">
        <v>453</v>
      </c>
      <c r="S39" s="5" t="s">
        <v>802</v>
      </c>
      <c r="T39" s="23" t="s">
        <v>895</v>
      </c>
      <c r="U39" s="5" t="s">
        <v>476</v>
      </c>
      <c r="V39" s="5"/>
      <c r="W39" s="3" t="s">
        <v>655</v>
      </c>
      <c r="X39" s="5" t="s">
        <v>600</v>
      </c>
      <c r="Y39" s="5" t="s">
        <v>634</v>
      </c>
      <c r="Z39" s="5" t="s">
        <v>656</v>
      </c>
    </row>
    <row r="40" ht="63.0" customHeight="1">
      <c r="A40" s="21">
        <v>36.0</v>
      </c>
      <c r="B40" s="22" t="s">
        <v>902</v>
      </c>
      <c r="C40" s="5" t="s">
        <v>647</v>
      </c>
      <c r="D40" s="5" t="s">
        <v>890</v>
      </c>
      <c r="E40" s="5" t="s">
        <v>891</v>
      </c>
      <c r="F40" s="5" t="s">
        <v>650</v>
      </c>
      <c r="G40" s="21">
        <v>6.1</v>
      </c>
      <c r="H40" s="21" t="str">
        <f t="shared" si="1"/>
        <v>Medium</v>
      </c>
      <c r="I40" s="5" t="s">
        <v>589</v>
      </c>
      <c r="J40" s="21" t="s">
        <v>838</v>
      </c>
      <c r="K40" s="21" t="s">
        <v>450</v>
      </c>
      <c r="L40" s="5" t="s">
        <v>903</v>
      </c>
      <c r="M40" s="21" t="s">
        <v>266</v>
      </c>
      <c r="N40" s="21" t="s">
        <v>452</v>
      </c>
      <c r="O40" s="21" t="s">
        <v>99</v>
      </c>
      <c r="P40" s="21">
        <v>65.0</v>
      </c>
      <c r="Q40" s="5" t="s">
        <v>345</v>
      </c>
      <c r="R40" s="5" t="s">
        <v>453</v>
      </c>
      <c r="S40" s="5" t="s">
        <v>802</v>
      </c>
      <c r="T40" s="23" t="s">
        <v>904</v>
      </c>
      <c r="U40" s="5" t="s">
        <v>476</v>
      </c>
      <c r="V40" s="5"/>
      <c r="W40" s="3" t="s">
        <v>655</v>
      </c>
      <c r="X40" s="5" t="s">
        <v>600</v>
      </c>
      <c r="Y40" s="5" t="s">
        <v>634</v>
      </c>
      <c r="Z40" s="5" t="s">
        <v>656</v>
      </c>
    </row>
    <row r="41" ht="51.75" customHeight="1">
      <c r="A41" s="21">
        <v>37.0</v>
      </c>
      <c r="B41" s="22" t="s">
        <v>911</v>
      </c>
      <c r="C41" s="5" t="s">
        <v>835</v>
      </c>
      <c r="D41" s="5" t="s">
        <v>912</v>
      </c>
      <c r="E41" s="5" t="s">
        <v>891</v>
      </c>
      <c r="F41" s="5" t="s">
        <v>584</v>
      </c>
      <c r="G41" s="21">
        <v>9.8</v>
      </c>
      <c r="H41" s="21" t="str">
        <f t="shared" si="1"/>
        <v>Critical</v>
      </c>
      <c r="I41" s="5" t="s">
        <v>589</v>
      </c>
      <c r="J41" s="21" t="s">
        <v>838</v>
      </c>
      <c r="K41" s="21" t="s">
        <v>450</v>
      </c>
      <c r="L41" s="5" t="s">
        <v>914</v>
      </c>
      <c r="M41" s="21" t="s">
        <v>82</v>
      </c>
      <c r="N41" s="21" t="s">
        <v>613</v>
      </c>
      <c r="O41" s="21" t="s">
        <v>99</v>
      </c>
      <c r="P41" s="21">
        <v>65.0</v>
      </c>
      <c r="Q41" s="5" t="s">
        <v>345</v>
      </c>
      <c r="R41" s="5" t="s">
        <v>453</v>
      </c>
      <c r="S41" s="5" t="s">
        <v>332</v>
      </c>
      <c r="T41" s="23" t="s">
        <v>918</v>
      </c>
      <c r="U41" s="5" t="s">
        <v>476</v>
      </c>
      <c r="V41" s="5"/>
      <c r="W41" s="3" t="s">
        <v>752</v>
      </c>
      <c r="X41" s="5" t="s">
        <v>342</v>
      </c>
      <c r="Y41" s="5" t="s">
        <v>634</v>
      </c>
      <c r="Z41" s="5" t="s">
        <v>761</v>
      </c>
    </row>
    <row r="42" ht="63.0" customHeight="1">
      <c r="A42" s="21">
        <v>38.0</v>
      </c>
      <c r="B42" s="22" t="s">
        <v>926</v>
      </c>
      <c r="C42" s="5" t="s">
        <v>647</v>
      </c>
      <c r="D42" s="5" t="s">
        <v>927</v>
      </c>
      <c r="E42" s="5" t="s">
        <v>928</v>
      </c>
      <c r="F42" s="5" t="s">
        <v>929</v>
      </c>
      <c r="G42" s="21">
        <v>9.8</v>
      </c>
      <c r="H42" s="21" t="str">
        <f t="shared" si="1"/>
        <v>Critical</v>
      </c>
      <c r="I42" s="5" t="s">
        <v>589</v>
      </c>
      <c r="J42" s="21" t="s">
        <v>930</v>
      </c>
      <c r="K42" s="21" t="s">
        <v>450</v>
      </c>
      <c r="L42" s="5" t="s">
        <v>931</v>
      </c>
      <c r="M42" s="21" t="s">
        <v>266</v>
      </c>
      <c r="N42" s="21" t="s">
        <v>452</v>
      </c>
      <c r="O42" s="21" t="s">
        <v>99</v>
      </c>
      <c r="P42" s="21">
        <v>65.0</v>
      </c>
      <c r="Q42" s="5" t="s">
        <v>345</v>
      </c>
      <c r="R42" s="5" t="s">
        <v>453</v>
      </c>
      <c r="S42" s="5" t="s">
        <v>802</v>
      </c>
      <c r="T42" s="23" t="s">
        <v>932</v>
      </c>
      <c r="U42" s="5" t="s">
        <v>476</v>
      </c>
      <c r="V42" s="5"/>
      <c r="W42" s="3" t="s">
        <v>655</v>
      </c>
      <c r="X42" s="5" t="s">
        <v>600</v>
      </c>
      <c r="Y42" s="5" t="s">
        <v>634</v>
      </c>
      <c r="Z42" s="5" t="s">
        <v>656</v>
      </c>
    </row>
    <row r="43" ht="63.0" customHeight="1">
      <c r="A43" s="21">
        <v>39.0</v>
      </c>
      <c r="B43" s="22" t="s">
        <v>936</v>
      </c>
      <c r="C43" s="5" t="s">
        <v>647</v>
      </c>
      <c r="D43" s="5" t="s">
        <v>927</v>
      </c>
      <c r="E43" s="5" t="s">
        <v>928</v>
      </c>
      <c r="F43" s="5" t="s">
        <v>937</v>
      </c>
      <c r="G43" s="21">
        <v>7.5</v>
      </c>
      <c r="H43" s="21" t="str">
        <f t="shared" si="1"/>
        <v>High</v>
      </c>
      <c r="I43" s="5" t="s">
        <v>589</v>
      </c>
      <c r="J43" s="21" t="s">
        <v>930</v>
      </c>
      <c r="K43" s="21" t="s">
        <v>450</v>
      </c>
      <c r="L43" s="5" t="s">
        <v>938</v>
      </c>
      <c r="M43" s="21" t="s">
        <v>266</v>
      </c>
      <c r="N43" s="21" t="s">
        <v>452</v>
      </c>
      <c r="O43" s="21" t="s">
        <v>99</v>
      </c>
      <c r="P43" s="21">
        <v>65.0</v>
      </c>
      <c r="Q43" s="5" t="s">
        <v>345</v>
      </c>
      <c r="R43" s="5" t="s">
        <v>453</v>
      </c>
      <c r="S43" s="5" t="s">
        <v>802</v>
      </c>
      <c r="T43" s="23" t="s">
        <v>940</v>
      </c>
      <c r="U43" s="5" t="s">
        <v>476</v>
      </c>
      <c r="V43" s="5"/>
      <c r="W43" s="3" t="s">
        <v>655</v>
      </c>
      <c r="X43" s="5" t="s">
        <v>600</v>
      </c>
      <c r="Y43" s="5" t="s">
        <v>634</v>
      </c>
      <c r="Z43" s="5" t="s">
        <v>656</v>
      </c>
    </row>
    <row r="44" ht="63.0" customHeight="1">
      <c r="A44" s="21">
        <v>40.0</v>
      </c>
      <c r="B44" s="22" t="s">
        <v>941</v>
      </c>
      <c r="C44" s="5" t="s">
        <v>647</v>
      </c>
      <c r="D44" s="5" t="s">
        <v>927</v>
      </c>
      <c r="E44" s="5" t="s">
        <v>928</v>
      </c>
      <c r="F44" s="5" t="s">
        <v>937</v>
      </c>
      <c r="G44" s="21">
        <v>7.5</v>
      </c>
      <c r="H44" s="21" t="str">
        <f t="shared" si="1"/>
        <v>High</v>
      </c>
      <c r="I44" s="5" t="s">
        <v>589</v>
      </c>
      <c r="J44" s="21" t="s">
        <v>930</v>
      </c>
      <c r="K44" s="21" t="s">
        <v>450</v>
      </c>
      <c r="L44" s="5" t="s">
        <v>942</v>
      </c>
      <c r="M44" s="21" t="s">
        <v>266</v>
      </c>
      <c r="N44" s="21" t="s">
        <v>452</v>
      </c>
      <c r="O44" s="21" t="s">
        <v>99</v>
      </c>
      <c r="P44" s="21">
        <v>65.0</v>
      </c>
      <c r="Q44" s="5" t="s">
        <v>345</v>
      </c>
      <c r="R44" s="5" t="s">
        <v>453</v>
      </c>
      <c r="S44" s="5" t="s">
        <v>802</v>
      </c>
      <c r="T44" s="23" t="s">
        <v>943</v>
      </c>
      <c r="U44" s="5" t="s">
        <v>476</v>
      </c>
      <c r="V44" s="5"/>
      <c r="W44" s="3" t="s">
        <v>655</v>
      </c>
      <c r="X44" s="5" t="s">
        <v>600</v>
      </c>
      <c r="Y44" s="5" t="s">
        <v>634</v>
      </c>
      <c r="Z44" s="5" t="s">
        <v>656</v>
      </c>
    </row>
    <row r="45" ht="63.0" customHeight="1">
      <c r="A45" s="21">
        <v>41.0</v>
      </c>
      <c r="B45" s="22" t="s">
        <v>945</v>
      </c>
      <c r="C45" s="5" t="s">
        <v>647</v>
      </c>
      <c r="D45" s="5" t="s">
        <v>927</v>
      </c>
      <c r="E45" s="5" t="s">
        <v>928</v>
      </c>
      <c r="F45" s="5" t="s">
        <v>937</v>
      </c>
      <c r="G45" s="21">
        <v>7.5</v>
      </c>
      <c r="H45" s="21" t="str">
        <f t="shared" si="1"/>
        <v>High</v>
      </c>
      <c r="I45" s="5" t="s">
        <v>589</v>
      </c>
      <c r="J45" s="21" t="s">
        <v>930</v>
      </c>
      <c r="K45" s="21" t="s">
        <v>450</v>
      </c>
      <c r="L45" s="5" t="s">
        <v>946</v>
      </c>
      <c r="M45" s="21" t="s">
        <v>266</v>
      </c>
      <c r="N45" s="21" t="s">
        <v>452</v>
      </c>
      <c r="O45" s="21" t="s">
        <v>99</v>
      </c>
      <c r="P45" s="21">
        <v>65.0</v>
      </c>
      <c r="Q45" s="5" t="s">
        <v>345</v>
      </c>
      <c r="R45" s="5" t="s">
        <v>453</v>
      </c>
      <c r="S45" s="5" t="s">
        <v>802</v>
      </c>
      <c r="T45" s="23" t="s">
        <v>947</v>
      </c>
      <c r="U45" s="5" t="s">
        <v>476</v>
      </c>
      <c r="V45" s="5"/>
      <c r="W45" s="3" t="s">
        <v>655</v>
      </c>
      <c r="X45" s="5" t="s">
        <v>600</v>
      </c>
      <c r="Y45" s="5" t="s">
        <v>634</v>
      </c>
      <c r="Z45" s="5" t="s">
        <v>656</v>
      </c>
    </row>
    <row r="46" ht="63.0" customHeight="1">
      <c r="A46" s="21">
        <v>42.0</v>
      </c>
      <c r="B46" s="22" t="s">
        <v>949</v>
      </c>
      <c r="C46" s="5" t="s">
        <v>647</v>
      </c>
      <c r="D46" s="5" t="s">
        <v>927</v>
      </c>
      <c r="E46" s="5" t="s">
        <v>928</v>
      </c>
      <c r="F46" s="5" t="s">
        <v>937</v>
      </c>
      <c r="G46" s="21">
        <v>7.5</v>
      </c>
      <c r="H46" s="21" t="str">
        <f t="shared" si="1"/>
        <v>High</v>
      </c>
      <c r="I46" s="5" t="s">
        <v>589</v>
      </c>
      <c r="J46" s="21" t="s">
        <v>930</v>
      </c>
      <c r="K46" s="21" t="s">
        <v>450</v>
      </c>
      <c r="L46" s="5" t="s">
        <v>950</v>
      </c>
      <c r="M46" s="21" t="s">
        <v>266</v>
      </c>
      <c r="N46" s="21" t="s">
        <v>452</v>
      </c>
      <c r="O46" s="21" t="s">
        <v>99</v>
      </c>
      <c r="P46" s="21">
        <v>65.0</v>
      </c>
      <c r="Q46" s="5" t="s">
        <v>345</v>
      </c>
      <c r="R46" s="5" t="s">
        <v>453</v>
      </c>
      <c r="S46" s="5" t="s">
        <v>802</v>
      </c>
      <c r="T46" s="23" t="s">
        <v>951</v>
      </c>
      <c r="U46" s="5" t="s">
        <v>476</v>
      </c>
      <c r="V46" s="5"/>
      <c r="W46" s="3" t="s">
        <v>655</v>
      </c>
      <c r="X46" s="5" t="s">
        <v>600</v>
      </c>
      <c r="Y46" s="5" t="s">
        <v>634</v>
      </c>
      <c r="Z46" s="5" t="s">
        <v>656</v>
      </c>
    </row>
    <row r="47" ht="63.0" customHeight="1">
      <c r="A47" s="21">
        <v>43.0</v>
      </c>
      <c r="B47" s="22" t="s">
        <v>952</v>
      </c>
      <c r="C47" s="5" t="s">
        <v>647</v>
      </c>
      <c r="D47" s="5" t="s">
        <v>927</v>
      </c>
      <c r="E47" s="5" t="s">
        <v>953</v>
      </c>
      <c r="F47" s="5" t="s">
        <v>954</v>
      </c>
      <c r="G47" s="21">
        <v>7.3</v>
      </c>
      <c r="H47" s="21" t="str">
        <f t="shared" si="1"/>
        <v>High</v>
      </c>
      <c r="I47" s="5" t="s">
        <v>589</v>
      </c>
      <c r="J47" s="21" t="s">
        <v>930</v>
      </c>
      <c r="K47" s="21" t="s">
        <v>450</v>
      </c>
      <c r="L47" s="5" t="s">
        <v>955</v>
      </c>
      <c r="M47" s="21" t="s">
        <v>266</v>
      </c>
      <c r="N47" s="21" t="s">
        <v>452</v>
      </c>
      <c r="O47" s="21" t="s">
        <v>99</v>
      </c>
      <c r="P47" s="21">
        <v>65.0</v>
      </c>
      <c r="Q47" s="5" t="s">
        <v>345</v>
      </c>
      <c r="R47" s="5" t="s">
        <v>453</v>
      </c>
      <c r="S47" s="5" t="s">
        <v>653</v>
      </c>
      <c r="T47" s="23" t="s">
        <v>956</v>
      </c>
      <c r="U47" s="5" t="s">
        <v>476</v>
      </c>
      <c r="V47" s="5"/>
      <c r="W47" s="3" t="s">
        <v>655</v>
      </c>
      <c r="X47" s="5" t="s">
        <v>600</v>
      </c>
      <c r="Y47" s="5" t="s">
        <v>634</v>
      </c>
      <c r="Z47" s="5" t="s">
        <v>656</v>
      </c>
    </row>
    <row r="48" ht="51.75" customHeight="1">
      <c r="A48" s="21">
        <v>44.0</v>
      </c>
      <c r="B48" s="22" t="s">
        <v>957</v>
      </c>
      <c r="C48" s="5" t="s">
        <v>958</v>
      </c>
      <c r="D48" s="5" t="s">
        <v>959</v>
      </c>
      <c r="E48" s="5" t="s">
        <v>960</v>
      </c>
      <c r="F48" s="5" t="s">
        <v>961</v>
      </c>
      <c r="G48" s="21">
        <v>7.5</v>
      </c>
      <c r="H48" s="21" t="str">
        <f t="shared" si="1"/>
        <v>High</v>
      </c>
      <c r="I48" s="5" t="s">
        <v>589</v>
      </c>
      <c r="J48" s="21" t="s">
        <v>962</v>
      </c>
      <c r="K48" s="21" t="s">
        <v>450</v>
      </c>
      <c r="L48" s="5" t="s">
        <v>963</v>
      </c>
      <c r="M48" s="21" t="s">
        <v>84</v>
      </c>
      <c r="N48" s="21" t="s">
        <v>613</v>
      </c>
      <c r="O48" s="21" t="s">
        <v>99</v>
      </c>
      <c r="P48" s="21">
        <v>65.0</v>
      </c>
      <c r="Q48" s="5" t="s">
        <v>345</v>
      </c>
      <c r="R48" s="5" t="s">
        <v>453</v>
      </c>
      <c r="S48" s="5" t="s">
        <v>332</v>
      </c>
      <c r="T48" s="23" t="s">
        <v>964</v>
      </c>
      <c r="U48" s="5" t="s">
        <v>476</v>
      </c>
      <c r="V48" s="5"/>
      <c r="W48" s="3" t="s">
        <v>965</v>
      </c>
      <c r="X48" s="5" t="s">
        <v>966</v>
      </c>
      <c r="Y48" s="5" t="s">
        <v>967</v>
      </c>
      <c r="Z48" s="5" t="s">
        <v>968</v>
      </c>
    </row>
    <row r="49" ht="51.75" customHeight="1">
      <c r="A49" s="21">
        <v>45.0</v>
      </c>
      <c r="B49" s="22" t="s">
        <v>969</v>
      </c>
      <c r="C49" s="5" t="s">
        <v>958</v>
      </c>
      <c r="D49" s="5" t="s">
        <v>959</v>
      </c>
      <c r="E49" s="5" t="s">
        <v>960</v>
      </c>
      <c r="F49" s="5" t="s">
        <v>961</v>
      </c>
      <c r="G49" s="21">
        <v>7.5</v>
      </c>
      <c r="H49" s="21" t="str">
        <f t="shared" si="1"/>
        <v>High</v>
      </c>
      <c r="I49" s="5" t="s">
        <v>589</v>
      </c>
      <c r="J49" s="21" t="s">
        <v>962</v>
      </c>
      <c r="K49" s="21" t="s">
        <v>450</v>
      </c>
      <c r="L49" s="5" t="s">
        <v>970</v>
      </c>
      <c r="M49" s="21" t="s">
        <v>84</v>
      </c>
      <c r="N49" s="21" t="s">
        <v>613</v>
      </c>
      <c r="O49" s="21" t="s">
        <v>99</v>
      </c>
      <c r="P49" s="21">
        <v>65.0</v>
      </c>
      <c r="Q49" s="5" t="s">
        <v>345</v>
      </c>
      <c r="R49" s="5" t="s">
        <v>453</v>
      </c>
      <c r="S49" s="5" t="s">
        <v>332</v>
      </c>
      <c r="T49" s="23" t="s">
        <v>971</v>
      </c>
      <c r="U49" s="5" t="s">
        <v>476</v>
      </c>
      <c r="V49" s="5"/>
      <c r="W49" s="3" t="s">
        <v>965</v>
      </c>
      <c r="X49" s="5" t="s">
        <v>966</v>
      </c>
      <c r="Y49" s="5" t="s">
        <v>967</v>
      </c>
      <c r="Z49" s="5" t="s">
        <v>968</v>
      </c>
    </row>
    <row r="50" ht="51.75" customHeight="1">
      <c r="A50" s="21">
        <v>46.0</v>
      </c>
      <c r="B50" s="22" t="s">
        <v>972</v>
      </c>
      <c r="C50" s="5" t="s">
        <v>958</v>
      </c>
      <c r="D50" s="5" t="s">
        <v>959</v>
      </c>
      <c r="E50" s="5" t="s">
        <v>960</v>
      </c>
      <c r="F50" s="5" t="s">
        <v>961</v>
      </c>
      <c r="G50" s="21">
        <v>7.5</v>
      </c>
      <c r="H50" s="21" t="str">
        <f t="shared" si="1"/>
        <v>High</v>
      </c>
      <c r="I50" s="5" t="s">
        <v>589</v>
      </c>
      <c r="J50" s="21" t="s">
        <v>962</v>
      </c>
      <c r="K50" s="21" t="s">
        <v>450</v>
      </c>
      <c r="L50" s="5" t="s">
        <v>973</v>
      </c>
      <c r="M50" s="21" t="s">
        <v>84</v>
      </c>
      <c r="N50" s="21" t="s">
        <v>613</v>
      </c>
      <c r="O50" s="21" t="s">
        <v>99</v>
      </c>
      <c r="P50" s="21">
        <v>65.0</v>
      </c>
      <c r="Q50" s="5" t="s">
        <v>345</v>
      </c>
      <c r="R50" s="5" t="s">
        <v>453</v>
      </c>
      <c r="S50" s="5" t="s">
        <v>332</v>
      </c>
      <c r="T50" s="23" t="s">
        <v>976</v>
      </c>
      <c r="U50" s="5" t="s">
        <v>476</v>
      </c>
      <c r="V50" s="5"/>
      <c r="W50" s="3" t="s">
        <v>965</v>
      </c>
      <c r="X50" s="5" t="s">
        <v>966</v>
      </c>
      <c r="Y50" s="5" t="s">
        <v>967</v>
      </c>
      <c r="Z50" s="5" t="s">
        <v>968</v>
      </c>
    </row>
    <row r="51" ht="51.75" customHeight="1">
      <c r="A51" s="21">
        <v>47.0</v>
      </c>
      <c r="B51" s="22" t="s">
        <v>979</v>
      </c>
      <c r="C51" s="5" t="s">
        <v>958</v>
      </c>
      <c r="D51" s="5" t="s">
        <v>959</v>
      </c>
      <c r="E51" s="5" t="s">
        <v>980</v>
      </c>
      <c r="F51" s="5" t="s">
        <v>981</v>
      </c>
      <c r="G51" s="21">
        <v>8.9</v>
      </c>
      <c r="H51" s="21" t="str">
        <f t="shared" si="1"/>
        <v>High</v>
      </c>
      <c r="I51" s="5" t="s">
        <v>982</v>
      </c>
      <c r="J51" s="21" t="s">
        <v>983</v>
      </c>
      <c r="K51" s="21" t="s">
        <v>450</v>
      </c>
      <c r="L51" s="5" t="s">
        <v>984</v>
      </c>
      <c r="M51" s="21" t="s">
        <v>84</v>
      </c>
      <c r="N51" s="21" t="s">
        <v>613</v>
      </c>
      <c r="O51" s="21" t="s">
        <v>99</v>
      </c>
      <c r="P51" s="21">
        <v>65.0</v>
      </c>
      <c r="Q51" s="5" t="s">
        <v>345</v>
      </c>
      <c r="R51" s="5" t="s">
        <v>453</v>
      </c>
      <c r="S51" s="5" t="s">
        <v>332</v>
      </c>
      <c r="T51" s="23" t="s">
        <v>987</v>
      </c>
      <c r="U51" s="5" t="s">
        <v>476</v>
      </c>
      <c r="V51" s="5"/>
      <c r="W51" s="3" t="s">
        <v>965</v>
      </c>
      <c r="X51" s="5" t="s">
        <v>966</v>
      </c>
      <c r="Y51" s="5" t="s">
        <v>967</v>
      </c>
      <c r="Z51" s="5" t="s">
        <v>968</v>
      </c>
    </row>
    <row r="52" ht="51.75" customHeight="1">
      <c r="A52" s="21">
        <v>48.0</v>
      </c>
      <c r="B52" s="22" t="s">
        <v>992</v>
      </c>
      <c r="C52" s="5" t="s">
        <v>958</v>
      </c>
      <c r="D52" s="5" t="s">
        <v>959</v>
      </c>
      <c r="E52" s="5" t="s">
        <v>980</v>
      </c>
      <c r="F52" s="5" t="s">
        <v>993</v>
      </c>
      <c r="G52" s="21">
        <v>5.5</v>
      </c>
      <c r="H52" s="21" t="str">
        <f t="shared" si="1"/>
        <v>Medium</v>
      </c>
      <c r="I52" s="5" t="s">
        <v>982</v>
      </c>
      <c r="J52" s="21" t="s">
        <v>983</v>
      </c>
      <c r="K52" s="21" t="s">
        <v>450</v>
      </c>
      <c r="L52" s="5" t="s">
        <v>994</v>
      </c>
      <c r="M52" s="21" t="s">
        <v>84</v>
      </c>
      <c r="N52" s="21" t="s">
        <v>613</v>
      </c>
      <c r="O52" s="21" t="s">
        <v>99</v>
      </c>
      <c r="P52" s="21">
        <v>65.0</v>
      </c>
      <c r="Q52" s="5" t="s">
        <v>345</v>
      </c>
      <c r="R52" s="5" t="s">
        <v>453</v>
      </c>
      <c r="S52" s="5" t="s">
        <v>332</v>
      </c>
      <c r="T52" s="23" t="s">
        <v>995</v>
      </c>
      <c r="U52" s="5" t="s">
        <v>476</v>
      </c>
      <c r="V52" s="5"/>
      <c r="W52" s="3" t="s">
        <v>965</v>
      </c>
      <c r="X52" s="5" t="s">
        <v>966</v>
      </c>
      <c r="Y52" s="5" t="s">
        <v>967</v>
      </c>
      <c r="Z52" s="5" t="s">
        <v>968</v>
      </c>
    </row>
    <row r="53" ht="51.75" customHeight="1">
      <c r="A53" s="21">
        <v>49.0</v>
      </c>
      <c r="B53" s="22" t="s">
        <v>996</v>
      </c>
      <c r="C53" s="5" t="s">
        <v>958</v>
      </c>
      <c r="D53" s="5" t="s">
        <v>959</v>
      </c>
      <c r="E53" s="5" t="s">
        <v>980</v>
      </c>
      <c r="F53" s="5" t="s">
        <v>997</v>
      </c>
      <c r="G53" s="21">
        <v>8.9</v>
      </c>
      <c r="H53" s="21" t="str">
        <f t="shared" si="1"/>
        <v>High</v>
      </c>
      <c r="I53" s="5" t="s">
        <v>982</v>
      </c>
      <c r="J53" s="21" t="s">
        <v>983</v>
      </c>
      <c r="K53" s="21" t="s">
        <v>450</v>
      </c>
      <c r="L53" s="5" t="s">
        <v>998</v>
      </c>
      <c r="M53" s="21" t="s">
        <v>84</v>
      </c>
      <c r="N53" s="21" t="s">
        <v>613</v>
      </c>
      <c r="O53" s="21" t="s">
        <v>99</v>
      </c>
      <c r="P53" s="21">
        <v>65.0</v>
      </c>
      <c r="Q53" s="5" t="s">
        <v>345</v>
      </c>
      <c r="R53" s="5" t="s">
        <v>453</v>
      </c>
      <c r="S53" s="5" t="s">
        <v>332</v>
      </c>
      <c r="T53" s="23" t="s">
        <v>999</v>
      </c>
      <c r="U53" s="5" t="s">
        <v>476</v>
      </c>
      <c r="V53" s="5"/>
      <c r="W53" s="3" t="s">
        <v>965</v>
      </c>
      <c r="X53" s="5" t="s">
        <v>966</v>
      </c>
      <c r="Y53" s="5" t="s">
        <v>967</v>
      </c>
      <c r="Z53" s="5" t="s">
        <v>968</v>
      </c>
    </row>
    <row r="54" ht="51.75" customHeight="1">
      <c r="A54" s="21">
        <v>50.0</v>
      </c>
      <c r="B54" s="22" t="s">
        <v>1000</v>
      </c>
      <c r="C54" s="5" t="s">
        <v>958</v>
      </c>
      <c r="D54" s="5" t="s">
        <v>959</v>
      </c>
      <c r="E54" s="5" t="s">
        <v>980</v>
      </c>
      <c r="F54" s="5" t="s">
        <v>1001</v>
      </c>
      <c r="G54" s="21">
        <v>8.9</v>
      </c>
      <c r="H54" s="21" t="str">
        <f t="shared" si="1"/>
        <v>High</v>
      </c>
      <c r="I54" s="5" t="s">
        <v>982</v>
      </c>
      <c r="J54" s="21" t="s">
        <v>983</v>
      </c>
      <c r="K54" s="21" t="s">
        <v>450</v>
      </c>
      <c r="L54" s="5" t="s">
        <v>1002</v>
      </c>
      <c r="M54" s="21" t="s">
        <v>84</v>
      </c>
      <c r="N54" s="21" t="s">
        <v>613</v>
      </c>
      <c r="O54" s="21" t="s">
        <v>99</v>
      </c>
      <c r="P54" s="21">
        <v>65.0</v>
      </c>
      <c r="Q54" s="5" t="s">
        <v>345</v>
      </c>
      <c r="R54" s="5" t="s">
        <v>453</v>
      </c>
      <c r="S54" s="5" t="s">
        <v>332</v>
      </c>
      <c r="T54" s="23" t="s">
        <v>1003</v>
      </c>
      <c r="U54" s="5" t="s">
        <v>476</v>
      </c>
      <c r="V54" s="5"/>
      <c r="W54" s="3" t="s">
        <v>965</v>
      </c>
      <c r="X54" s="5" t="s">
        <v>966</v>
      </c>
      <c r="Y54" s="5" t="s">
        <v>967</v>
      </c>
      <c r="Z54" s="5" t="s">
        <v>968</v>
      </c>
    </row>
    <row r="55" ht="51.75" customHeight="1">
      <c r="A55" s="21">
        <v>51.0</v>
      </c>
      <c r="B55" s="22" t="s">
        <v>1005</v>
      </c>
      <c r="C55" s="5" t="s">
        <v>958</v>
      </c>
      <c r="D55" s="5" t="s">
        <v>959</v>
      </c>
      <c r="E55" s="5" t="s">
        <v>980</v>
      </c>
      <c r="F55" s="5" t="s">
        <v>1006</v>
      </c>
      <c r="G55" s="21">
        <v>8.9</v>
      </c>
      <c r="H55" s="21" t="str">
        <f t="shared" si="1"/>
        <v>High</v>
      </c>
      <c r="I55" s="5" t="s">
        <v>982</v>
      </c>
      <c r="J55" s="21" t="s">
        <v>983</v>
      </c>
      <c r="K55" s="21" t="s">
        <v>450</v>
      </c>
      <c r="L55" s="5" t="s">
        <v>1007</v>
      </c>
      <c r="M55" s="21" t="s">
        <v>84</v>
      </c>
      <c r="N55" s="21" t="s">
        <v>613</v>
      </c>
      <c r="O55" s="21" t="s">
        <v>99</v>
      </c>
      <c r="P55" s="21">
        <v>65.0</v>
      </c>
      <c r="Q55" s="5" t="s">
        <v>345</v>
      </c>
      <c r="R55" s="5" t="s">
        <v>453</v>
      </c>
      <c r="S55" s="5" t="s">
        <v>332</v>
      </c>
      <c r="T55" s="23" t="s">
        <v>1008</v>
      </c>
      <c r="U55" s="5" t="s">
        <v>476</v>
      </c>
      <c r="V55" s="5"/>
      <c r="W55" s="3" t="s">
        <v>965</v>
      </c>
      <c r="X55" s="5" t="s">
        <v>966</v>
      </c>
      <c r="Y55" s="5" t="s">
        <v>967</v>
      </c>
      <c r="Z55" s="5" t="s">
        <v>968</v>
      </c>
    </row>
    <row r="56" ht="51.75" customHeight="1">
      <c r="A56" s="21">
        <v>52.0</v>
      </c>
      <c r="B56" s="22" t="s">
        <v>1009</v>
      </c>
      <c r="C56" s="5" t="s">
        <v>958</v>
      </c>
      <c r="D56" s="5" t="s">
        <v>959</v>
      </c>
      <c r="E56" s="5" t="s">
        <v>980</v>
      </c>
      <c r="F56" s="5" t="s">
        <v>997</v>
      </c>
      <c r="G56" s="21">
        <v>9.4</v>
      </c>
      <c r="H56" s="21" t="str">
        <f t="shared" si="1"/>
        <v>Critical</v>
      </c>
      <c r="I56" s="5" t="s">
        <v>1010</v>
      </c>
      <c r="J56" s="21" t="s">
        <v>838</v>
      </c>
      <c r="K56" s="21" t="s">
        <v>450</v>
      </c>
      <c r="L56" s="5" t="s">
        <v>1011</v>
      </c>
      <c r="M56" s="21" t="s">
        <v>84</v>
      </c>
      <c r="N56" s="21" t="s">
        <v>613</v>
      </c>
      <c r="O56" s="21" t="s">
        <v>99</v>
      </c>
      <c r="P56" s="21">
        <v>65.0</v>
      </c>
      <c r="Q56" s="5" t="s">
        <v>345</v>
      </c>
      <c r="R56" s="5" t="s">
        <v>453</v>
      </c>
      <c r="S56" s="5" t="s">
        <v>332</v>
      </c>
      <c r="T56" s="23" t="s">
        <v>1012</v>
      </c>
      <c r="U56" s="5" t="s">
        <v>476</v>
      </c>
      <c r="V56" s="5"/>
      <c r="W56" s="3" t="s">
        <v>965</v>
      </c>
      <c r="X56" s="5" t="s">
        <v>966</v>
      </c>
      <c r="Y56" s="5" t="s">
        <v>967</v>
      </c>
      <c r="Z56" s="5" t="s">
        <v>968</v>
      </c>
    </row>
    <row r="57" ht="51.75" customHeight="1">
      <c r="A57" s="21">
        <v>53.0</v>
      </c>
      <c r="B57" s="22" t="s">
        <v>1013</v>
      </c>
      <c r="C57" s="5" t="s">
        <v>958</v>
      </c>
      <c r="D57" s="5" t="s">
        <v>959</v>
      </c>
      <c r="E57" s="5" t="s">
        <v>980</v>
      </c>
      <c r="F57" s="5" t="s">
        <v>981</v>
      </c>
      <c r="G57" s="21">
        <v>9.3</v>
      </c>
      <c r="H57" s="21" t="str">
        <f t="shared" si="1"/>
        <v>Critical</v>
      </c>
      <c r="I57" s="5" t="s">
        <v>982</v>
      </c>
      <c r="J57" s="21" t="s">
        <v>1014</v>
      </c>
      <c r="K57" s="21" t="s">
        <v>450</v>
      </c>
      <c r="L57" s="5" t="s">
        <v>1015</v>
      </c>
      <c r="M57" s="21" t="s">
        <v>84</v>
      </c>
      <c r="N57" s="21" t="s">
        <v>613</v>
      </c>
      <c r="O57" s="21" t="s">
        <v>99</v>
      </c>
      <c r="P57" s="21">
        <v>65.0</v>
      </c>
      <c r="Q57" s="5" t="s">
        <v>345</v>
      </c>
      <c r="R57" s="5" t="s">
        <v>453</v>
      </c>
      <c r="S57" s="5" t="s">
        <v>332</v>
      </c>
      <c r="T57" s="23" t="s">
        <v>1016</v>
      </c>
      <c r="U57" s="5" t="s">
        <v>476</v>
      </c>
      <c r="V57" s="5"/>
      <c r="W57" s="3" t="s">
        <v>965</v>
      </c>
      <c r="X57" s="5" t="s">
        <v>966</v>
      </c>
      <c r="Y57" s="5" t="s">
        <v>967</v>
      </c>
      <c r="Z57" s="5" t="s">
        <v>968</v>
      </c>
    </row>
    <row r="58" ht="51.75" customHeight="1">
      <c r="A58" s="21">
        <v>54.0</v>
      </c>
      <c r="B58" s="22" t="s">
        <v>1017</v>
      </c>
      <c r="C58" s="5" t="s">
        <v>647</v>
      </c>
      <c r="D58" s="5" t="s">
        <v>1018</v>
      </c>
      <c r="E58" s="5" t="s">
        <v>1019</v>
      </c>
      <c r="F58" s="5" t="s">
        <v>1020</v>
      </c>
      <c r="G58" s="21">
        <v>3.5</v>
      </c>
      <c r="H58" s="21" t="str">
        <f t="shared" si="1"/>
        <v>Low</v>
      </c>
      <c r="I58" s="5" t="s">
        <v>1021</v>
      </c>
      <c r="J58" s="21" t="s">
        <v>1022</v>
      </c>
      <c r="K58" s="21" t="s">
        <v>450</v>
      </c>
      <c r="L58" s="5" t="s">
        <v>1023</v>
      </c>
      <c r="M58" s="21" t="s">
        <v>266</v>
      </c>
      <c r="N58" s="21" t="s">
        <v>452</v>
      </c>
      <c r="O58" s="21" t="s">
        <v>99</v>
      </c>
      <c r="P58" s="21">
        <v>65.0</v>
      </c>
      <c r="Q58" s="5" t="s">
        <v>345</v>
      </c>
      <c r="R58" s="5" t="s">
        <v>453</v>
      </c>
      <c r="S58" s="5" t="s">
        <v>1025</v>
      </c>
      <c r="T58" s="23" t="s">
        <v>1026</v>
      </c>
      <c r="U58" s="5" t="s">
        <v>476</v>
      </c>
      <c r="V58" s="5"/>
      <c r="W58" s="3" t="s">
        <v>894</v>
      </c>
      <c r="X58" s="5" t="s">
        <v>1043</v>
      </c>
      <c r="Y58" s="5" t="s">
        <v>1045</v>
      </c>
      <c r="Z58" s="5" t="s">
        <v>898</v>
      </c>
    </row>
    <row r="59" ht="51.75" customHeight="1">
      <c r="A59" s="21">
        <v>55.0</v>
      </c>
      <c r="B59" s="22" t="s">
        <v>1049</v>
      </c>
      <c r="C59" s="5" t="s">
        <v>647</v>
      </c>
      <c r="D59" s="5" t="s">
        <v>1018</v>
      </c>
      <c r="E59" s="5" t="s">
        <v>1019</v>
      </c>
      <c r="F59" s="5" t="s">
        <v>1053</v>
      </c>
      <c r="G59" s="21">
        <v>4.9</v>
      </c>
      <c r="H59" s="21" t="str">
        <f t="shared" si="1"/>
        <v>Medium</v>
      </c>
      <c r="I59" s="5" t="s">
        <v>1021</v>
      </c>
      <c r="J59" s="21" t="s">
        <v>1022</v>
      </c>
      <c r="K59" s="21" t="s">
        <v>450</v>
      </c>
      <c r="L59" s="5" t="s">
        <v>1059</v>
      </c>
      <c r="M59" s="21" t="s">
        <v>266</v>
      </c>
      <c r="N59" s="21" t="s">
        <v>452</v>
      </c>
      <c r="O59" s="21" t="s">
        <v>99</v>
      </c>
      <c r="P59" s="21">
        <v>65.0</v>
      </c>
      <c r="Q59" s="5" t="s">
        <v>345</v>
      </c>
      <c r="R59" s="5" t="s">
        <v>453</v>
      </c>
      <c r="S59" s="5" t="s">
        <v>1025</v>
      </c>
      <c r="T59" s="23" t="s">
        <v>1060</v>
      </c>
      <c r="U59" s="5" t="s">
        <v>476</v>
      </c>
      <c r="V59" s="5"/>
      <c r="W59" s="3" t="s">
        <v>894</v>
      </c>
      <c r="X59" s="5" t="s">
        <v>1043</v>
      </c>
      <c r="Y59" s="5" t="s">
        <v>1045</v>
      </c>
      <c r="Z59" s="5" t="s">
        <v>898</v>
      </c>
    </row>
    <row r="60" ht="51.75" customHeight="1">
      <c r="A60" s="21">
        <v>56.0</v>
      </c>
      <c r="B60" s="22" t="s">
        <v>1072</v>
      </c>
      <c r="C60" s="5" t="s">
        <v>647</v>
      </c>
      <c r="D60" s="5" t="s">
        <v>1018</v>
      </c>
      <c r="E60" s="5" t="s">
        <v>1019</v>
      </c>
      <c r="F60" s="5" t="s">
        <v>1073</v>
      </c>
      <c r="G60" s="21">
        <v>3.5</v>
      </c>
      <c r="H60" s="21" t="str">
        <f t="shared" si="1"/>
        <v>Low</v>
      </c>
      <c r="I60" s="5" t="s">
        <v>1021</v>
      </c>
      <c r="J60" s="21" t="s">
        <v>1022</v>
      </c>
      <c r="K60" s="21" t="s">
        <v>450</v>
      </c>
      <c r="L60" s="5" t="s">
        <v>1074</v>
      </c>
      <c r="M60" s="21" t="s">
        <v>266</v>
      </c>
      <c r="N60" s="21" t="s">
        <v>452</v>
      </c>
      <c r="O60" s="21" t="s">
        <v>99</v>
      </c>
      <c r="P60" s="21">
        <v>65.0</v>
      </c>
      <c r="Q60" s="5" t="s">
        <v>345</v>
      </c>
      <c r="R60" s="5" t="s">
        <v>453</v>
      </c>
      <c r="S60" s="5" t="s">
        <v>1025</v>
      </c>
      <c r="T60" s="23" t="s">
        <v>1075</v>
      </c>
      <c r="U60" s="5" t="s">
        <v>476</v>
      </c>
      <c r="V60" s="5"/>
      <c r="W60" s="3" t="s">
        <v>894</v>
      </c>
      <c r="X60" s="5" t="s">
        <v>1043</v>
      </c>
      <c r="Y60" s="5" t="s">
        <v>1045</v>
      </c>
      <c r="Z60" s="5" t="s">
        <v>898</v>
      </c>
    </row>
    <row r="61" ht="51.75" customHeight="1">
      <c r="A61" s="21">
        <v>57.0</v>
      </c>
      <c r="B61" s="22" t="s">
        <v>1078</v>
      </c>
      <c r="C61" s="5" t="s">
        <v>647</v>
      </c>
      <c r="D61" s="5" t="s">
        <v>1018</v>
      </c>
      <c r="E61" s="5" t="s">
        <v>1019</v>
      </c>
      <c r="F61" s="5" t="s">
        <v>1053</v>
      </c>
      <c r="G61" s="21">
        <v>3.5</v>
      </c>
      <c r="H61" s="21" t="str">
        <f t="shared" si="1"/>
        <v>Low</v>
      </c>
      <c r="I61" s="5" t="s">
        <v>1021</v>
      </c>
      <c r="J61" s="21" t="s">
        <v>1022</v>
      </c>
      <c r="K61" s="21" t="s">
        <v>450</v>
      </c>
      <c r="L61" s="5" t="s">
        <v>1089</v>
      </c>
      <c r="M61" s="21" t="s">
        <v>266</v>
      </c>
      <c r="N61" s="21" t="s">
        <v>452</v>
      </c>
      <c r="O61" s="21" t="s">
        <v>99</v>
      </c>
      <c r="P61" s="21">
        <v>65.0</v>
      </c>
      <c r="Q61" s="5" t="s">
        <v>345</v>
      </c>
      <c r="R61" s="5" t="s">
        <v>453</v>
      </c>
      <c r="S61" s="5" t="s">
        <v>1025</v>
      </c>
      <c r="T61" s="23" t="s">
        <v>1093</v>
      </c>
      <c r="U61" s="5" t="s">
        <v>476</v>
      </c>
      <c r="V61" s="5"/>
      <c r="W61" s="3" t="s">
        <v>894</v>
      </c>
      <c r="X61" s="5" t="s">
        <v>1043</v>
      </c>
      <c r="Y61" s="5" t="s">
        <v>1045</v>
      </c>
      <c r="Z61" s="5" t="s">
        <v>898</v>
      </c>
    </row>
    <row r="62" ht="15.75" customHeight="1"/>
    <row r="63" ht="69.75" customHeight="1">
      <c r="A63" s="28" t="s">
        <v>1110</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Z$61"/>
  <mergeCells count="1">
    <mergeCell ref="A63:L63"/>
  </mergeCells>
  <conditionalFormatting sqref="H5:H61">
    <cfRule type="expression" dxfId="0" priority="1">
      <formula>$H6="Critical"</formula>
    </cfRule>
  </conditionalFormatting>
  <conditionalFormatting sqref="H5:H61">
    <cfRule type="expression" dxfId="1" priority="2">
      <formula>$H6="High"</formula>
    </cfRule>
  </conditionalFormatting>
  <conditionalFormatting sqref="H5:H61">
    <cfRule type="expression" dxfId="2" priority="3">
      <formula>$H6="Medium"</formula>
    </cfRule>
  </conditionalFormatting>
  <conditionalFormatting sqref="H5:H61">
    <cfRule type="expression" dxfId="3" priority="4">
      <formula>$H6="Low"</formula>
    </cfRule>
  </conditionalFormatting>
  <hyperlinks>
    <hyperlink r:id="rId1" ref="T5"/>
    <hyperlink r:id="rId2" ref="T6"/>
    <hyperlink r:id="rId3" ref="T7"/>
    <hyperlink r:id="rId4" ref="T8"/>
    <hyperlink r:id="rId5" ref="T9"/>
    <hyperlink r:id="rId6" ref="T10"/>
    <hyperlink r:id="rId7" ref="T11"/>
    <hyperlink r:id="rId8" ref="T12"/>
    <hyperlink r:id="rId9" ref="T13"/>
    <hyperlink r:id="rId10" ref="T14"/>
    <hyperlink r:id="rId11" ref="T15"/>
    <hyperlink r:id="rId12" ref="T16"/>
    <hyperlink r:id="rId13" ref="T17"/>
    <hyperlink r:id="rId14" ref="T18"/>
    <hyperlink r:id="rId15" ref="T19"/>
    <hyperlink r:id="rId16" ref="T20"/>
    <hyperlink r:id="rId17" ref="T21"/>
    <hyperlink r:id="rId18" ref="T22"/>
    <hyperlink r:id="rId19" ref="T23"/>
    <hyperlink r:id="rId20" ref="T24"/>
    <hyperlink r:id="rId21" ref="T25"/>
    <hyperlink r:id="rId22" ref="T26"/>
    <hyperlink r:id="rId23" ref="T27"/>
    <hyperlink r:id="rId24" ref="T28"/>
    <hyperlink r:id="rId25" ref="T29"/>
    <hyperlink r:id="rId26" ref="T30"/>
    <hyperlink r:id="rId27" ref="T31"/>
    <hyperlink r:id="rId28" ref="T32"/>
    <hyperlink r:id="rId29" ref="T33"/>
    <hyperlink r:id="rId30" ref="T34"/>
    <hyperlink r:id="rId31" ref="T35"/>
    <hyperlink r:id="rId32" ref="T36"/>
    <hyperlink r:id="rId33" ref="T37"/>
    <hyperlink r:id="rId34" ref="T38"/>
    <hyperlink r:id="rId35" ref="T39"/>
    <hyperlink r:id="rId36" ref="T40"/>
    <hyperlink r:id="rId37" ref="T41"/>
    <hyperlink r:id="rId38" ref="T42"/>
    <hyperlink r:id="rId39" ref="T43"/>
    <hyperlink r:id="rId40" ref="T44"/>
    <hyperlink r:id="rId41" ref="T45"/>
    <hyperlink r:id="rId42" ref="T46"/>
    <hyperlink r:id="rId43" ref="T47"/>
    <hyperlink r:id="rId44" ref="T48"/>
    <hyperlink r:id="rId45" ref="T49"/>
    <hyperlink r:id="rId46" ref="T50"/>
    <hyperlink r:id="rId47" ref="T51"/>
    <hyperlink r:id="rId48" ref="T52"/>
    <hyperlink r:id="rId49" ref="T53"/>
    <hyperlink r:id="rId50" ref="T54"/>
    <hyperlink r:id="rId51" ref="T55"/>
    <hyperlink r:id="rId52" ref="T56"/>
    <hyperlink r:id="rId53" ref="T57"/>
    <hyperlink r:id="rId54" ref="T58"/>
    <hyperlink r:id="rId55" ref="T59"/>
    <hyperlink r:id="rId56" ref="T60"/>
    <hyperlink r:id="rId57" ref="T61"/>
  </hyperlinks>
  <printOptions/>
  <pageMargins bottom="1.0" footer="0.0" header="0.0" left="0.75" right="0.75" top="1.0"/>
  <pageSetup paperSize="9" orientation="portrait"/>
  <drawing r:id="rId5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9DB"/>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8.0"/>
    <col customWidth="1" min="2" max="3" width="9.0"/>
    <col customWidth="1" min="4" max="7" width="5.0"/>
    <col customWidth="1" min="8" max="9" width="8.0"/>
    <col customWidth="1" min="10" max="11" width="9.0"/>
    <col customWidth="1" min="12" max="15" width="10.0"/>
    <col customWidth="1" min="16" max="17" width="12.0"/>
    <col customWidth="1" min="18" max="18" width="8.0"/>
    <col customWidth="1" min="19" max="19" width="9.0"/>
  </cols>
  <sheetData>
    <row r="1">
      <c r="A1" s="1" t="s">
        <v>554</v>
      </c>
    </row>
    <row r="2">
      <c r="A2" s="2" t="s">
        <v>558</v>
      </c>
    </row>
    <row r="4" ht="42.0" customHeight="1">
      <c r="A4" s="4" t="s">
        <v>122</v>
      </c>
      <c r="B4" s="4" t="s">
        <v>145</v>
      </c>
      <c r="C4" s="4" t="s">
        <v>146</v>
      </c>
      <c r="D4" s="4" t="s">
        <v>165</v>
      </c>
      <c r="E4" s="4" t="s">
        <v>37</v>
      </c>
      <c r="F4" s="4" t="s">
        <v>45</v>
      </c>
      <c r="G4" s="4" t="s">
        <v>169</v>
      </c>
      <c r="H4" s="4" t="s">
        <v>171</v>
      </c>
      <c r="I4" s="4" t="s">
        <v>172</v>
      </c>
      <c r="J4" s="4" t="s">
        <v>174</v>
      </c>
      <c r="K4" s="4" t="s">
        <v>176</v>
      </c>
      <c r="L4" s="4" t="s">
        <v>179</v>
      </c>
      <c r="M4" s="4" t="s">
        <v>181</v>
      </c>
      <c r="N4" s="4" t="s">
        <v>569</v>
      </c>
      <c r="O4" s="4" t="s">
        <v>571</v>
      </c>
      <c r="P4" s="4" t="s">
        <v>573</v>
      </c>
      <c r="Q4" s="4" t="s">
        <v>574</v>
      </c>
      <c r="R4" s="4" t="s">
        <v>575</v>
      </c>
      <c r="S4" s="8" t="s">
        <v>577</v>
      </c>
    </row>
    <row r="5">
      <c r="A5" s="24" t="s">
        <v>294</v>
      </c>
      <c r="B5" s="21" t="str">
        <f t="array" ref="B5">INDEX(Catalogue!$S$5:$S$59,MATCH(A5,Catalogue!$A$5:$A$59,0))</f>
        <v>Leaf</v>
      </c>
      <c r="C5" s="21" t="str">
        <f t="array" ref="C5">INDEX(Catalogue!$T$5:$T$59,MATCH(A5,Catalogue!$A$5:$A$59,0))</f>
        <v>E2</v>
      </c>
      <c r="D5" s="21">
        <f t="array" ref="D5">INDEX(Catalogue!$AC$5:$AC$59,MATCH(A5,Catalogue!$A$5:$A$59,0))</f>
        <v>3</v>
      </c>
      <c r="E5" s="21">
        <f t="array" ref="E5">INDEX(Catalogue!$AD$5:$AD$59,MATCH(A5,Catalogue!$A$5:$A$59,0))</f>
        <v>2</v>
      </c>
      <c r="F5" s="21">
        <f t="array" ref="F5">INDEX(Catalogue!$AB$5:$AB$59,MATCH(A5,Catalogue!$A$5:$A$59,0))</f>
        <v>5</v>
      </c>
      <c r="G5" s="21">
        <f t="array" ref="G5">INDEX(Catalogue!$AE$5:$AE$59,MATCH(A5,Catalogue!$A$5:$A$59,0))</f>
        <v>3</v>
      </c>
      <c r="H5" s="21">
        <f t="array" ref="H5">INDEX(Catalogue!$AF$5:$AF$59,MATCH(A5,Catalogue!$A$5:$A$59,0))</f>
        <v>3</v>
      </c>
      <c r="I5" s="21">
        <f t="array" ref="I5">INDEX(Catalogue!$AG$5:$AG$59,MATCH(A5,Catalogue!$A$5:$A$59,0))</f>
        <v>5</v>
      </c>
      <c r="J5" s="21">
        <f t="array" ref="J5">INDEX(Catalogue!$AH$5:$AH$59,MATCH(A5,Catalogue!$A$5:$A$59,0))</f>
        <v>16</v>
      </c>
      <c r="K5" s="21">
        <f t="array" ref="K5">INDEX(Catalogue!$AI$5:$AI$59,MATCH(A5,Catalogue!$A$5:$A$59,0))</f>
        <v>18</v>
      </c>
      <c r="L5" s="21" t="str">
        <f t="array" ref="L5">INDEX(Catalogue!$AJ$5:$AJ$59,MATCH(A5,Catalogue!$A$5:$A$59,0))</f>
        <v>High</v>
      </c>
      <c r="M5" s="21" t="str">
        <f t="array" ref="M5">INDEX(Catalogue!$AK$5:$AK$59,MATCH(A5,Catalogue!$A$5:$A$59,0))</f>
        <v>High</v>
      </c>
      <c r="N5" s="21">
        <f t="array" ref="N5">INDEX(Catalogue!$Z$5:$Z$59,MATCH(A5,Catalogue!$A$5:$A$59,0))</f>
        <v>2</v>
      </c>
      <c r="O5" s="21">
        <f t="array" ref="O5">INDEX(Catalogue!$AA$5:$AA$59,MATCH(A5,Catalogue!$A$5:$A$59,0))</f>
        <v>3</v>
      </c>
      <c r="P5" s="10" t="s">
        <v>751</v>
      </c>
      <c r="Q5" s="10" t="s">
        <v>755</v>
      </c>
      <c r="R5" s="21" t="str">
        <f t="shared" ref="R5:R9" si="1">IF(J5&amp;"/"&amp;K5=P5,"OK","DIFF")</f>
        <v>OK</v>
      </c>
      <c r="S5" s="21" t="str">
        <f>IF(AND(N5=2,O5=3),"OK","DIFF")</f>
        <v>OK</v>
      </c>
    </row>
    <row r="6">
      <c r="A6" s="24" t="s">
        <v>437</v>
      </c>
      <c r="B6" s="21" t="str">
        <f t="array" ref="B6">INDEX(Catalogue!$S$5:$S$59,MATCH(A6,Catalogue!$A$5:$A$59,0))</f>
        <v>Leaf</v>
      </c>
      <c r="C6" s="21" t="str">
        <f t="array" ref="C6">INDEX(Catalogue!$T$5:$T$59,MATCH(A6,Catalogue!$A$5:$A$59,0))</f>
        <v>E2</v>
      </c>
      <c r="D6" s="21">
        <f t="array" ref="D6">INDEX(Catalogue!$AC$5:$AC$59,MATCH(A6,Catalogue!$A$5:$A$59,0))</f>
        <v>3</v>
      </c>
      <c r="E6" s="21">
        <f t="array" ref="E6">INDEX(Catalogue!$AD$5:$AD$59,MATCH(A6,Catalogue!$A$5:$A$59,0))</f>
        <v>2</v>
      </c>
      <c r="F6" s="21">
        <f t="array" ref="F6">INDEX(Catalogue!$AB$5:$AB$59,MATCH(A6,Catalogue!$A$5:$A$59,0))</f>
        <v>5</v>
      </c>
      <c r="G6" s="21">
        <f t="array" ref="G6">INDEX(Catalogue!$AE$5:$AE$59,MATCH(A6,Catalogue!$A$5:$A$59,0))</f>
        <v>3</v>
      </c>
      <c r="H6" s="21">
        <f t="array" ref="H6">INDEX(Catalogue!$AF$5:$AF$59,MATCH(A6,Catalogue!$A$5:$A$59,0))</f>
        <v>3</v>
      </c>
      <c r="I6" s="21">
        <f t="array" ref="I6">INDEX(Catalogue!$AG$5:$AG$59,MATCH(A6,Catalogue!$A$5:$A$59,0))</f>
        <v>5</v>
      </c>
      <c r="J6" s="21">
        <f t="array" ref="J6">INDEX(Catalogue!$AH$5:$AH$59,MATCH(A6,Catalogue!$A$5:$A$59,0))</f>
        <v>16</v>
      </c>
      <c r="K6" s="21">
        <f t="array" ref="K6">INDEX(Catalogue!$AI$5:$AI$59,MATCH(A6,Catalogue!$A$5:$A$59,0))</f>
        <v>18</v>
      </c>
      <c r="L6" s="21" t="str">
        <f t="array" ref="L6">INDEX(Catalogue!$AJ$5:$AJ$59,MATCH(A6,Catalogue!$A$5:$A$59,0))</f>
        <v>High</v>
      </c>
      <c r="M6" s="21" t="str">
        <f t="array" ref="M6">INDEX(Catalogue!$AK$5:$AK$59,MATCH(A6,Catalogue!$A$5:$A$59,0))</f>
        <v>High</v>
      </c>
      <c r="N6" s="21">
        <f t="array" ref="N6">INDEX(Catalogue!$Z$5:$Z$59,MATCH(A6,Catalogue!$A$5:$A$59,0))</f>
        <v>3</v>
      </c>
      <c r="O6" s="21">
        <f t="array" ref="O6">INDEX(Catalogue!$AA$5:$AA$59,MATCH(A6,Catalogue!$A$5:$A$59,0))</f>
        <v>4</v>
      </c>
      <c r="P6" s="10" t="s">
        <v>751</v>
      </c>
      <c r="Q6" s="10" t="s">
        <v>948</v>
      </c>
      <c r="R6" s="21" t="str">
        <f t="shared" si="1"/>
        <v>OK</v>
      </c>
      <c r="S6" s="21" t="str">
        <f>IF(AND(N6=3,O6=4),"OK","DIFF")</f>
        <v>OK</v>
      </c>
    </row>
    <row r="7">
      <c r="A7" s="24" t="s">
        <v>370</v>
      </c>
      <c r="B7" s="21" t="str">
        <f t="array" ref="B7">INDEX(Catalogue!$S$5:$S$59,MATCH(A7,Catalogue!$A$5:$A$59,0))</f>
        <v>Leaf</v>
      </c>
      <c r="C7" s="21" t="str">
        <f t="array" ref="C7">INDEX(Catalogue!$T$5:$T$59,MATCH(A7,Catalogue!$A$5:$A$59,0))</f>
        <v>E1</v>
      </c>
      <c r="D7" s="21">
        <f t="array" ref="D7">INDEX(Catalogue!$AC$5:$AC$59,MATCH(A7,Catalogue!$A$5:$A$59,0))</f>
        <v>2</v>
      </c>
      <c r="E7" s="21">
        <f t="array" ref="E7">INDEX(Catalogue!$AD$5:$AD$59,MATCH(A7,Catalogue!$A$5:$A$59,0))</f>
        <v>3</v>
      </c>
      <c r="F7" s="21">
        <f t="array" ref="F7">INDEX(Catalogue!$AB$5:$AB$59,MATCH(A7,Catalogue!$A$5:$A$59,0))</f>
        <v>5</v>
      </c>
      <c r="G7" s="21">
        <f t="array" ref="G7">INDEX(Catalogue!$AE$5:$AE$59,MATCH(A7,Catalogue!$A$5:$A$59,0))</f>
        <v>4</v>
      </c>
      <c r="H7" s="21">
        <f t="array" ref="H7">INDEX(Catalogue!$AF$5:$AF$59,MATCH(A7,Catalogue!$A$5:$A$59,0))</f>
        <v>3</v>
      </c>
      <c r="I7" s="21">
        <f t="array" ref="I7">INDEX(Catalogue!$AG$5:$AG$59,MATCH(A7,Catalogue!$A$5:$A$59,0))</f>
        <v>5</v>
      </c>
      <c r="J7" s="21">
        <f t="array" ref="J7">INDEX(Catalogue!$AH$5:$AH$59,MATCH(A7,Catalogue!$A$5:$A$59,0))</f>
        <v>17</v>
      </c>
      <c r="K7" s="21">
        <f t="array" ref="K7">INDEX(Catalogue!$AI$5:$AI$59,MATCH(A7,Catalogue!$A$5:$A$59,0))</f>
        <v>19</v>
      </c>
      <c r="L7" s="21" t="str">
        <f t="array" ref="L7">INDEX(Catalogue!$AJ$5:$AJ$59,MATCH(A7,Catalogue!$A$5:$A$59,0))</f>
        <v>High</v>
      </c>
      <c r="M7" s="21" t="str">
        <f t="array" ref="M7">INDEX(Catalogue!$AK$5:$AK$59,MATCH(A7,Catalogue!$A$5:$A$59,0))</f>
        <v>High</v>
      </c>
      <c r="N7" s="21">
        <f t="array" ref="N7">INDEX(Catalogue!$Z$5:$Z$59,MATCH(A7,Catalogue!$A$5:$A$59,0))</f>
        <v>1</v>
      </c>
      <c r="O7" s="21">
        <f t="array" ref="O7">INDEX(Catalogue!$AA$5:$AA$59,MATCH(A7,Catalogue!$A$5:$A$59,0))</f>
        <v>2</v>
      </c>
      <c r="P7" s="10" t="s">
        <v>1080</v>
      </c>
      <c r="Q7" s="10" t="s">
        <v>1082</v>
      </c>
      <c r="R7" s="21" t="str">
        <f t="shared" si="1"/>
        <v>OK</v>
      </c>
      <c r="S7" s="21" t="str">
        <f>IF(AND(N7=1,O7=2),"OK","DIFF")</f>
        <v>OK</v>
      </c>
    </row>
    <row r="8">
      <c r="A8" s="24" t="s">
        <v>1100</v>
      </c>
      <c r="B8" s="21" t="str">
        <f t="array" ref="B8">INDEX(Catalogue!$S$5:$S$59,MATCH(A8,Catalogue!$A$5:$A$59,0))</f>
        <v>Leaf</v>
      </c>
      <c r="C8" s="21" t="str">
        <f t="array" ref="C8">INDEX(Catalogue!$T$5:$T$59,MATCH(A8,Catalogue!$A$5:$A$59,0))</f>
        <v>P</v>
      </c>
      <c r="D8" s="21">
        <f t="array" ref="D8">INDEX(Catalogue!$AC$5:$AC$59,MATCH(A8,Catalogue!$A$5:$A$59,0))</f>
        <v>1</v>
      </c>
      <c r="E8" s="21">
        <f t="array" ref="E8">INDEX(Catalogue!$AD$5:$AD$59,MATCH(A8,Catalogue!$A$5:$A$59,0))</f>
        <v>3</v>
      </c>
      <c r="F8" s="21">
        <f t="array" ref="F8">INDEX(Catalogue!$AB$5:$AB$59,MATCH(A8,Catalogue!$A$5:$A$59,0))</f>
        <v>5</v>
      </c>
      <c r="G8" s="21">
        <f t="array" ref="G8">INDEX(Catalogue!$AE$5:$AE$59,MATCH(A8,Catalogue!$A$5:$A$59,0))</f>
        <v>5</v>
      </c>
      <c r="H8" s="21">
        <f t="array" ref="H8">INDEX(Catalogue!$AF$5:$AF$59,MATCH(A8,Catalogue!$A$5:$A$59,0))</f>
        <v>3</v>
      </c>
      <c r="I8" s="21">
        <f t="array" ref="I8">INDEX(Catalogue!$AG$5:$AG$59,MATCH(A8,Catalogue!$A$5:$A$59,0))</f>
        <v>5</v>
      </c>
      <c r="J8" s="21">
        <f t="array" ref="J8">INDEX(Catalogue!$AH$5:$AH$59,MATCH(A8,Catalogue!$A$5:$A$59,0))</f>
        <v>17</v>
      </c>
      <c r="K8" s="21">
        <f t="array" ref="K8">INDEX(Catalogue!$AI$5:$AI$59,MATCH(A8,Catalogue!$A$5:$A$59,0))</f>
        <v>19</v>
      </c>
      <c r="L8" s="21" t="str">
        <f t="array" ref="L8">INDEX(Catalogue!$AJ$5:$AJ$59,MATCH(A8,Catalogue!$A$5:$A$59,0))</f>
        <v>High</v>
      </c>
      <c r="M8" s="21" t="str">
        <f t="array" ref="M8">INDEX(Catalogue!$AK$5:$AK$59,MATCH(A8,Catalogue!$A$5:$A$59,0))</f>
        <v>High</v>
      </c>
      <c r="N8" s="21">
        <f t="array" ref="N8">INDEX(Catalogue!$Z$5:$Z$59,MATCH(A8,Catalogue!$A$5:$A$59,0))</f>
        <v>0</v>
      </c>
      <c r="O8" s="21">
        <f t="array" ref="O8">INDEX(Catalogue!$AA$5:$AA$59,MATCH(A8,Catalogue!$A$5:$A$59,0))</f>
        <v>1</v>
      </c>
      <c r="P8" s="10" t="s">
        <v>1080</v>
      </c>
      <c r="Q8" s="10" t="s">
        <v>1316</v>
      </c>
      <c r="R8" s="21" t="str">
        <f t="shared" si="1"/>
        <v>OK</v>
      </c>
      <c r="S8" s="21" t="str">
        <f>IF(AND(N8=0,O8=1),"OK","DIFF")</f>
        <v>OK</v>
      </c>
    </row>
    <row r="9">
      <c r="A9" s="24" t="s">
        <v>521</v>
      </c>
      <c r="B9" s="21" t="str">
        <f t="array" ref="B9">INDEX(Catalogue!$S$5:$S$59,MATCH(A9,Catalogue!$A$5:$A$59,0))</f>
        <v>Leaf</v>
      </c>
      <c r="C9" s="21" t="str">
        <f t="array" ref="C9">INDEX(Catalogue!$T$5:$T$59,MATCH(A9,Catalogue!$A$5:$A$59,0))</f>
        <v>P</v>
      </c>
      <c r="D9" s="21">
        <f t="array" ref="D9">INDEX(Catalogue!$AC$5:$AC$59,MATCH(A9,Catalogue!$A$5:$A$59,0))</f>
        <v>1</v>
      </c>
      <c r="E9" s="21">
        <f t="array" ref="E9">INDEX(Catalogue!$AD$5:$AD$59,MATCH(A9,Catalogue!$A$5:$A$59,0))</f>
        <v>3</v>
      </c>
      <c r="F9" s="21">
        <f t="array" ref="F9">INDEX(Catalogue!$AB$5:$AB$59,MATCH(A9,Catalogue!$A$5:$A$59,0))</f>
        <v>5</v>
      </c>
      <c r="G9" s="21">
        <f t="array" ref="G9">INDEX(Catalogue!$AE$5:$AE$59,MATCH(A9,Catalogue!$A$5:$A$59,0))</f>
        <v>5</v>
      </c>
      <c r="H9" s="21">
        <f t="array" ref="H9">INDEX(Catalogue!$AF$5:$AF$59,MATCH(A9,Catalogue!$A$5:$A$59,0))</f>
        <v>3</v>
      </c>
      <c r="I9" s="21">
        <f t="array" ref="I9">INDEX(Catalogue!$AG$5:$AG$59,MATCH(A9,Catalogue!$A$5:$A$59,0))</f>
        <v>5</v>
      </c>
      <c r="J9" s="21">
        <f t="array" ref="J9">INDEX(Catalogue!$AH$5:$AH$59,MATCH(A9,Catalogue!$A$5:$A$59,0))</f>
        <v>17</v>
      </c>
      <c r="K9" s="21">
        <f t="array" ref="K9">INDEX(Catalogue!$AI$5:$AI$59,MATCH(A9,Catalogue!$A$5:$A$59,0))</f>
        <v>19</v>
      </c>
      <c r="L9" s="21" t="str">
        <f t="array" ref="L9">INDEX(Catalogue!$AJ$5:$AJ$59,MATCH(A9,Catalogue!$A$5:$A$59,0))</f>
        <v>High</v>
      </c>
      <c r="M9" s="21" t="str">
        <f t="array" ref="M9">INDEX(Catalogue!$AK$5:$AK$59,MATCH(A9,Catalogue!$A$5:$A$59,0))</f>
        <v>High</v>
      </c>
      <c r="N9" s="21">
        <f t="array" ref="N9">INDEX(Catalogue!$Z$5:$Z$59,MATCH(A9,Catalogue!$A$5:$A$59,0))</f>
        <v>1</v>
      </c>
      <c r="O9" s="21">
        <f t="array" ref="O9">INDEX(Catalogue!$AA$5:$AA$59,MATCH(A9,Catalogue!$A$5:$A$59,0))</f>
        <v>2</v>
      </c>
      <c r="P9" s="10" t="s">
        <v>1080</v>
      </c>
      <c r="Q9" s="10" t="s">
        <v>1082</v>
      </c>
      <c r="R9" s="21" t="str">
        <f t="shared" si="1"/>
        <v>OK</v>
      </c>
      <c r="S9" s="21" t="str">
        <f>IF(AND(N9=1,O9=2),"OK","DIFF")</f>
        <v>OK</v>
      </c>
    </row>
    <row r="10">
      <c r="A10" s="24" t="s">
        <v>431</v>
      </c>
      <c r="B10" s="21" t="str">
        <f t="array" ref="B10">INDEX(Catalogue!$S$5:$S$59,MATCH(A10,Catalogue!$A$5:$A$59,0))</f>
        <v>Enabler</v>
      </c>
      <c r="C10" s="21" t="str">
        <f t="array" ref="C10">INDEX(Catalogue!$T$5:$T$59,MATCH(A10,Catalogue!$A$5:$A$59,0))</f>
        <v>E1</v>
      </c>
      <c r="D10" s="21">
        <f t="array" ref="D10">INDEX(Catalogue!$AC$5:$AC$59,MATCH(A10,Catalogue!$A$5:$A$59,0))</f>
        <v>2</v>
      </c>
      <c r="E10" s="21">
        <f t="array" ref="E10">INDEX(Catalogue!$AD$5:$AD$59,MATCH(A10,Catalogue!$A$5:$A$59,0))</f>
        <v>2</v>
      </c>
      <c r="F10" s="21" t="str">
        <f t="array" ref="F10">INDEX(Catalogue!$AB$5:$AB$59,MATCH(A10,Catalogue!$A$5:$A$59,0))</f>
        <v/>
      </c>
      <c r="G10" s="21">
        <f t="array" ref="G10">INDEX(Catalogue!$AE$5:$AE$59,MATCH(A10,Catalogue!$A$5:$A$59,0))</f>
        <v>3</v>
      </c>
      <c r="H10" s="21">
        <f t="array" ref="H10">INDEX(Catalogue!$AF$5:$AF$59,MATCH(A10,Catalogue!$A$5:$A$59,0))</f>
        <v>4</v>
      </c>
      <c r="I10" s="21">
        <f t="array" ref="I10">INDEX(Catalogue!$AG$5:$AG$59,MATCH(A10,Catalogue!$A$5:$A$59,0))</f>
        <v>4</v>
      </c>
      <c r="J10" s="21" t="str">
        <f t="array" ref="J10">INDEX(Catalogue!$AH$5:$AH$59,MATCH(A10,Catalogue!$A$5:$A$59,0))</f>
        <v/>
      </c>
      <c r="K10" s="21" t="str">
        <f t="array" ref="K10">INDEX(Catalogue!$AI$5:$AI$59,MATCH(A10,Catalogue!$A$5:$A$59,0))</f>
        <v/>
      </c>
      <c r="L10" s="21" t="str">
        <f t="array" ref="L10">INDEX(Catalogue!$AJ$5:$AJ$59,MATCH(A10,Catalogue!$A$5:$A$59,0))</f>
        <v/>
      </c>
      <c r="M10" s="21" t="str">
        <f t="array" ref="M10">INDEX(Catalogue!$AK$5:$AK$59,MATCH(A10,Catalogue!$A$5:$A$59,0))</f>
        <v/>
      </c>
      <c r="N10" s="21">
        <f t="array" ref="N10">INDEX(Catalogue!$Z$5:$Z$59,MATCH(A10,Catalogue!$A$5:$A$59,0))</f>
        <v>1</v>
      </c>
      <c r="O10" s="21">
        <f t="array" ref="O10">INDEX(Catalogue!$AA$5:$AA$59,MATCH(A10,Catalogue!$A$5:$A$59,0))</f>
        <v>2</v>
      </c>
      <c r="P10" s="10" t="s">
        <v>733</v>
      </c>
      <c r="Q10" s="10" t="s">
        <v>733</v>
      </c>
      <c r="R10" s="21" t="str">
        <f t="shared" ref="R10:R11" si="2">IF(AND(J10="",K10=""),"OK","DIFF")</f>
        <v>OK</v>
      </c>
    </row>
    <row r="11">
      <c r="A11" s="24" t="s">
        <v>1453</v>
      </c>
      <c r="B11" s="21" t="str">
        <f t="array" ref="B11">INDEX(Catalogue!$S$5:$S$59,MATCH(A11,Catalogue!$A$5:$A$59,0))</f>
        <v>Enabler</v>
      </c>
      <c r="C11" s="21" t="str">
        <f t="array" ref="C11">INDEX(Catalogue!$T$5:$T$59,MATCH(A11,Catalogue!$A$5:$A$59,0))</f>
        <v>P</v>
      </c>
      <c r="D11" s="21">
        <f t="array" ref="D11">INDEX(Catalogue!$AC$5:$AC$59,MATCH(A11,Catalogue!$A$5:$A$59,0))</f>
        <v>1</v>
      </c>
      <c r="E11" s="21">
        <f t="array" ref="E11">INDEX(Catalogue!$AD$5:$AD$59,MATCH(A11,Catalogue!$A$5:$A$59,0))</f>
        <v>3</v>
      </c>
      <c r="F11" s="21" t="str">
        <f t="array" ref="F11">INDEX(Catalogue!$AB$5:$AB$59,MATCH(A11,Catalogue!$A$5:$A$59,0))</f>
        <v/>
      </c>
      <c r="G11" s="21">
        <f t="array" ref="G11">INDEX(Catalogue!$AE$5:$AE$59,MATCH(A11,Catalogue!$A$5:$A$59,0))</f>
        <v>5</v>
      </c>
      <c r="H11" s="21">
        <f t="array" ref="H11">INDEX(Catalogue!$AF$5:$AF$59,MATCH(A11,Catalogue!$A$5:$A$59,0))</f>
        <v>4</v>
      </c>
      <c r="I11" s="21">
        <f t="array" ref="I11">INDEX(Catalogue!$AG$5:$AG$59,MATCH(A11,Catalogue!$A$5:$A$59,0))</f>
        <v>4</v>
      </c>
      <c r="J11" s="21" t="str">
        <f t="array" ref="J11">INDEX(Catalogue!$AH$5:$AH$59,MATCH(A11,Catalogue!$A$5:$A$59,0))</f>
        <v/>
      </c>
      <c r="K11" s="21" t="str">
        <f t="array" ref="K11">INDEX(Catalogue!$AI$5:$AI$59,MATCH(A11,Catalogue!$A$5:$A$59,0))</f>
        <v/>
      </c>
      <c r="L11" s="21" t="str">
        <f t="array" ref="L11">INDEX(Catalogue!$AJ$5:$AJ$59,MATCH(A11,Catalogue!$A$5:$A$59,0))</f>
        <v/>
      </c>
      <c r="M11" s="21" t="str">
        <f t="array" ref="M11">INDEX(Catalogue!$AK$5:$AK$59,MATCH(A11,Catalogue!$A$5:$A$59,0))</f>
        <v/>
      </c>
      <c r="N11" s="21">
        <f t="array" ref="N11">INDEX(Catalogue!$Z$5:$Z$59,MATCH(A11,Catalogue!$A$5:$A$59,0))</f>
        <v>0</v>
      </c>
      <c r="O11" s="21">
        <f t="array" ref="O11">INDEX(Catalogue!$AA$5:$AA$59,MATCH(A11,Catalogue!$A$5:$A$59,0))</f>
        <v>1</v>
      </c>
      <c r="P11" s="10" t="s">
        <v>733</v>
      </c>
      <c r="Q11" s="10" t="s">
        <v>733</v>
      </c>
      <c r="R11" s="21" t="str">
        <f t="shared" si="2"/>
        <v>OK</v>
      </c>
    </row>
    <row r="13">
      <c r="A13" s="2" t="s">
        <v>1718</v>
      </c>
    </row>
    <row r="14" ht="42.75" customHeight="1">
      <c r="A14" s="26" t="s">
        <v>1727</v>
      </c>
      <c r="B14" s="16"/>
      <c r="C14" s="16"/>
      <c r="D14" s="16"/>
      <c r="E14" s="16"/>
      <c r="F14" s="16"/>
      <c r="G14" s="16"/>
      <c r="H14" s="17"/>
      <c r="I14" s="10">
        <v>4.0</v>
      </c>
      <c r="J14" s="3" t="s">
        <v>1730</v>
      </c>
      <c r="L14" s="10">
        <v>4.0</v>
      </c>
    </row>
    <row r="15">
      <c r="A15" s="12" t="s">
        <v>1732</v>
      </c>
    </row>
    <row r="16" ht="30.0" customHeight="1">
      <c r="A16" s="4" t="s">
        <v>1733</v>
      </c>
      <c r="B16" s="4" t="s">
        <v>1734</v>
      </c>
      <c r="C16" s="4" t="s">
        <v>1735</v>
      </c>
      <c r="D16" s="4" t="s">
        <v>1736</v>
      </c>
      <c r="E16" s="4" t="s">
        <v>165</v>
      </c>
      <c r="F16" s="4" t="s">
        <v>37</v>
      </c>
      <c r="G16" s="4" t="s">
        <v>45</v>
      </c>
      <c r="H16" s="4" t="s">
        <v>169</v>
      </c>
      <c r="I16" s="4" t="s">
        <v>1737</v>
      </c>
      <c r="J16" s="4" t="s">
        <v>227</v>
      </c>
      <c r="K16" s="4" t="s">
        <v>52</v>
      </c>
      <c r="L16" s="4" t="s">
        <v>1739</v>
      </c>
      <c r="M16" s="4" t="s">
        <v>575</v>
      </c>
    </row>
    <row r="17">
      <c r="A17" s="24" t="s">
        <v>1740</v>
      </c>
      <c r="B17" s="5" t="s">
        <v>1741</v>
      </c>
      <c r="C17" s="24" t="s">
        <v>294</v>
      </c>
      <c r="D17" s="21" t="s">
        <v>431</v>
      </c>
      <c r="E17" s="21">
        <f t="shared" ref="E17:F17" si="3">MIN(D5,D10)</f>
        <v>2</v>
      </c>
      <c r="F17" s="21">
        <f t="shared" si="3"/>
        <v>2</v>
      </c>
      <c r="G17" s="21">
        <f t="shared" ref="G17:G21" si="5">F5</f>
        <v>5</v>
      </c>
      <c r="H17" s="21">
        <f>MIN(G5,G10)</f>
        <v>3</v>
      </c>
      <c r="I17" s="21">
        <f>MIN($I$14,H10)</f>
        <v>4</v>
      </c>
      <c r="J17" s="24">
        <f t="shared" ref="J17:J26" si="6">E17+F17+G17+H17+I17</f>
        <v>16</v>
      </c>
      <c r="K17" s="21" t="str">
        <f t="array" ref="K17">INDEX(Rubric!$M$5:$M$8,MATCH(J17,Rubric!$L$5:$L$8,1))</f>
        <v>High</v>
      </c>
      <c r="L17" s="10">
        <v>16.0</v>
      </c>
      <c r="M17" s="21" t="str">
        <f t="shared" ref="M17:M26" si="7">IF(J17=L17,"OK","DIFF")</f>
        <v>OK</v>
      </c>
    </row>
    <row r="18">
      <c r="A18" s="24" t="s">
        <v>1740</v>
      </c>
      <c r="B18" s="5" t="s">
        <v>1754</v>
      </c>
      <c r="C18" s="24" t="s">
        <v>437</v>
      </c>
      <c r="D18" s="21" t="s">
        <v>431</v>
      </c>
      <c r="E18" s="21">
        <f t="shared" ref="E18:F18" si="4">MIN(D6,D10)</f>
        <v>2</v>
      </c>
      <c r="F18" s="21">
        <f t="shared" si="4"/>
        <v>2</v>
      </c>
      <c r="G18" s="21">
        <f t="shared" si="5"/>
        <v>5</v>
      </c>
      <c r="H18" s="21">
        <f t="shared" ref="H18:H19" si="9">MIN(G6,G10)</f>
        <v>3</v>
      </c>
      <c r="I18" s="21">
        <f t="shared" ref="I18:I19" si="10">MIN($I$14,H10)</f>
        <v>4</v>
      </c>
      <c r="J18" s="24">
        <f t="shared" si="6"/>
        <v>16</v>
      </c>
      <c r="K18" s="21" t="str">
        <f t="array" ref="K18">INDEX(Rubric!$M$5:$M$8,MATCH(J18,Rubric!$L$5:$L$8,1))</f>
        <v>High</v>
      </c>
      <c r="L18" s="10">
        <v>16.0</v>
      </c>
      <c r="M18" s="21" t="str">
        <f t="shared" si="7"/>
        <v>OK</v>
      </c>
    </row>
    <row r="19">
      <c r="A19" s="24" t="s">
        <v>1740</v>
      </c>
      <c r="B19" s="5" t="s">
        <v>1767</v>
      </c>
      <c r="C19" s="24" t="s">
        <v>370</v>
      </c>
      <c r="D19" s="21" t="s">
        <v>1453</v>
      </c>
      <c r="E19" s="21">
        <f t="shared" ref="E19:F19" si="8">MIN(D7,D11)</f>
        <v>1</v>
      </c>
      <c r="F19" s="21">
        <f t="shared" si="8"/>
        <v>3</v>
      </c>
      <c r="G19" s="21">
        <f t="shared" si="5"/>
        <v>5</v>
      </c>
      <c r="H19" s="21">
        <f t="shared" si="9"/>
        <v>4</v>
      </c>
      <c r="I19" s="21">
        <f t="shared" si="10"/>
        <v>4</v>
      </c>
      <c r="J19" s="24">
        <f t="shared" si="6"/>
        <v>17</v>
      </c>
      <c r="K19" s="21" t="str">
        <f t="array" ref="K19">INDEX(Rubric!$M$5:$M$8,MATCH(J19,Rubric!$L$5:$L$8,1))</f>
        <v>High</v>
      </c>
      <c r="L19" s="10">
        <v>17.0</v>
      </c>
      <c r="M19" s="21" t="str">
        <f t="shared" si="7"/>
        <v>OK</v>
      </c>
    </row>
    <row r="20">
      <c r="A20" s="24" t="s">
        <v>1740</v>
      </c>
      <c r="B20" s="5" t="s">
        <v>1778</v>
      </c>
      <c r="C20" s="24" t="s">
        <v>1100</v>
      </c>
      <c r="D20" s="21" t="s">
        <v>1453</v>
      </c>
      <c r="E20" s="21">
        <f t="shared" ref="E20:F20" si="11">MIN(D8,D11)</f>
        <v>1</v>
      </c>
      <c r="F20" s="21">
        <f t="shared" si="11"/>
        <v>3</v>
      </c>
      <c r="G20" s="21">
        <f t="shared" si="5"/>
        <v>5</v>
      </c>
      <c r="H20" s="21">
        <f>MIN(G8,G11)</f>
        <v>5</v>
      </c>
      <c r="I20" s="21">
        <f>MIN($I$14,H11)</f>
        <v>4</v>
      </c>
      <c r="J20" s="24">
        <f t="shared" si="6"/>
        <v>18</v>
      </c>
      <c r="K20" s="21" t="str">
        <f t="array" ref="K20">INDEX(Rubric!$M$5:$M$8,MATCH(J20,Rubric!$L$5:$L$8,1))</f>
        <v>High</v>
      </c>
      <c r="L20" s="10">
        <v>18.0</v>
      </c>
      <c r="M20" s="21" t="str">
        <f t="shared" si="7"/>
        <v>OK</v>
      </c>
    </row>
    <row r="21" ht="15.75" customHeight="1">
      <c r="A21" s="24" t="s">
        <v>1740</v>
      </c>
      <c r="B21" s="5" t="s">
        <v>1784</v>
      </c>
      <c r="C21" s="24" t="s">
        <v>521</v>
      </c>
      <c r="D21" s="21" t="s">
        <v>1453</v>
      </c>
      <c r="E21" s="21">
        <f t="shared" ref="E21:F21" si="12">MIN(D9,D11)</f>
        <v>1</v>
      </c>
      <c r="F21" s="21">
        <f t="shared" si="12"/>
        <v>3</v>
      </c>
      <c r="G21" s="21">
        <f t="shared" si="5"/>
        <v>5</v>
      </c>
      <c r="H21" s="21">
        <f>MIN(G9,G11)</f>
        <v>5</v>
      </c>
      <c r="I21" s="21">
        <f>MIN($I$14,H11)</f>
        <v>4</v>
      </c>
      <c r="J21" s="24">
        <f t="shared" si="6"/>
        <v>18</v>
      </c>
      <c r="K21" s="21" t="str">
        <f t="array" ref="K21">INDEX(Rubric!$M$5:$M$8,MATCH(J21,Rubric!$L$5:$L$8,1))</f>
        <v>High</v>
      </c>
      <c r="L21" s="10">
        <v>18.0</v>
      </c>
      <c r="M21" s="21" t="str">
        <f t="shared" si="7"/>
        <v>OK</v>
      </c>
    </row>
    <row r="22" ht="15.75" customHeight="1">
      <c r="A22" s="24" t="s">
        <v>1793</v>
      </c>
      <c r="B22" s="5" t="s">
        <v>1795</v>
      </c>
      <c r="C22" s="24" t="s">
        <v>294</v>
      </c>
      <c r="D22" s="21" t="s">
        <v>1796</v>
      </c>
      <c r="E22" s="21">
        <f t="shared" ref="E22:G22" si="13">D5</f>
        <v>3</v>
      </c>
      <c r="F22" s="21">
        <f t="shared" si="13"/>
        <v>2</v>
      </c>
      <c r="G22" s="21">
        <f t="shared" si="13"/>
        <v>5</v>
      </c>
      <c r="H22" s="21">
        <f t="shared" ref="H22:H26" si="15">MIN(G5,$L$14)</f>
        <v>3</v>
      </c>
      <c r="I22" s="10">
        <v>5.0</v>
      </c>
      <c r="J22" s="24">
        <f t="shared" si="6"/>
        <v>18</v>
      </c>
      <c r="K22" s="21" t="str">
        <f t="array" ref="K22">INDEX(Rubric!$M$5:$M$8,MATCH(J22,Rubric!$L$5:$L$8,1))</f>
        <v>High</v>
      </c>
      <c r="L22" s="10">
        <v>18.0</v>
      </c>
      <c r="M22" s="21" t="str">
        <f t="shared" si="7"/>
        <v>OK</v>
      </c>
    </row>
    <row r="23" ht="15.75" customHeight="1">
      <c r="A23" s="24" t="s">
        <v>1793</v>
      </c>
      <c r="B23" s="5" t="s">
        <v>1806</v>
      </c>
      <c r="C23" s="24" t="s">
        <v>437</v>
      </c>
      <c r="D23" s="21" t="s">
        <v>1796</v>
      </c>
      <c r="E23" s="21">
        <f t="shared" ref="E23:G23" si="14">D6</f>
        <v>3</v>
      </c>
      <c r="F23" s="21">
        <f t="shared" si="14"/>
        <v>2</v>
      </c>
      <c r="G23" s="21">
        <f t="shared" si="14"/>
        <v>5</v>
      </c>
      <c r="H23" s="21">
        <f t="shared" si="15"/>
        <v>3</v>
      </c>
      <c r="I23" s="10">
        <v>5.0</v>
      </c>
      <c r="J23" s="24">
        <f t="shared" si="6"/>
        <v>18</v>
      </c>
      <c r="K23" s="21" t="str">
        <f t="array" ref="K23">INDEX(Rubric!$M$5:$M$8,MATCH(J23,Rubric!$L$5:$L$8,1))</f>
        <v>High</v>
      </c>
      <c r="L23" s="10">
        <v>18.0</v>
      </c>
      <c r="M23" s="21" t="str">
        <f t="shared" si="7"/>
        <v>OK</v>
      </c>
    </row>
    <row r="24" ht="15.75" customHeight="1">
      <c r="A24" s="24" t="s">
        <v>1793</v>
      </c>
      <c r="B24" s="5" t="s">
        <v>1810</v>
      </c>
      <c r="C24" s="24" t="s">
        <v>370</v>
      </c>
      <c r="D24" s="21" t="s">
        <v>1796</v>
      </c>
      <c r="E24" s="21">
        <f t="shared" ref="E24:G24" si="16">D7</f>
        <v>2</v>
      </c>
      <c r="F24" s="21">
        <f t="shared" si="16"/>
        <v>3</v>
      </c>
      <c r="G24" s="21">
        <f t="shared" si="16"/>
        <v>5</v>
      </c>
      <c r="H24" s="21">
        <f t="shared" si="15"/>
        <v>4</v>
      </c>
      <c r="I24" s="10">
        <v>5.0</v>
      </c>
      <c r="J24" s="24">
        <f t="shared" si="6"/>
        <v>19</v>
      </c>
      <c r="K24" s="21" t="str">
        <f t="array" ref="K24">INDEX(Rubric!$M$5:$M$8,MATCH(J24,Rubric!$L$5:$L$8,1))</f>
        <v>High</v>
      </c>
      <c r="L24" s="10">
        <v>19.0</v>
      </c>
      <c r="M24" s="21" t="str">
        <f t="shared" si="7"/>
        <v>OK</v>
      </c>
    </row>
    <row r="25" ht="15.75" customHeight="1">
      <c r="A25" s="24" t="s">
        <v>1793</v>
      </c>
      <c r="B25" s="5" t="s">
        <v>1818</v>
      </c>
      <c r="C25" s="24" t="s">
        <v>1100</v>
      </c>
      <c r="D25" s="21" t="s">
        <v>1796</v>
      </c>
      <c r="E25" s="21">
        <f t="shared" ref="E25:G25" si="17">D8</f>
        <v>1</v>
      </c>
      <c r="F25" s="21">
        <f t="shared" si="17"/>
        <v>3</v>
      </c>
      <c r="G25" s="21">
        <f t="shared" si="17"/>
        <v>5</v>
      </c>
      <c r="H25" s="21">
        <f t="shared" si="15"/>
        <v>4</v>
      </c>
      <c r="I25" s="10">
        <v>5.0</v>
      </c>
      <c r="J25" s="24">
        <f t="shared" si="6"/>
        <v>18</v>
      </c>
      <c r="K25" s="21" t="str">
        <f t="array" ref="K25">INDEX(Rubric!$M$5:$M$8,MATCH(J25,Rubric!$L$5:$L$8,1))</f>
        <v>High</v>
      </c>
      <c r="L25" s="10">
        <v>18.0</v>
      </c>
      <c r="M25" s="21" t="str">
        <f t="shared" si="7"/>
        <v>OK</v>
      </c>
    </row>
    <row r="26" ht="15.75" customHeight="1">
      <c r="A26" s="24" t="s">
        <v>1793</v>
      </c>
      <c r="B26" s="5" t="s">
        <v>1832</v>
      </c>
      <c r="C26" s="24" t="s">
        <v>521</v>
      </c>
      <c r="D26" s="21" t="s">
        <v>1796</v>
      </c>
      <c r="E26" s="21">
        <f t="shared" ref="E26:G26" si="18">D9</f>
        <v>1</v>
      </c>
      <c r="F26" s="21">
        <f t="shared" si="18"/>
        <v>3</v>
      </c>
      <c r="G26" s="21">
        <f t="shared" si="18"/>
        <v>5</v>
      </c>
      <c r="H26" s="21">
        <f t="shared" si="15"/>
        <v>4</v>
      </c>
      <c r="I26" s="10">
        <v>5.0</v>
      </c>
      <c r="J26" s="24">
        <f t="shared" si="6"/>
        <v>18</v>
      </c>
      <c r="K26" s="21" t="str">
        <f t="array" ref="K26">INDEX(Rubric!$M$5:$M$8,MATCH(J26,Rubric!$L$5:$L$8,1))</f>
        <v>High</v>
      </c>
      <c r="L26" s="10">
        <v>18.0</v>
      </c>
      <c r="M26" s="21" t="str">
        <f t="shared" si="7"/>
        <v>OK</v>
      </c>
    </row>
    <row r="27" ht="15.75" customHeight="1"/>
    <row r="28" ht="15.75" customHeight="1">
      <c r="A28" s="2" t="s">
        <v>1840</v>
      </c>
    </row>
    <row r="29" ht="15.75" customHeight="1">
      <c r="A29" s="2" t="s">
        <v>1843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4:H14"/>
  </mergeCell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9DB"/>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0"/>
    <col customWidth="1" min="2" max="2" width="40.0"/>
    <col customWidth="1" min="3" max="3" width="6.0"/>
    <col customWidth="1" min="4" max="4" width="52.0"/>
    <col customWidth="1" min="5" max="6" width="16.0"/>
    <col customWidth="1" min="7" max="7" width="10.0"/>
    <col customWidth="1" min="8" max="8" width="24.0"/>
    <col customWidth="1" min="9" max="9" width="9.0"/>
    <col customWidth="1" min="10" max="11" width="11.0"/>
    <col customWidth="1" min="12" max="12" width="8.0"/>
    <col customWidth="1" min="13" max="14" width="10.0"/>
  </cols>
  <sheetData>
    <row r="1">
      <c r="A1" s="1" t="s">
        <v>688</v>
      </c>
    </row>
    <row r="2">
      <c r="A2" s="2" t="s">
        <v>689</v>
      </c>
    </row>
    <row r="4" ht="42.0" customHeight="1">
      <c r="A4" s="4" t="s">
        <v>122</v>
      </c>
      <c r="B4" s="4" t="s">
        <v>690</v>
      </c>
      <c r="C4" s="4" t="s">
        <v>124</v>
      </c>
      <c r="D4" s="4" t="s">
        <v>691</v>
      </c>
      <c r="E4" s="4" t="s">
        <v>692</v>
      </c>
      <c r="F4" s="4" t="s">
        <v>693</v>
      </c>
      <c r="G4" s="4" t="s">
        <v>694</v>
      </c>
      <c r="H4" s="4" t="s">
        <v>695</v>
      </c>
      <c r="I4" s="4" t="s">
        <v>696</v>
      </c>
      <c r="J4" s="4" t="s">
        <v>697</v>
      </c>
      <c r="K4" s="4" t="s">
        <v>698</v>
      </c>
      <c r="L4" s="4" t="s">
        <v>575</v>
      </c>
      <c r="M4" s="4" t="s">
        <v>699</v>
      </c>
      <c r="N4" s="4" t="s">
        <v>700</v>
      </c>
    </row>
    <row r="5" ht="49.5" customHeight="1">
      <c r="A5" s="24" t="s">
        <v>222</v>
      </c>
      <c r="B5" s="5" t="s">
        <v>702</v>
      </c>
      <c r="C5" s="21">
        <v>1.0</v>
      </c>
      <c r="D5" s="5" t="s">
        <v>704</v>
      </c>
      <c r="E5" s="5" t="s">
        <v>705</v>
      </c>
      <c r="F5" s="5" t="s">
        <v>706</v>
      </c>
      <c r="G5" s="21" t="s">
        <v>226</v>
      </c>
      <c r="H5" s="5" t="s">
        <v>707</v>
      </c>
      <c r="I5" s="21" t="s">
        <v>708</v>
      </c>
      <c r="J5" s="24">
        <f>COUNTIF(Catalogue!$F$5:$F$59,"*A1.1*")</f>
        <v>6</v>
      </c>
      <c r="K5" s="10">
        <v>6.0</v>
      </c>
      <c r="L5" s="21" t="str">
        <f t="shared" ref="L5:L31" si="1">IF(K5="","",IF(J5=K5,"OK","DIFF"))</f>
        <v>OK</v>
      </c>
      <c r="M5" s="21">
        <f>COUNTIF('CVE Register'!$W$5:$W$61,"*"&amp;A5&amp;"*")</f>
        <v>0</v>
      </c>
      <c r="N5" s="5" t="s">
        <v>609</v>
      </c>
    </row>
    <row r="6" ht="49.5" customHeight="1">
      <c r="A6" s="24" t="s">
        <v>715</v>
      </c>
      <c r="B6" s="5" t="s">
        <v>716</v>
      </c>
      <c r="C6" s="21">
        <v>1.0</v>
      </c>
      <c r="D6" s="5" t="s">
        <v>717</v>
      </c>
      <c r="E6" s="5" t="s">
        <v>718</v>
      </c>
      <c r="F6" s="5" t="s">
        <v>706</v>
      </c>
      <c r="G6" s="21" t="s">
        <v>226</v>
      </c>
      <c r="H6" s="5" t="s">
        <v>719</v>
      </c>
      <c r="I6" s="21" t="s">
        <v>720</v>
      </c>
      <c r="J6" s="24">
        <f>COUNTIF(Catalogue!$F$5:$F$59,"*A1.2*")</f>
        <v>2</v>
      </c>
      <c r="K6" s="10">
        <v>2.0</v>
      </c>
      <c r="L6" s="21" t="str">
        <f t="shared" si="1"/>
        <v>OK</v>
      </c>
      <c r="M6" s="21">
        <f>COUNTIF('CVE Register'!$W$5:$W$61,"*"&amp;A6&amp;"*")</f>
        <v>0</v>
      </c>
      <c r="N6" s="5" t="s">
        <v>725</v>
      </c>
    </row>
    <row r="7" ht="49.5" customHeight="1">
      <c r="A7" s="24" t="s">
        <v>726</v>
      </c>
      <c r="B7" s="5" t="s">
        <v>727</v>
      </c>
      <c r="C7" s="21">
        <v>1.0</v>
      </c>
      <c r="D7" s="5" t="s">
        <v>729</v>
      </c>
      <c r="E7" s="5" t="s">
        <v>705</v>
      </c>
      <c r="F7" s="5" t="s">
        <v>731</v>
      </c>
      <c r="G7" s="21" t="s">
        <v>733</v>
      </c>
      <c r="H7" s="5" t="s">
        <v>734</v>
      </c>
      <c r="I7" s="21"/>
      <c r="J7" s="24">
        <f>COUNTIF(Catalogue!$F$5:$F$59,"*A1.3*")</f>
        <v>2</v>
      </c>
      <c r="K7" s="10"/>
      <c r="L7" s="21" t="str">
        <f t="shared" si="1"/>
        <v/>
      </c>
      <c r="M7" s="21">
        <f>COUNTIF('CVE Register'!$W$5:$W$61,"*"&amp;A7&amp;"*")</f>
        <v>0</v>
      </c>
      <c r="N7" s="5" t="s">
        <v>736</v>
      </c>
    </row>
    <row r="8" ht="49.5" customHeight="1">
      <c r="A8" s="24" t="s">
        <v>737</v>
      </c>
      <c r="B8" s="5" t="s">
        <v>738</v>
      </c>
      <c r="C8" s="21">
        <v>1.0</v>
      </c>
      <c r="D8" s="5" t="s">
        <v>739</v>
      </c>
      <c r="E8" s="5" t="s">
        <v>740</v>
      </c>
      <c r="F8" s="5" t="s">
        <v>731</v>
      </c>
      <c r="G8" s="21" t="s">
        <v>613</v>
      </c>
      <c r="H8" s="5" t="s">
        <v>734</v>
      </c>
      <c r="I8" s="21"/>
      <c r="J8" s="24">
        <f>COUNTIF(Catalogue!$F$5:$F$59,"*A1.4*")</f>
        <v>1</v>
      </c>
      <c r="K8" s="10"/>
      <c r="L8" s="21" t="str">
        <f t="shared" si="1"/>
        <v/>
      </c>
      <c r="M8" s="21">
        <f>COUNTIF('CVE Register'!$W$5:$W$61,"*"&amp;A8&amp;"*")</f>
        <v>0</v>
      </c>
      <c r="N8" s="5" t="s">
        <v>743</v>
      </c>
    </row>
    <row r="9" ht="49.5" customHeight="1">
      <c r="A9" s="24" t="s">
        <v>621</v>
      </c>
      <c r="B9" s="5" t="s">
        <v>745</v>
      </c>
      <c r="C9" s="21">
        <v>1.0</v>
      </c>
      <c r="D9" s="5" t="s">
        <v>746</v>
      </c>
      <c r="E9" s="5" t="s">
        <v>740</v>
      </c>
      <c r="F9" s="5" t="s">
        <v>747</v>
      </c>
      <c r="G9" s="21" t="s">
        <v>748</v>
      </c>
      <c r="H9" s="5" t="s">
        <v>749</v>
      </c>
      <c r="I9" s="21" t="s">
        <v>750</v>
      </c>
      <c r="J9" s="24">
        <f>COUNTIF(Catalogue!$F$5:$F$59,"*A1.5*")</f>
        <v>2</v>
      </c>
      <c r="K9" s="10">
        <v>2.0</v>
      </c>
      <c r="L9" s="21" t="str">
        <f t="shared" si="1"/>
        <v>OK</v>
      </c>
      <c r="M9" s="21">
        <f>COUNTIF('CVE Register'!$W$5:$W$61,"*"&amp;A9&amp;"*")</f>
        <v>1</v>
      </c>
      <c r="N9" s="5" t="s">
        <v>624</v>
      </c>
    </row>
    <row r="10" ht="49.5" customHeight="1">
      <c r="A10" s="24" t="s">
        <v>752</v>
      </c>
      <c r="B10" s="5" t="s">
        <v>754</v>
      </c>
      <c r="C10" s="21">
        <v>1.0</v>
      </c>
      <c r="D10" s="5" t="s">
        <v>756</v>
      </c>
      <c r="E10" s="5" t="s">
        <v>740</v>
      </c>
      <c r="F10" s="5" t="s">
        <v>731</v>
      </c>
      <c r="G10" s="21" t="s">
        <v>613</v>
      </c>
      <c r="H10" s="5" t="s">
        <v>734</v>
      </c>
      <c r="I10" s="21"/>
      <c r="J10" s="24">
        <f>COUNTIF(Catalogue!$F$5:$F$59,"*A1.6*")</f>
        <v>3</v>
      </c>
      <c r="K10" s="10">
        <v>3.0</v>
      </c>
      <c r="L10" s="21" t="str">
        <f t="shared" si="1"/>
        <v>OK</v>
      </c>
      <c r="M10" s="21">
        <f>COUNTIF('CVE Register'!$W$5:$W$61,"*"&amp;A10&amp;"*")</f>
        <v>5</v>
      </c>
      <c r="N10" s="5" t="s">
        <v>761</v>
      </c>
    </row>
    <row r="11" ht="39.0" customHeight="1">
      <c r="A11" s="24" t="s">
        <v>633</v>
      </c>
      <c r="B11" s="5" t="s">
        <v>762</v>
      </c>
      <c r="C11" s="21">
        <v>1.0</v>
      </c>
      <c r="D11" s="5" t="s">
        <v>764</v>
      </c>
      <c r="E11" s="5" t="s">
        <v>705</v>
      </c>
      <c r="F11" s="5" t="s">
        <v>731</v>
      </c>
      <c r="G11" s="21" t="s">
        <v>765</v>
      </c>
      <c r="H11" s="5" t="s">
        <v>766</v>
      </c>
      <c r="I11" s="21"/>
      <c r="J11" s="24">
        <f>COUNTIF(Catalogue!$F$5:$F$59,"*A1.7*")</f>
        <v>2</v>
      </c>
      <c r="K11" s="10"/>
      <c r="L11" s="21" t="str">
        <f t="shared" si="1"/>
        <v/>
      </c>
      <c r="M11" s="21">
        <f>COUNTIF('CVE Register'!$W$5:$W$61,"*"&amp;A11&amp;"*")</f>
        <v>3</v>
      </c>
      <c r="N11" s="5" t="s">
        <v>635</v>
      </c>
    </row>
    <row r="12" ht="49.5" customHeight="1">
      <c r="A12" s="24" t="s">
        <v>769</v>
      </c>
      <c r="B12" s="5" t="s">
        <v>770</v>
      </c>
      <c r="C12" s="21">
        <v>2.0</v>
      </c>
      <c r="D12" s="5" t="s">
        <v>772</v>
      </c>
      <c r="E12" s="5" t="s">
        <v>773</v>
      </c>
      <c r="F12" s="5" t="s">
        <v>774</v>
      </c>
      <c r="G12" s="21" t="s">
        <v>775</v>
      </c>
      <c r="H12" s="5" t="s">
        <v>776</v>
      </c>
      <c r="I12" s="21"/>
      <c r="J12" s="24">
        <f>COUNTIF(Catalogue!$F$5:$F$59,"*A2.1*")</f>
        <v>3</v>
      </c>
      <c r="K12" s="10"/>
      <c r="L12" s="21" t="str">
        <f t="shared" si="1"/>
        <v/>
      </c>
      <c r="M12" s="21">
        <f>COUNTIF('CVE Register'!$W$5:$W$61,"*"&amp;A12&amp;"*")</f>
        <v>0</v>
      </c>
      <c r="N12" s="5" t="s">
        <v>777</v>
      </c>
    </row>
    <row r="13" ht="49.5" customHeight="1">
      <c r="A13" s="24" t="s">
        <v>778</v>
      </c>
      <c r="B13" s="5" t="s">
        <v>779</v>
      </c>
      <c r="C13" s="21">
        <v>2.0</v>
      </c>
      <c r="D13" s="5" t="s">
        <v>780</v>
      </c>
      <c r="E13" s="5" t="s">
        <v>782</v>
      </c>
      <c r="F13" s="5" t="s">
        <v>774</v>
      </c>
      <c r="G13" s="21" t="s">
        <v>733</v>
      </c>
      <c r="H13" s="5" t="s">
        <v>783</v>
      </c>
      <c r="I13" s="21"/>
      <c r="J13" s="24">
        <f>COUNTIF(Catalogue!$F$5:$F$59,"*A2.2*")</f>
        <v>2</v>
      </c>
      <c r="K13" s="10"/>
      <c r="L13" s="21" t="str">
        <f t="shared" si="1"/>
        <v/>
      </c>
      <c r="M13" s="21">
        <f>COUNTIF('CVE Register'!$W$5:$W$61,"*"&amp;A13&amp;"*")</f>
        <v>0</v>
      </c>
      <c r="N13" s="5" t="s">
        <v>786</v>
      </c>
    </row>
    <row r="14" ht="49.5" customHeight="1">
      <c r="A14" s="24" t="s">
        <v>787</v>
      </c>
      <c r="B14" s="5" t="s">
        <v>788</v>
      </c>
      <c r="C14" s="21">
        <v>2.0</v>
      </c>
      <c r="D14" s="5" t="s">
        <v>789</v>
      </c>
      <c r="E14" s="5" t="s">
        <v>773</v>
      </c>
      <c r="F14" s="5" t="s">
        <v>774</v>
      </c>
      <c r="G14" s="21" t="s">
        <v>613</v>
      </c>
      <c r="H14" s="5" t="s">
        <v>790</v>
      </c>
      <c r="I14" s="21" t="s">
        <v>750</v>
      </c>
      <c r="J14" s="24">
        <f>COUNTIF(Catalogue!$F$5:$F$59,"*A2.3*")</f>
        <v>2</v>
      </c>
      <c r="K14" s="10">
        <v>2.0</v>
      </c>
      <c r="L14" s="21" t="str">
        <f t="shared" si="1"/>
        <v>OK</v>
      </c>
      <c r="M14" s="21">
        <f>COUNTIF('CVE Register'!$W$5:$W$61,"*"&amp;A14&amp;"*")</f>
        <v>7</v>
      </c>
      <c r="N14" s="5" t="s">
        <v>796</v>
      </c>
    </row>
    <row r="15" ht="39.0" customHeight="1">
      <c r="A15" s="24" t="s">
        <v>797</v>
      </c>
      <c r="B15" s="5" t="s">
        <v>799</v>
      </c>
      <c r="C15" s="21">
        <v>2.0</v>
      </c>
      <c r="D15" s="5" t="s">
        <v>800</v>
      </c>
      <c r="E15" s="5" t="s">
        <v>782</v>
      </c>
      <c r="F15" s="5" t="s">
        <v>774</v>
      </c>
      <c r="G15" s="21" t="s">
        <v>765</v>
      </c>
      <c r="H15" s="5" t="s">
        <v>801</v>
      </c>
      <c r="I15" s="21"/>
      <c r="J15" s="24">
        <f>COUNTIF(Catalogue!$F$5:$F$59,"*A2.4*")</f>
        <v>3</v>
      </c>
      <c r="K15" s="10"/>
      <c r="L15" s="21" t="str">
        <f t="shared" si="1"/>
        <v/>
      </c>
      <c r="M15" s="21">
        <f>COUNTIF('CVE Register'!$W$5:$W$61,"*"&amp;A15&amp;"*")</f>
        <v>10</v>
      </c>
      <c r="N15" s="5" t="s">
        <v>804</v>
      </c>
    </row>
    <row r="16" ht="49.5" customHeight="1">
      <c r="A16" s="24" t="s">
        <v>805</v>
      </c>
      <c r="B16" s="5" t="s">
        <v>806</v>
      </c>
      <c r="C16" s="21">
        <v>2.0</v>
      </c>
      <c r="D16" s="5" t="s">
        <v>807</v>
      </c>
      <c r="E16" s="5" t="s">
        <v>773</v>
      </c>
      <c r="F16" s="5" t="s">
        <v>774</v>
      </c>
      <c r="G16" s="21" t="s">
        <v>808</v>
      </c>
      <c r="H16" s="5" t="s">
        <v>790</v>
      </c>
      <c r="I16" s="21"/>
      <c r="J16" s="24">
        <f>COUNTIF(Catalogue!$F$5:$F$59,"*A2.5*")</f>
        <v>2</v>
      </c>
      <c r="K16" s="10">
        <v>2.0</v>
      </c>
      <c r="L16" s="21" t="str">
        <f t="shared" si="1"/>
        <v>OK</v>
      </c>
      <c r="M16" s="21">
        <f>COUNTIF('CVE Register'!$W$5:$W$61,"*"&amp;A16&amp;"*")</f>
        <v>10</v>
      </c>
      <c r="N16" s="5" t="s">
        <v>814</v>
      </c>
    </row>
    <row r="17" ht="49.5" customHeight="1">
      <c r="A17" s="24" t="s">
        <v>815</v>
      </c>
      <c r="B17" s="5" t="s">
        <v>816</v>
      </c>
      <c r="C17" s="21">
        <v>3.0</v>
      </c>
      <c r="D17" s="5" t="s">
        <v>817</v>
      </c>
      <c r="E17" s="5" t="s">
        <v>818</v>
      </c>
      <c r="F17" s="5" t="s">
        <v>731</v>
      </c>
      <c r="G17" s="21" t="s">
        <v>765</v>
      </c>
      <c r="H17" s="5" t="s">
        <v>819</v>
      </c>
      <c r="I17" s="21"/>
      <c r="J17" s="24">
        <f>COUNTIF(Catalogue!$F$5:$F$59,"*A3.1*")</f>
        <v>1</v>
      </c>
      <c r="K17" s="10"/>
      <c r="L17" s="21" t="str">
        <f t="shared" si="1"/>
        <v/>
      </c>
      <c r="M17" s="21">
        <f>COUNTIF('CVE Register'!$W$5:$W$61,"*"&amp;A17&amp;"*")</f>
        <v>0</v>
      </c>
      <c r="N17" s="5" t="s">
        <v>821</v>
      </c>
    </row>
    <row r="18" ht="49.5" customHeight="1">
      <c r="A18" s="24" t="s">
        <v>822</v>
      </c>
      <c r="B18" s="5" t="s">
        <v>823</v>
      </c>
      <c r="C18" s="21">
        <v>3.0</v>
      </c>
      <c r="D18" s="5" t="s">
        <v>824</v>
      </c>
      <c r="E18" s="5" t="s">
        <v>773</v>
      </c>
      <c r="F18" s="5" t="s">
        <v>825</v>
      </c>
      <c r="G18" s="21" t="s">
        <v>452</v>
      </c>
      <c r="H18" s="5" t="s">
        <v>827</v>
      </c>
      <c r="I18" s="21" t="s">
        <v>750</v>
      </c>
      <c r="J18" s="24">
        <f>COUNTIF(Catalogue!$F$5:$F$59,"*A3.2*")</f>
        <v>1</v>
      </c>
      <c r="K18" s="10"/>
      <c r="L18" s="21" t="str">
        <f t="shared" si="1"/>
        <v/>
      </c>
      <c r="M18" s="21">
        <f>COUNTIF('CVE Register'!$W$5:$W$61,"*"&amp;A18&amp;"*")</f>
        <v>0</v>
      </c>
      <c r="N18" s="5" t="s">
        <v>829</v>
      </c>
    </row>
    <row r="19" ht="49.5" customHeight="1">
      <c r="A19" s="24" t="s">
        <v>830</v>
      </c>
      <c r="B19" s="5" t="s">
        <v>831</v>
      </c>
      <c r="C19" s="21">
        <v>3.0</v>
      </c>
      <c r="D19" s="5" t="s">
        <v>832</v>
      </c>
      <c r="E19" s="5" t="s">
        <v>833</v>
      </c>
      <c r="F19" s="5" t="s">
        <v>747</v>
      </c>
      <c r="G19" s="21" t="s">
        <v>733</v>
      </c>
      <c r="H19" s="5" t="s">
        <v>836</v>
      </c>
      <c r="I19" s="21"/>
      <c r="J19" s="24">
        <f>COUNTIF(Catalogue!$F$5:$F$59,"*A3.3*")</f>
        <v>5</v>
      </c>
      <c r="K19" s="10">
        <v>5.0</v>
      </c>
      <c r="L19" s="21" t="str">
        <f t="shared" si="1"/>
        <v>OK</v>
      </c>
      <c r="M19" s="21">
        <f>COUNTIF('CVE Register'!$W$5:$W$61,"*"&amp;A19&amp;"*")</f>
        <v>0</v>
      </c>
      <c r="N19" s="5" t="s">
        <v>841</v>
      </c>
    </row>
    <row r="20" ht="49.5" customHeight="1">
      <c r="A20" s="24" t="s">
        <v>842</v>
      </c>
      <c r="B20" s="5" t="s">
        <v>843</v>
      </c>
      <c r="C20" s="21">
        <v>3.0</v>
      </c>
      <c r="D20" s="5" t="s">
        <v>844</v>
      </c>
      <c r="E20" s="5" t="s">
        <v>818</v>
      </c>
      <c r="F20" s="5" t="s">
        <v>731</v>
      </c>
      <c r="G20" s="21" t="s">
        <v>733</v>
      </c>
      <c r="H20" s="5" t="s">
        <v>845</v>
      </c>
      <c r="I20" s="21"/>
      <c r="J20" s="24">
        <f>COUNTIF(Catalogue!$F$5:$F$59,"*A3.4*")</f>
        <v>2</v>
      </c>
      <c r="K20" s="10">
        <v>2.0</v>
      </c>
      <c r="L20" s="21" t="str">
        <f t="shared" si="1"/>
        <v>OK</v>
      </c>
      <c r="M20" s="21">
        <f>COUNTIF('CVE Register'!$W$5:$W$61,"*"&amp;A20&amp;"*")</f>
        <v>0</v>
      </c>
      <c r="N20" s="5" t="s">
        <v>847</v>
      </c>
    </row>
    <row r="21" ht="49.5" customHeight="1">
      <c r="A21" s="24" t="s">
        <v>848</v>
      </c>
      <c r="B21" s="5" t="s">
        <v>849</v>
      </c>
      <c r="C21" s="21">
        <v>3.0</v>
      </c>
      <c r="D21" s="5" t="s">
        <v>851</v>
      </c>
      <c r="E21" s="5" t="s">
        <v>818</v>
      </c>
      <c r="F21" s="5" t="s">
        <v>731</v>
      </c>
      <c r="G21" s="21" t="s">
        <v>733</v>
      </c>
      <c r="H21" s="5" t="s">
        <v>845</v>
      </c>
      <c r="I21" s="21"/>
      <c r="J21" s="24">
        <f>COUNTIF(Catalogue!$F$5:$F$59,"*A3.5*")</f>
        <v>3</v>
      </c>
      <c r="K21" s="10">
        <v>3.0</v>
      </c>
      <c r="L21" s="21" t="str">
        <f t="shared" si="1"/>
        <v>OK</v>
      </c>
      <c r="M21" s="21">
        <f>COUNTIF('CVE Register'!$W$5:$W$61,"*"&amp;A21&amp;"*")</f>
        <v>0</v>
      </c>
      <c r="N21" s="5" t="s">
        <v>854</v>
      </c>
    </row>
    <row r="22" ht="49.5" customHeight="1">
      <c r="A22" s="24" t="s">
        <v>855</v>
      </c>
      <c r="B22" s="5" t="s">
        <v>856</v>
      </c>
      <c r="C22" s="21">
        <v>3.0</v>
      </c>
      <c r="D22" s="5" t="s">
        <v>857</v>
      </c>
      <c r="E22" s="5" t="s">
        <v>818</v>
      </c>
      <c r="F22" s="5" t="s">
        <v>731</v>
      </c>
      <c r="G22" s="21" t="s">
        <v>452</v>
      </c>
      <c r="H22" s="5" t="s">
        <v>845</v>
      </c>
      <c r="I22" s="21"/>
      <c r="J22" s="24">
        <f>COUNTIF(Catalogue!$F$5:$F$59,"*A3.6*")</f>
        <v>2</v>
      </c>
      <c r="K22" s="10">
        <v>2.0</v>
      </c>
      <c r="L22" s="21" t="str">
        <f t="shared" si="1"/>
        <v>OK</v>
      </c>
      <c r="M22" s="21">
        <f>COUNTIF('CVE Register'!$W$5:$W$61,"*"&amp;A22&amp;"*")</f>
        <v>0</v>
      </c>
      <c r="N22" s="5" t="s">
        <v>862</v>
      </c>
    </row>
    <row r="23" ht="49.5" customHeight="1">
      <c r="A23" s="24" t="s">
        <v>863</v>
      </c>
      <c r="B23" s="5" t="s">
        <v>864</v>
      </c>
      <c r="C23" s="21">
        <v>3.0</v>
      </c>
      <c r="D23" s="5" t="s">
        <v>865</v>
      </c>
      <c r="E23" s="5" t="s">
        <v>740</v>
      </c>
      <c r="F23" s="5" t="s">
        <v>867</v>
      </c>
      <c r="G23" s="21" t="s">
        <v>868</v>
      </c>
      <c r="H23" s="5" t="s">
        <v>819</v>
      </c>
      <c r="I23" s="21" t="s">
        <v>870</v>
      </c>
      <c r="J23" s="24">
        <f>COUNTIF(Catalogue!$F$5:$F$59,"*A3.7*")</f>
        <v>1</v>
      </c>
      <c r="K23" s="10"/>
      <c r="L23" s="21" t="str">
        <f t="shared" si="1"/>
        <v/>
      </c>
      <c r="M23" s="21">
        <f>COUNTIF('CVE Register'!$W$5:$W$61,"*"&amp;A23&amp;"*")</f>
        <v>0</v>
      </c>
      <c r="N23" s="5" t="s">
        <v>876</v>
      </c>
    </row>
    <row r="24" ht="49.5" customHeight="1">
      <c r="A24" s="24" t="s">
        <v>601</v>
      </c>
      <c r="B24" s="5" t="s">
        <v>877</v>
      </c>
      <c r="C24" s="21">
        <v>4.0</v>
      </c>
      <c r="D24" s="5" t="s">
        <v>878</v>
      </c>
      <c r="E24" s="5" t="s">
        <v>879</v>
      </c>
      <c r="F24" s="5" t="s">
        <v>747</v>
      </c>
      <c r="G24" s="21" t="s">
        <v>452</v>
      </c>
      <c r="H24" s="5" t="s">
        <v>881</v>
      </c>
      <c r="I24" s="21" t="s">
        <v>750</v>
      </c>
      <c r="J24" s="24">
        <f>COUNTIF(Catalogue!$F$5:$F$59,"*A4.1*")</f>
        <v>2</v>
      </c>
      <c r="K24" s="10">
        <v>2.0</v>
      </c>
      <c r="L24" s="21" t="str">
        <f t="shared" si="1"/>
        <v>OK</v>
      </c>
      <c r="M24" s="21">
        <f>COUNTIF('CVE Register'!$W$5:$W$61,"*"&amp;A24&amp;"*")</f>
        <v>8</v>
      </c>
      <c r="N24" s="5" t="s">
        <v>603</v>
      </c>
    </row>
    <row r="25" ht="39.0" customHeight="1">
      <c r="A25" s="24" t="s">
        <v>886</v>
      </c>
      <c r="B25" s="5" t="s">
        <v>887</v>
      </c>
      <c r="C25" s="21">
        <v>4.0</v>
      </c>
      <c r="D25" s="5" t="s">
        <v>888</v>
      </c>
      <c r="E25" s="5" t="s">
        <v>833</v>
      </c>
      <c r="F25" s="5" t="s">
        <v>747</v>
      </c>
      <c r="G25" s="21" t="s">
        <v>452</v>
      </c>
      <c r="H25" s="5" t="s">
        <v>881</v>
      </c>
      <c r="I25" s="21"/>
      <c r="J25" s="24">
        <f>COUNTIF(Catalogue!$F$5:$F$59,"*A4.2*")</f>
        <v>2</v>
      </c>
      <c r="K25" s="10"/>
      <c r="L25" s="21" t="str">
        <f t="shared" si="1"/>
        <v/>
      </c>
      <c r="M25" s="21">
        <f>COUNTIF('CVE Register'!$W$5:$W$61,"*"&amp;A25&amp;"*")</f>
        <v>0</v>
      </c>
      <c r="N25" s="5" t="s">
        <v>893</v>
      </c>
    </row>
    <row r="26" ht="49.5" customHeight="1">
      <c r="A26" s="24" t="s">
        <v>894</v>
      </c>
      <c r="B26" s="5" t="s">
        <v>896</v>
      </c>
      <c r="C26" s="21">
        <v>4.0</v>
      </c>
      <c r="D26" s="5" t="s">
        <v>897</v>
      </c>
      <c r="E26" s="5" t="s">
        <v>833</v>
      </c>
      <c r="F26" s="5" t="s">
        <v>825</v>
      </c>
      <c r="G26" s="21" t="s">
        <v>452</v>
      </c>
      <c r="H26" s="5" t="s">
        <v>881</v>
      </c>
      <c r="I26" s="21"/>
      <c r="J26" s="24">
        <f>COUNTIF(Catalogue!$F$5:$F$59,"*A4.3*")</f>
        <v>3</v>
      </c>
      <c r="K26" s="10">
        <v>3.0</v>
      </c>
      <c r="L26" s="21" t="str">
        <f t="shared" si="1"/>
        <v>OK</v>
      </c>
      <c r="M26" s="21">
        <f>COUNTIF('CVE Register'!$W$5:$W$61,"*"&amp;A26&amp;"*")</f>
        <v>4</v>
      </c>
      <c r="N26" s="5" t="s">
        <v>898</v>
      </c>
    </row>
    <row r="27" ht="49.5" customHeight="1">
      <c r="A27" s="24" t="s">
        <v>899</v>
      </c>
      <c r="B27" s="5" t="s">
        <v>900</v>
      </c>
      <c r="C27" s="21">
        <v>4.0</v>
      </c>
      <c r="D27" s="5" t="s">
        <v>901</v>
      </c>
      <c r="E27" s="5" t="s">
        <v>833</v>
      </c>
      <c r="F27" s="5" t="s">
        <v>747</v>
      </c>
      <c r="G27" s="21" t="s">
        <v>452</v>
      </c>
      <c r="H27" s="5" t="s">
        <v>881</v>
      </c>
      <c r="I27" s="21"/>
      <c r="J27" s="24">
        <f>COUNTIF(Catalogue!$F$5:$F$59,"*A4.4*")</f>
        <v>3</v>
      </c>
      <c r="K27" s="10">
        <v>3.0</v>
      </c>
      <c r="L27" s="21" t="str">
        <f t="shared" si="1"/>
        <v>OK</v>
      </c>
      <c r="M27" s="21">
        <f>COUNTIF('CVE Register'!$W$5:$W$61,"*"&amp;A27&amp;"*")</f>
        <v>0</v>
      </c>
      <c r="N27" s="5" t="s">
        <v>905</v>
      </c>
    </row>
    <row r="28" ht="49.5" customHeight="1">
      <c r="A28" s="24" t="s">
        <v>906</v>
      </c>
      <c r="B28" s="5" t="s">
        <v>907</v>
      </c>
      <c r="C28" s="21">
        <v>4.0</v>
      </c>
      <c r="D28" s="5" t="s">
        <v>908</v>
      </c>
      <c r="E28" s="5" t="s">
        <v>879</v>
      </c>
      <c r="F28" s="5" t="s">
        <v>774</v>
      </c>
      <c r="G28" s="21" t="s">
        <v>909</v>
      </c>
      <c r="H28" s="5" t="s">
        <v>910</v>
      </c>
      <c r="I28" s="21"/>
      <c r="J28" s="24">
        <f>COUNTIF(Catalogue!$F$5:$F$59,"*A4.5*")</f>
        <v>3</v>
      </c>
      <c r="K28" s="10">
        <v>3.0</v>
      </c>
      <c r="L28" s="21" t="str">
        <f t="shared" si="1"/>
        <v>OK</v>
      </c>
      <c r="M28" s="21">
        <f>COUNTIF('CVE Register'!$W$5:$W$61,"*"&amp;A28&amp;"*")</f>
        <v>0</v>
      </c>
      <c r="N28" s="5" t="s">
        <v>913</v>
      </c>
    </row>
    <row r="29" ht="49.5" customHeight="1">
      <c r="A29" s="24" t="s">
        <v>915</v>
      </c>
      <c r="B29" s="5" t="s">
        <v>916</v>
      </c>
      <c r="C29" s="21">
        <v>4.0</v>
      </c>
      <c r="D29" s="5" t="s">
        <v>917</v>
      </c>
      <c r="E29" s="5" t="s">
        <v>740</v>
      </c>
      <c r="F29" s="5" t="s">
        <v>706</v>
      </c>
      <c r="G29" s="21" t="s">
        <v>226</v>
      </c>
      <c r="H29" s="5" t="s">
        <v>919</v>
      </c>
      <c r="I29" s="21" t="s">
        <v>708</v>
      </c>
      <c r="J29" s="24">
        <f>COUNTIF(Catalogue!$F$5:$F$59,"*A4.6*")</f>
        <v>1</v>
      </c>
      <c r="K29" s="10"/>
      <c r="L29" s="21" t="str">
        <f t="shared" si="1"/>
        <v/>
      </c>
      <c r="M29" s="21">
        <f>COUNTIF('CVE Register'!$W$5:$W$61,"*"&amp;A29&amp;"*")</f>
        <v>0</v>
      </c>
      <c r="N29" s="5" t="s">
        <v>921</v>
      </c>
    </row>
    <row r="30" ht="60.75" customHeight="1">
      <c r="A30" s="24" t="s">
        <v>922</v>
      </c>
      <c r="B30" s="5" t="s">
        <v>923</v>
      </c>
      <c r="C30" s="21">
        <v>4.0</v>
      </c>
      <c r="D30" s="5" t="s">
        <v>924</v>
      </c>
      <c r="E30" s="5" t="s">
        <v>925</v>
      </c>
      <c r="F30" s="5" t="s">
        <v>706</v>
      </c>
      <c r="G30" s="21" t="s">
        <v>226</v>
      </c>
      <c r="H30" s="5" t="s">
        <v>881</v>
      </c>
      <c r="I30" s="21" t="s">
        <v>708</v>
      </c>
      <c r="J30" s="24">
        <f>COUNTIF(Catalogue!$F$5:$F$59,"*A4.7*")</f>
        <v>2</v>
      </c>
      <c r="K30" s="10">
        <v>2.0</v>
      </c>
      <c r="L30" s="21" t="str">
        <f t="shared" si="1"/>
        <v>OK</v>
      </c>
      <c r="M30" s="21">
        <f>COUNTIF('CVE Register'!$W$5:$W$61,"*"&amp;A30&amp;"*")</f>
        <v>0</v>
      </c>
      <c r="N30" s="5" t="s">
        <v>933</v>
      </c>
    </row>
    <row r="31" ht="60.75" customHeight="1">
      <c r="A31" s="24" t="s">
        <v>655</v>
      </c>
      <c r="B31" s="5" t="s">
        <v>934</v>
      </c>
      <c r="C31" s="21">
        <v>4.0</v>
      </c>
      <c r="D31" s="5" t="s">
        <v>935</v>
      </c>
      <c r="E31" s="5" t="s">
        <v>740</v>
      </c>
      <c r="F31" s="5" t="s">
        <v>867</v>
      </c>
      <c r="G31" s="21" t="s">
        <v>452</v>
      </c>
      <c r="H31" s="5" t="s">
        <v>881</v>
      </c>
      <c r="I31" s="21" t="s">
        <v>870</v>
      </c>
      <c r="J31" s="24">
        <f>COUNTIF(Catalogue!$F$5:$F$59,"*A4.8*")</f>
        <v>4</v>
      </c>
      <c r="K31" s="10">
        <v>4.0</v>
      </c>
      <c r="L31" s="21" t="str">
        <f t="shared" si="1"/>
        <v>OK</v>
      </c>
      <c r="M31" s="21">
        <f>COUNTIF('CVE Register'!$W$5:$W$61,"*"&amp;A31&amp;"*")</f>
        <v>26</v>
      </c>
      <c r="N31" s="5" t="s">
        <v>656</v>
      </c>
    </row>
    <row r="32" ht="15.75" customHeight="1"/>
    <row r="33" ht="15.0" customHeight="1">
      <c r="A33" s="26" t="s">
        <v>939</v>
      </c>
      <c r="B33" s="16"/>
      <c r="C33" s="17"/>
      <c r="J33" s="24">
        <f>COUNTIF(J5:J31,"&gt;=1")</f>
        <v>27</v>
      </c>
    </row>
    <row r="34" ht="15.75" customHeight="1">
      <c r="A34" s="27" t="s">
        <v>944</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3:C33"/>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9DB"/>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7.0"/>
    <col customWidth="1" min="2" max="2" width="6.0"/>
    <col customWidth="1" min="3" max="3" width="24.0"/>
    <col customWidth="1" min="4" max="4" width="11.0"/>
    <col customWidth="1" min="5" max="5" width="18.0"/>
    <col customWidth="1" min="6" max="6" width="28.0"/>
    <col customWidth="1" min="7" max="7" width="14.0"/>
    <col customWidth="1" min="8" max="8" width="28.0"/>
    <col customWidth="1" min="9" max="9" width="30.0"/>
    <col customWidth="1" min="10" max="10" width="9.0"/>
    <col customWidth="1" min="11" max="11" width="11.0"/>
    <col customWidth="1" min="12" max="12" width="9.0"/>
    <col customWidth="1" min="13" max="13" width="24.0"/>
    <col customWidth="1" min="14" max="14" width="10.0"/>
    <col customWidth="1" min="15" max="15" width="36.0"/>
    <col customWidth="1" min="16" max="16" width="16.0"/>
    <col customWidth="1" min="17" max="17" width="7.0"/>
    <col customWidth="1" min="18" max="19" width="8.0"/>
    <col customWidth="1" min="20" max="20" width="7.0"/>
    <col customWidth="1" min="21" max="21" width="9.0"/>
    <col customWidth="1" min="22" max="22" width="8.0"/>
    <col customWidth="1" min="23" max="24" width="9.0"/>
    <col customWidth="1" min="25" max="25" width="8.0"/>
    <col customWidth="1" min="26" max="26" width="30.0"/>
    <col customWidth="1" min="27" max="27" width="5.0"/>
    <col customWidth="1" min="28" max="28" width="48.0"/>
    <col customWidth="1" min="29" max="29" width="40.0"/>
  </cols>
  <sheetData>
    <row r="1">
      <c r="A1" s="1" t="s">
        <v>1024</v>
      </c>
    </row>
    <row r="2">
      <c r="A2" s="2" t="s">
        <v>1027</v>
      </c>
    </row>
    <row r="4" ht="54.0" customHeight="1">
      <c r="A4" s="4" t="s">
        <v>1028</v>
      </c>
      <c r="B4" s="4" t="s">
        <v>124</v>
      </c>
      <c r="C4" s="4" t="s">
        <v>1029</v>
      </c>
      <c r="D4" s="4" t="s">
        <v>426</v>
      </c>
      <c r="E4" s="4" t="s">
        <v>1030</v>
      </c>
      <c r="F4" s="4" t="s">
        <v>1031</v>
      </c>
      <c r="G4" s="4" t="s">
        <v>1032</v>
      </c>
      <c r="H4" s="4" t="s">
        <v>1033</v>
      </c>
      <c r="I4" s="4" t="s">
        <v>1034</v>
      </c>
      <c r="J4" s="4" t="s">
        <v>1035</v>
      </c>
      <c r="K4" s="4" t="s">
        <v>1036</v>
      </c>
      <c r="L4" s="4" t="s">
        <v>1037</v>
      </c>
      <c r="M4" s="4" t="s">
        <v>1038</v>
      </c>
      <c r="N4" s="4" t="s">
        <v>1039</v>
      </c>
      <c r="O4" s="4" t="s">
        <v>1040</v>
      </c>
      <c r="P4" s="4" t="s">
        <v>1041</v>
      </c>
      <c r="Q4" s="4" t="s">
        <v>1042</v>
      </c>
      <c r="R4" s="4" t="s">
        <v>1044</v>
      </c>
      <c r="S4" s="4" t="s">
        <v>1046</v>
      </c>
      <c r="T4" s="4" t="s">
        <v>1047</v>
      </c>
      <c r="U4" s="4" t="s">
        <v>1048</v>
      </c>
      <c r="V4" s="4" t="s">
        <v>1050</v>
      </c>
      <c r="W4" s="4" t="s">
        <v>1051</v>
      </c>
      <c r="X4" s="4" t="s">
        <v>1052</v>
      </c>
      <c r="Y4" s="4" t="s">
        <v>1054</v>
      </c>
      <c r="Z4" s="4" t="s">
        <v>1055</v>
      </c>
      <c r="AA4" s="4" t="s">
        <v>1056</v>
      </c>
      <c r="AB4" s="4" t="s">
        <v>1057</v>
      </c>
      <c r="AC4" s="4" t="s">
        <v>1058</v>
      </c>
    </row>
    <row r="5" ht="79.5" customHeight="1">
      <c r="A5" s="18" t="s">
        <v>576</v>
      </c>
      <c r="B5" s="19" t="s">
        <v>82</v>
      </c>
      <c r="C5" s="5" t="s">
        <v>1061</v>
      </c>
      <c r="D5" s="21" t="s">
        <v>222</v>
      </c>
      <c r="E5" s="5" t="s">
        <v>1062</v>
      </c>
      <c r="F5" s="5" t="s">
        <v>1063</v>
      </c>
      <c r="G5" s="5" t="s">
        <v>1064</v>
      </c>
      <c r="H5" s="5" t="s">
        <v>1065</v>
      </c>
      <c r="I5" s="5" t="s">
        <v>1066</v>
      </c>
      <c r="J5" s="21" t="s">
        <v>85</v>
      </c>
      <c r="K5" s="21" t="s">
        <v>85</v>
      </c>
      <c r="L5" s="21" t="s">
        <v>1067</v>
      </c>
      <c r="M5" s="5" t="s">
        <v>1068</v>
      </c>
      <c r="N5" s="21" t="s">
        <v>1069</v>
      </c>
      <c r="O5" s="5" t="s">
        <v>1070</v>
      </c>
      <c r="P5" s="5" t="s">
        <v>1071</v>
      </c>
      <c r="Q5" s="10">
        <v>8.0</v>
      </c>
      <c r="R5" s="10">
        <v>8.0</v>
      </c>
      <c r="S5" s="10">
        <v>8.0</v>
      </c>
      <c r="T5" s="10">
        <v>7.0</v>
      </c>
      <c r="U5" s="10">
        <v>9.0</v>
      </c>
      <c r="V5" s="24">
        <f t="shared" ref="V5:V21" si="1">SUM(Q5:U5)</f>
        <v>40</v>
      </c>
      <c r="W5" s="21" t="str">
        <f t="shared" ref="W5:W21" si="2">IF(V5&gt;=35,"High",IF(V5&gt;=20,"Medium","Low"))</f>
        <v>High</v>
      </c>
      <c r="X5" s="10">
        <v>40.0</v>
      </c>
      <c r="Y5" s="21" t="str">
        <f t="shared" ref="Y5:Y21" si="3">IF(V5=X5,"OK","DIFF")</f>
        <v>OK</v>
      </c>
      <c r="Z5" s="5" t="s">
        <v>1076</v>
      </c>
      <c r="AA5" s="21">
        <v>5.0</v>
      </c>
      <c r="AB5" s="5" t="s">
        <v>1077</v>
      </c>
      <c r="AC5" s="5" t="s">
        <v>1079</v>
      </c>
    </row>
    <row r="6" ht="79.5" customHeight="1">
      <c r="A6" s="18" t="s">
        <v>1081</v>
      </c>
      <c r="B6" s="19" t="s">
        <v>82</v>
      </c>
      <c r="C6" s="5" t="s">
        <v>1083</v>
      </c>
      <c r="D6" s="21" t="s">
        <v>1084</v>
      </c>
      <c r="E6" s="5" t="s">
        <v>1085</v>
      </c>
      <c r="F6" s="5" t="s">
        <v>1086</v>
      </c>
      <c r="G6" s="5" t="s">
        <v>1064</v>
      </c>
      <c r="H6" s="5" t="s">
        <v>1087</v>
      </c>
      <c r="I6" s="5" t="s">
        <v>1088</v>
      </c>
      <c r="J6" s="21" t="s">
        <v>85</v>
      </c>
      <c r="K6" s="21" t="s">
        <v>1090</v>
      </c>
      <c r="L6" s="21" t="s">
        <v>1067</v>
      </c>
      <c r="M6" s="5" t="s">
        <v>1068</v>
      </c>
      <c r="N6" s="21" t="s">
        <v>1069</v>
      </c>
      <c r="O6" s="5" t="s">
        <v>1091</v>
      </c>
      <c r="P6" s="5" t="s">
        <v>1092</v>
      </c>
      <c r="Q6" s="10">
        <v>8.0</v>
      </c>
      <c r="R6" s="10">
        <v>6.0</v>
      </c>
      <c r="S6" s="10">
        <v>6.0</v>
      </c>
      <c r="T6" s="10">
        <v>8.0</v>
      </c>
      <c r="U6" s="10">
        <v>6.0</v>
      </c>
      <c r="V6" s="24">
        <f t="shared" si="1"/>
        <v>34</v>
      </c>
      <c r="W6" s="21" t="str">
        <f t="shared" si="2"/>
        <v>Medium</v>
      </c>
      <c r="X6" s="10">
        <v>34.0</v>
      </c>
      <c r="Y6" s="21" t="str">
        <f t="shared" si="3"/>
        <v>OK</v>
      </c>
      <c r="Z6" s="5" t="s">
        <v>251</v>
      </c>
      <c r="AA6" s="21">
        <v>1.0</v>
      </c>
      <c r="AB6" s="5" t="s">
        <v>1094</v>
      </c>
      <c r="AC6" s="5" t="s">
        <v>1095</v>
      </c>
    </row>
    <row r="7" ht="79.5" customHeight="1">
      <c r="A7" s="18" t="s">
        <v>1096</v>
      </c>
      <c r="B7" s="19" t="s">
        <v>82</v>
      </c>
      <c r="C7" s="5" t="s">
        <v>1097</v>
      </c>
      <c r="D7" s="21" t="s">
        <v>1098</v>
      </c>
      <c r="E7" s="5" t="s">
        <v>1099</v>
      </c>
      <c r="F7" s="5" t="s">
        <v>1101</v>
      </c>
      <c r="G7" s="5" t="s">
        <v>1064</v>
      </c>
      <c r="H7" s="5" t="s">
        <v>1102</v>
      </c>
      <c r="I7" s="5" t="s">
        <v>1103</v>
      </c>
      <c r="J7" s="21" t="s">
        <v>1104</v>
      </c>
      <c r="K7" s="21" t="s">
        <v>76</v>
      </c>
      <c r="L7" s="21" t="s">
        <v>1105</v>
      </c>
      <c r="M7" s="5" t="s">
        <v>1106</v>
      </c>
      <c r="N7" s="21" t="s">
        <v>1107</v>
      </c>
      <c r="O7" s="5" t="s">
        <v>1108</v>
      </c>
      <c r="P7" s="5" t="s">
        <v>1109</v>
      </c>
      <c r="Q7" s="10">
        <v>10.0</v>
      </c>
      <c r="R7" s="10">
        <v>6.0</v>
      </c>
      <c r="S7" s="10">
        <v>6.0</v>
      </c>
      <c r="T7" s="10">
        <v>9.0</v>
      </c>
      <c r="U7" s="10">
        <v>5.0</v>
      </c>
      <c r="V7" s="24">
        <f t="shared" si="1"/>
        <v>36</v>
      </c>
      <c r="W7" s="21" t="str">
        <f t="shared" si="2"/>
        <v>High</v>
      </c>
      <c r="X7" s="10">
        <v>36.0</v>
      </c>
      <c r="Y7" s="21" t="str">
        <f t="shared" si="3"/>
        <v>OK</v>
      </c>
      <c r="Z7" s="5" t="s">
        <v>1111</v>
      </c>
      <c r="AA7" s="21">
        <v>3.0</v>
      </c>
      <c r="AB7" s="5" t="s">
        <v>1112</v>
      </c>
      <c r="AC7" s="5" t="s">
        <v>1113</v>
      </c>
    </row>
    <row r="8" ht="79.5" customHeight="1">
      <c r="A8" s="18" t="s">
        <v>1114</v>
      </c>
      <c r="B8" s="19" t="s">
        <v>82</v>
      </c>
      <c r="C8" s="5" t="s">
        <v>1115</v>
      </c>
      <c r="D8" s="21" t="s">
        <v>752</v>
      </c>
      <c r="E8" s="5" t="s">
        <v>1116</v>
      </c>
      <c r="F8" s="5" t="s">
        <v>1117</v>
      </c>
      <c r="G8" s="5" t="s">
        <v>1118</v>
      </c>
      <c r="H8" s="5" t="s">
        <v>1119</v>
      </c>
      <c r="I8" s="5" t="s">
        <v>1120</v>
      </c>
      <c r="J8" s="21" t="s">
        <v>1104</v>
      </c>
      <c r="K8" s="21" t="s">
        <v>1121</v>
      </c>
      <c r="L8" s="21" t="s">
        <v>1122</v>
      </c>
      <c r="M8" s="5" t="s">
        <v>1123</v>
      </c>
      <c r="N8" s="21" t="s">
        <v>1124</v>
      </c>
      <c r="O8" s="5" t="s">
        <v>1125</v>
      </c>
      <c r="P8" s="5" t="s">
        <v>1126</v>
      </c>
      <c r="Q8" s="10">
        <v>9.0</v>
      </c>
      <c r="R8" s="10">
        <v>4.0</v>
      </c>
      <c r="S8" s="10">
        <v>6.0</v>
      </c>
      <c r="T8" s="10">
        <v>9.0</v>
      </c>
      <c r="U8" s="10">
        <v>5.0</v>
      </c>
      <c r="V8" s="24">
        <f t="shared" si="1"/>
        <v>33</v>
      </c>
      <c r="W8" s="21" t="str">
        <f t="shared" si="2"/>
        <v>Medium</v>
      </c>
      <c r="X8" s="10">
        <v>33.0</v>
      </c>
      <c r="Y8" s="21" t="str">
        <f t="shared" si="3"/>
        <v>OK</v>
      </c>
      <c r="Z8" s="5" t="s">
        <v>1128</v>
      </c>
      <c r="AA8" s="21">
        <v>4.0</v>
      </c>
      <c r="AB8" s="5" t="s">
        <v>1129</v>
      </c>
      <c r="AC8" s="5" t="s">
        <v>1130</v>
      </c>
    </row>
    <row r="9" ht="79.5" customHeight="1">
      <c r="A9" s="18" t="s">
        <v>1131</v>
      </c>
      <c r="B9" s="19" t="s">
        <v>82</v>
      </c>
      <c r="C9" s="5" t="s">
        <v>1132</v>
      </c>
      <c r="D9" s="21" t="s">
        <v>715</v>
      </c>
      <c r="E9" s="5" t="s">
        <v>1133</v>
      </c>
      <c r="F9" s="5" t="s">
        <v>1134</v>
      </c>
      <c r="G9" s="5" t="s">
        <v>1064</v>
      </c>
      <c r="H9" s="5" t="s">
        <v>1135</v>
      </c>
      <c r="I9" s="5" t="s">
        <v>1136</v>
      </c>
      <c r="J9" s="21" t="s">
        <v>85</v>
      </c>
      <c r="K9" s="21" t="s">
        <v>76</v>
      </c>
      <c r="L9" s="21" t="s">
        <v>1137</v>
      </c>
      <c r="M9" s="5" t="s">
        <v>1138</v>
      </c>
      <c r="N9" s="21" t="s">
        <v>1139</v>
      </c>
      <c r="O9" s="5" t="s">
        <v>1140</v>
      </c>
      <c r="P9" s="5" t="s">
        <v>1141</v>
      </c>
      <c r="Q9" s="10">
        <v>8.0</v>
      </c>
      <c r="R9" s="10">
        <v>6.0</v>
      </c>
      <c r="S9" s="10">
        <v>6.0</v>
      </c>
      <c r="T9" s="10">
        <v>7.0</v>
      </c>
      <c r="U9" s="10">
        <v>6.0</v>
      </c>
      <c r="V9" s="24">
        <f t="shared" si="1"/>
        <v>33</v>
      </c>
      <c r="W9" s="21" t="str">
        <f t="shared" si="2"/>
        <v>Medium</v>
      </c>
      <c r="X9" s="10">
        <v>33.0</v>
      </c>
      <c r="Y9" s="21" t="str">
        <f t="shared" si="3"/>
        <v>OK</v>
      </c>
      <c r="Z9" s="5" t="s">
        <v>1145</v>
      </c>
      <c r="AA9" s="21">
        <v>2.0</v>
      </c>
      <c r="AB9" s="5" t="s">
        <v>1146</v>
      </c>
      <c r="AC9" s="5" t="s">
        <v>1148</v>
      </c>
    </row>
    <row r="10" ht="79.5" customHeight="1">
      <c r="A10" s="29" t="s">
        <v>1149</v>
      </c>
      <c r="B10" s="30" t="s">
        <v>84</v>
      </c>
      <c r="C10" s="5" t="s">
        <v>1150</v>
      </c>
      <c r="D10" s="21" t="s">
        <v>1151</v>
      </c>
      <c r="E10" s="5" t="s">
        <v>1152</v>
      </c>
      <c r="F10" s="5" t="s">
        <v>1153</v>
      </c>
      <c r="G10" s="5" t="s">
        <v>1064</v>
      </c>
      <c r="H10" s="5" t="s">
        <v>1154</v>
      </c>
      <c r="I10" s="5" t="s">
        <v>1155</v>
      </c>
      <c r="J10" s="21" t="s">
        <v>85</v>
      </c>
      <c r="K10" s="21" t="s">
        <v>1121</v>
      </c>
      <c r="L10" s="21" t="s">
        <v>1156</v>
      </c>
      <c r="M10" s="5" t="s">
        <v>1157</v>
      </c>
      <c r="N10" s="21" t="s">
        <v>1107</v>
      </c>
      <c r="O10" s="5" t="s">
        <v>1158</v>
      </c>
      <c r="P10" s="5" t="s">
        <v>1159</v>
      </c>
      <c r="Q10" s="10">
        <v>9.0</v>
      </c>
      <c r="R10" s="10">
        <v>5.0</v>
      </c>
      <c r="S10" s="10">
        <v>5.0</v>
      </c>
      <c r="T10" s="10">
        <v>8.0</v>
      </c>
      <c r="U10" s="10">
        <v>5.0</v>
      </c>
      <c r="V10" s="24">
        <f t="shared" si="1"/>
        <v>32</v>
      </c>
      <c r="W10" s="21" t="str">
        <f t="shared" si="2"/>
        <v>Medium</v>
      </c>
      <c r="X10" s="10">
        <v>32.0</v>
      </c>
      <c r="Y10" s="21" t="str">
        <f t="shared" si="3"/>
        <v>OK</v>
      </c>
      <c r="Z10" s="5" t="s">
        <v>1160</v>
      </c>
      <c r="AA10" s="21">
        <v>2.0</v>
      </c>
      <c r="AB10" s="5" t="s">
        <v>1161</v>
      </c>
      <c r="AC10" s="5" t="s">
        <v>1162</v>
      </c>
    </row>
    <row r="11" ht="79.5" customHeight="1">
      <c r="A11" s="29" t="s">
        <v>1163</v>
      </c>
      <c r="B11" s="30" t="s">
        <v>84</v>
      </c>
      <c r="C11" s="5" t="s">
        <v>1164</v>
      </c>
      <c r="D11" s="21" t="s">
        <v>778</v>
      </c>
      <c r="E11" s="5" t="s">
        <v>1165</v>
      </c>
      <c r="F11" s="5" t="s">
        <v>1166</v>
      </c>
      <c r="G11" s="5" t="s">
        <v>1064</v>
      </c>
      <c r="H11" s="5" t="s">
        <v>1167</v>
      </c>
      <c r="I11" s="5" t="s">
        <v>1168</v>
      </c>
      <c r="J11" s="21" t="s">
        <v>85</v>
      </c>
      <c r="K11" s="21" t="s">
        <v>76</v>
      </c>
      <c r="L11" s="21" t="s">
        <v>1169</v>
      </c>
      <c r="M11" s="5" t="s">
        <v>1170</v>
      </c>
      <c r="N11" s="21" t="s">
        <v>1107</v>
      </c>
      <c r="O11" s="5" t="s">
        <v>1171</v>
      </c>
      <c r="P11" s="5" t="s">
        <v>1172</v>
      </c>
      <c r="Q11" s="10">
        <v>8.0</v>
      </c>
      <c r="R11" s="10">
        <v>6.0</v>
      </c>
      <c r="S11" s="10">
        <v>6.0</v>
      </c>
      <c r="T11" s="10">
        <v>7.0</v>
      </c>
      <c r="U11" s="10">
        <v>6.0</v>
      </c>
      <c r="V11" s="24">
        <f t="shared" si="1"/>
        <v>33</v>
      </c>
      <c r="W11" s="21" t="str">
        <f t="shared" si="2"/>
        <v>Medium</v>
      </c>
      <c r="X11" s="10">
        <v>33.0</v>
      </c>
      <c r="Y11" s="21" t="str">
        <f t="shared" si="3"/>
        <v>OK</v>
      </c>
      <c r="Z11" s="5" t="s">
        <v>1173</v>
      </c>
      <c r="AA11" s="21">
        <v>2.0</v>
      </c>
      <c r="AB11" s="5" t="s">
        <v>1174</v>
      </c>
      <c r="AC11" s="5" t="s">
        <v>1175</v>
      </c>
    </row>
    <row r="12" ht="79.5" customHeight="1">
      <c r="A12" s="29" t="s">
        <v>1176</v>
      </c>
      <c r="B12" s="30" t="s">
        <v>84</v>
      </c>
      <c r="C12" s="5" t="s">
        <v>1177</v>
      </c>
      <c r="D12" s="21" t="s">
        <v>797</v>
      </c>
      <c r="E12" s="5" t="s">
        <v>1178</v>
      </c>
      <c r="F12" s="5" t="s">
        <v>1179</v>
      </c>
      <c r="G12" s="5" t="s">
        <v>1064</v>
      </c>
      <c r="H12" s="5" t="s">
        <v>1180</v>
      </c>
      <c r="I12" s="5" t="s">
        <v>1181</v>
      </c>
      <c r="J12" s="21" t="s">
        <v>76</v>
      </c>
      <c r="K12" s="21" t="s">
        <v>76</v>
      </c>
      <c r="L12" s="21" t="s">
        <v>1182</v>
      </c>
      <c r="M12" s="5" t="s">
        <v>1183</v>
      </c>
      <c r="N12" s="21" t="s">
        <v>1139</v>
      </c>
      <c r="O12" s="5" t="s">
        <v>1184</v>
      </c>
      <c r="P12" s="5" t="s">
        <v>1185</v>
      </c>
      <c r="Q12" s="10">
        <v>6.0</v>
      </c>
      <c r="R12" s="10">
        <v>6.0</v>
      </c>
      <c r="S12" s="10">
        <v>6.0</v>
      </c>
      <c r="T12" s="10">
        <v>6.0</v>
      </c>
      <c r="U12" s="10">
        <v>6.0</v>
      </c>
      <c r="V12" s="24">
        <f t="shared" si="1"/>
        <v>30</v>
      </c>
      <c r="W12" s="21" t="str">
        <f t="shared" si="2"/>
        <v>Medium</v>
      </c>
      <c r="X12" s="10">
        <v>30.0</v>
      </c>
      <c r="Y12" s="21" t="str">
        <f t="shared" si="3"/>
        <v>OK</v>
      </c>
      <c r="Z12" s="5" t="s">
        <v>455</v>
      </c>
      <c r="AA12" s="21">
        <v>1.0</v>
      </c>
      <c r="AB12" s="5" t="s">
        <v>1186</v>
      </c>
      <c r="AC12" s="5" t="s">
        <v>1188</v>
      </c>
    </row>
    <row r="13" ht="79.5" customHeight="1">
      <c r="A13" s="29" t="s">
        <v>1189</v>
      </c>
      <c r="B13" s="30" t="s">
        <v>84</v>
      </c>
      <c r="C13" s="5" t="s">
        <v>1190</v>
      </c>
      <c r="D13" s="21" t="s">
        <v>769</v>
      </c>
      <c r="E13" s="5" t="s">
        <v>1191</v>
      </c>
      <c r="F13" s="5" t="s">
        <v>1192</v>
      </c>
      <c r="G13" s="5" t="s">
        <v>1064</v>
      </c>
      <c r="H13" s="5" t="s">
        <v>1193</v>
      </c>
      <c r="I13" s="5" t="s">
        <v>1194</v>
      </c>
      <c r="J13" s="21" t="s">
        <v>85</v>
      </c>
      <c r="K13" s="21" t="s">
        <v>76</v>
      </c>
      <c r="L13" s="21" t="s">
        <v>1105</v>
      </c>
      <c r="M13" s="5" t="s">
        <v>1157</v>
      </c>
      <c r="N13" s="21" t="s">
        <v>1107</v>
      </c>
      <c r="O13" s="5" t="s">
        <v>1195</v>
      </c>
      <c r="P13" s="5" t="s">
        <v>1196</v>
      </c>
      <c r="Q13" s="10">
        <v>8.0</v>
      </c>
      <c r="R13" s="10">
        <v>6.0</v>
      </c>
      <c r="S13" s="10">
        <v>6.0</v>
      </c>
      <c r="T13" s="10">
        <v>7.0</v>
      </c>
      <c r="U13" s="10">
        <v>5.0</v>
      </c>
      <c r="V13" s="24">
        <f t="shared" si="1"/>
        <v>32</v>
      </c>
      <c r="W13" s="21" t="str">
        <f t="shared" si="2"/>
        <v>Medium</v>
      </c>
      <c r="X13" s="10">
        <v>32.0</v>
      </c>
      <c r="Y13" s="21" t="str">
        <f t="shared" si="3"/>
        <v>OK</v>
      </c>
      <c r="Z13" s="5" t="s">
        <v>1197</v>
      </c>
      <c r="AA13" s="21">
        <v>2.0</v>
      </c>
      <c r="AB13" s="5" t="s">
        <v>1198</v>
      </c>
      <c r="AC13" s="5" t="s">
        <v>1199</v>
      </c>
    </row>
    <row r="14" ht="79.5" customHeight="1">
      <c r="A14" s="31" t="s">
        <v>1200</v>
      </c>
      <c r="B14" s="32" t="s">
        <v>147</v>
      </c>
      <c r="C14" s="5" t="s">
        <v>1201</v>
      </c>
      <c r="D14" s="21" t="s">
        <v>1202</v>
      </c>
      <c r="E14" s="5" t="s">
        <v>1203</v>
      </c>
      <c r="F14" s="5" t="s">
        <v>1204</v>
      </c>
      <c r="G14" s="5" t="s">
        <v>1205</v>
      </c>
      <c r="H14" s="5" t="s">
        <v>1206</v>
      </c>
      <c r="I14" s="5" t="s">
        <v>1207</v>
      </c>
      <c r="J14" s="21" t="s">
        <v>1104</v>
      </c>
      <c r="K14" s="21" t="s">
        <v>76</v>
      </c>
      <c r="L14" s="21" t="s">
        <v>1208</v>
      </c>
      <c r="M14" s="5" t="s">
        <v>1106</v>
      </c>
      <c r="N14" s="21" t="s">
        <v>1107</v>
      </c>
      <c r="O14" s="5" t="s">
        <v>1209</v>
      </c>
      <c r="P14" s="5" t="s">
        <v>1210</v>
      </c>
      <c r="Q14" s="10">
        <v>10.0</v>
      </c>
      <c r="R14" s="10">
        <v>6.0</v>
      </c>
      <c r="S14" s="10">
        <v>6.0</v>
      </c>
      <c r="T14" s="10">
        <v>9.0</v>
      </c>
      <c r="U14" s="10">
        <v>6.0</v>
      </c>
      <c r="V14" s="24">
        <f t="shared" si="1"/>
        <v>37</v>
      </c>
      <c r="W14" s="21" t="str">
        <f t="shared" si="2"/>
        <v>High</v>
      </c>
      <c r="X14" s="10">
        <v>37.0</v>
      </c>
      <c r="Y14" s="21" t="str">
        <f t="shared" si="3"/>
        <v>OK</v>
      </c>
      <c r="Z14" s="5" t="s">
        <v>1211</v>
      </c>
      <c r="AA14" s="21">
        <v>4.0</v>
      </c>
      <c r="AB14" s="5" t="s">
        <v>1212</v>
      </c>
      <c r="AC14" s="5" t="s">
        <v>1213</v>
      </c>
    </row>
    <row r="15" ht="79.5" customHeight="1">
      <c r="A15" s="31" t="s">
        <v>1214</v>
      </c>
      <c r="B15" s="32" t="s">
        <v>147</v>
      </c>
      <c r="C15" s="5" t="s">
        <v>1215</v>
      </c>
      <c r="D15" s="21" t="s">
        <v>1216</v>
      </c>
      <c r="E15" s="5" t="s">
        <v>1217</v>
      </c>
      <c r="F15" s="5" t="s">
        <v>1218</v>
      </c>
      <c r="G15" s="5" t="s">
        <v>1205</v>
      </c>
      <c r="H15" s="5" t="s">
        <v>1219</v>
      </c>
      <c r="I15" s="5" t="s">
        <v>1220</v>
      </c>
      <c r="J15" s="21" t="s">
        <v>85</v>
      </c>
      <c r="K15" s="21" t="s">
        <v>76</v>
      </c>
      <c r="L15" s="21" t="s">
        <v>1208</v>
      </c>
      <c r="M15" s="5" t="s">
        <v>1157</v>
      </c>
      <c r="N15" s="21" t="s">
        <v>1107</v>
      </c>
      <c r="O15" s="5" t="s">
        <v>1221</v>
      </c>
      <c r="P15" s="5" t="s">
        <v>1222</v>
      </c>
      <c r="Q15" s="10">
        <v>9.0</v>
      </c>
      <c r="R15" s="10">
        <v>6.0</v>
      </c>
      <c r="S15" s="10">
        <v>6.0</v>
      </c>
      <c r="T15" s="10">
        <v>8.0</v>
      </c>
      <c r="U15" s="10">
        <v>6.0</v>
      </c>
      <c r="V15" s="24">
        <f t="shared" si="1"/>
        <v>35</v>
      </c>
      <c r="W15" s="21" t="str">
        <f t="shared" si="2"/>
        <v>High</v>
      </c>
      <c r="X15" s="10">
        <v>35.0</v>
      </c>
      <c r="Y15" s="21" t="str">
        <f t="shared" si="3"/>
        <v>OK</v>
      </c>
      <c r="Z15" s="5" t="s">
        <v>1223</v>
      </c>
      <c r="AA15" s="21">
        <v>3.0</v>
      </c>
      <c r="AB15" s="5" t="s">
        <v>1224</v>
      </c>
      <c r="AC15" s="5" t="s">
        <v>1225</v>
      </c>
    </row>
    <row r="16" ht="79.5" customHeight="1">
      <c r="A16" s="31" t="s">
        <v>1226</v>
      </c>
      <c r="B16" s="32" t="s">
        <v>147</v>
      </c>
      <c r="C16" s="5" t="s">
        <v>1227</v>
      </c>
      <c r="D16" s="21" t="s">
        <v>1228</v>
      </c>
      <c r="E16" s="5" t="s">
        <v>1229</v>
      </c>
      <c r="F16" s="5" t="s">
        <v>1230</v>
      </c>
      <c r="G16" s="5" t="s">
        <v>1205</v>
      </c>
      <c r="H16" s="5" t="s">
        <v>1231</v>
      </c>
      <c r="I16" s="5" t="s">
        <v>1232</v>
      </c>
      <c r="J16" s="21" t="s">
        <v>1104</v>
      </c>
      <c r="K16" s="21" t="s">
        <v>1121</v>
      </c>
      <c r="L16" s="21" t="s">
        <v>1105</v>
      </c>
      <c r="M16" s="5" t="s">
        <v>1170</v>
      </c>
      <c r="N16" s="21" t="s">
        <v>1107</v>
      </c>
      <c r="O16" s="5" t="s">
        <v>1233</v>
      </c>
      <c r="P16" s="5" t="s">
        <v>1234</v>
      </c>
      <c r="Q16" s="10">
        <v>10.0</v>
      </c>
      <c r="R16" s="10">
        <v>5.0</v>
      </c>
      <c r="S16" s="10">
        <v>6.0</v>
      </c>
      <c r="T16" s="10">
        <v>9.0</v>
      </c>
      <c r="U16" s="10">
        <v>5.0</v>
      </c>
      <c r="V16" s="24">
        <f t="shared" si="1"/>
        <v>35</v>
      </c>
      <c r="W16" s="21" t="str">
        <f t="shared" si="2"/>
        <v>High</v>
      </c>
      <c r="X16" s="10">
        <v>35.0</v>
      </c>
      <c r="Y16" s="21" t="str">
        <f t="shared" si="3"/>
        <v>OK</v>
      </c>
      <c r="Z16" s="5" t="s">
        <v>1235</v>
      </c>
      <c r="AA16" s="21">
        <v>4.0</v>
      </c>
      <c r="AB16" s="5" t="s">
        <v>1236</v>
      </c>
      <c r="AC16" s="5" t="s">
        <v>1237</v>
      </c>
    </row>
    <row r="17" ht="79.5" customHeight="1">
      <c r="A17" s="31" t="s">
        <v>1238</v>
      </c>
      <c r="B17" s="32" t="s">
        <v>147</v>
      </c>
      <c r="C17" s="5" t="s">
        <v>1239</v>
      </c>
      <c r="D17" s="21" t="s">
        <v>1202</v>
      </c>
      <c r="E17" s="5" t="s">
        <v>1240</v>
      </c>
      <c r="F17" s="5" t="s">
        <v>1241</v>
      </c>
      <c r="G17" s="5" t="s">
        <v>1064</v>
      </c>
      <c r="H17" s="5" t="s">
        <v>1242</v>
      </c>
      <c r="I17" s="5" t="s">
        <v>1243</v>
      </c>
      <c r="J17" s="21" t="s">
        <v>85</v>
      </c>
      <c r="K17" s="21" t="s">
        <v>85</v>
      </c>
      <c r="L17" s="21" t="s">
        <v>45</v>
      </c>
      <c r="M17" s="5" t="s">
        <v>1157</v>
      </c>
      <c r="N17" s="21" t="s">
        <v>1107</v>
      </c>
      <c r="O17" s="5" t="s">
        <v>1244</v>
      </c>
      <c r="P17" s="5" t="s">
        <v>1245</v>
      </c>
      <c r="Q17" s="10">
        <v>8.0</v>
      </c>
      <c r="R17" s="10">
        <v>7.0</v>
      </c>
      <c r="S17" s="10">
        <v>7.0</v>
      </c>
      <c r="T17" s="10">
        <v>8.0</v>
      </c>
      <c r="U17" s="10">
        <v>7.0</v>
      </c>
      <c r="V17" s="24">
        <f t="shared" si="1"/>
        <v>37</v>
      </c>
      <c r="W17" s="21" t="str">
        <f t="shared" si="2"/>
        <v>High</v>
      </c>
      <c r="X17" s="10">
        <v>37.0</v>
      </c>
      <c r="Y17" s="21" t="str">
        <f t="shared" si="3"/>
        <v>OK</v>
      </c>
      <c r="Z17" s="5" t="s">
        <v>1246</v>
      </c>
      <c r="AA17" s="21">
        <v>2.0</v>
      </c>
      <c r="AB17" s="5" t="s">
        <v>1247</v>
      </c>
      <c r="AC17" s="5" t="s">
        <v>1248</v>
      </c>
    </row>
    <row r="18" ht="79.5" customHeight="1">
      <c r="A18" s="33" t="s">
        <v>1249</v>
      </c>
      <c r="B18" s="34" t="s">
        <v>266</v>
      </c>
      <c r="C18" s="5" t="s">
        <v>1250</v>
      </c>
      <c r="D18" s="21" t="s">
        <v>1251</v>
      </c>
      <c r="E18" s="5" t="s">
        <v>1252</v>
      </c>
      <c r="F18" s="5" t="s">
        <v>1253</v>
      </c>
      <c r="G18" s="5" t="s">
        <v>1205</v>
      </c>
      <c r="H18" s="5" t="s">
        <v>1254</v>
      </c>
      <c r="I18" s="5" t="s">
        <v>1255</v>
      </c>
      <c r="J18" s="21" t="s">
        <v>1104</v>
      </c>
      <c r="K18" s="21" t="s">
        <v>1121</v>
      </c>
      <c r="L18" s="21" t="s">
        <v>1067</v>
      </c>
      <c r="M18" s="5" t="s">
        <v>1256</v>
      </c>
      <c r="N18" s="21" t="s">
        <v>1257</v>
      </c>
      <c r="O18" s="5" t="s">
        <v>1258</v>
      </c>
      <c r="P18" s="5" t="s">
        <v>1259</v>
      </c>
      <c r="Q18" s="10">
        <v>10.0</v>
      </c>
      <c r="R18" s="10">
        <v>5.0</v>
      </c>
      <c r="S18" s="10">
        <v>5.0</v>
      </c>
      <c r="T18" s="10">
        <v>9.0</v>
      </c>
      <c r="U18" s="10">
        <v>5.0</v>
      </c>
      <c r="V18" s="24">
        <f t="shared" si="1"/>
        <v>34</v>
      </c>
      <c r="W18" s="21" t="str">
        <f t="shared" si="2"/>
        <v>Medium</v>
      </c>
      <c r="X18" s="10">
        <v>34.0</v>
      </c>
      <c r="Y18" s="21" t="str">
        <f t="shared" si="3"/>
        <v>OK</v>
      </c>
      <c r="Z18" s="5" t="s">
        <v>1260</v>
      </c>
      <c r="AA18" s="21">
        <v>4.0</v>
      </c>
      <c r="AB18" s="5" t="s">
        <v>1261</v>
      </c>
      <c r="AC18" s="5" t="s">
        <v>1262</v>
      </c>
    </row>
    <row r="19" ht="79.5" customHeight="1">
      <c r="A19" s="33" t="s">
        <v>1263</v>
      </c>
      <c r="B19" s="34" t="s">
        <v>266</v>
      </c>
      <c r="C19" s="5" t="s">
        <v>1264</v>
      </c>
      <c r="D19" s="21" t="s">
        <v>1265</v>
      </c>
      <c r="E19" s="5" t="s">
        <v>1266</v>
      </c>
      <c r="F19" s="5" t="s">
        <v>1267</v>
      </c>
      <c r="G19" s="5" t="s">
        <v>1268</v>
      </c>
      <c r="H19" s="5" t="s">
        <v>1269</v>
      </c>
      <c r="I19" s="5" t="s">
        <v>1270</v>
      </c>
      <c r="J19" s="21" t="s">
        <v>1104</v>
      </c>
      <c r="K19" s="21" t="s">
        <v>69</v>
      </c>
      <c r="L19" s="21" t="s">
        <v>1271</v>
      </c>
      <c r="M19" s="5" t="s">
        <v>1106</v>
      </c>
      <c r="N19" s="21" t="s">
        <v>1107</v>
      </c>
      <c r="O19" s="5" t="s">
        <v>1272</v>
      </c>
      <c r="P19" s="5" t="s">
        <v>1273</v>
      </c>
      <c r="Q19" s="10">
        <v>10.0</v>
      </c>
      <c r="R19" s="10">
        <v>4.0</v>
      </c>
      <c r="S19" s="10">
        <v>5.0</v>
      </c>
      <c r="T19" s="10">
        <v>9.0</v>
      </c>
      <c r="U19" s="10">
        <v>4.0</v>
      </c>
      <c r="V19" s="24">
        <f t="shared" si="1"/>
        <v>32</v>
      </c>
      <c r="W19" s="21" t="str">
        <f t="shared" si="2"/>
        <v>Medium</v>
      </c>
      <c r="X19" s="10">
        <v>32.0</v>
      </c>
      <c r="Y19" s="21" t="str">
        <f t="shared" si="3"/>
        <v>OK</v>
      </c>
      <c r="Z19" s="5" t="s">
        <v>1274</v>
      </c>
      <c r="AA19" s="21">
        <v>4.0</v>
      </c>
      <c r="AB19" s="5" t="s">
        <v>1275</v>
      </c>
      <c r="AC19" s="5" t="s">
        <v>1276</v>
      </c>
    </row>
    <row r="20" ht="79.5" customHeight="1">
      <c r="A20" s="33" t="s">
        <v>1277</v>
      </c>
      <c r="B20" s="34" t="s">
        <v>266</v>
      </c>
      <c r="C20" s="5" t="s">
        <v>1278</v>
      </c>
      <c r="D20" s="21" t="s">
        <v>601</v>
      </c>
      <c r="E20" s="5" t="s">
        <v>1279</v>
      </c>
      <c r="F20" s="5" t="s">
        <v>1280</v>
      </c>
      <c r="G20" s="5" t="s">
        <v>1205</v>
      </c>
      <c r="H20" s="5" t="s">
        <v>1281</v>
      </c>
      <c r="I20" s="5" t="s">
        <v>1282</v>
      </c>
      <c r="J20" s="21" t="s">
        <v>85</v>
      </c>
      <c r="K20" s="21" t="s">
        <v>1121</v>
      </c>
      <c r="L20" s="21" t="s">
        <v>1105</v>
      </c>
      <c r="M20" s="5" t="s">
        <v>1170</v>
      </c>
      <c r="N20" s="21" t="s">
        <v>1107</v>
      </c>
      <c r="O20" s="5" t="s">
        <v>1283</v>
      </c>
      <c r="P20" s="5" t="s">
        <v>1284</v>
      </c>
      <c r="Q20" s="10">
        <v>9.0</v>
      </c>
      <c r="R20" s="10">
        <v>5.0</v>
      </c>
      <c r="S20" s="10">
        <v>5.0</v>
      </c>
      <c r="T20" s="10">
        <v>9.0</v>
      </c>
      <c r="U20" s="10">
        <v>5.0</v>
      </c>
      <c r="V20" s="24">
        <f t="shared" si="1"/>
        <v>33</v>
      </c>
      <c r="W20" s="21" t="str">
        <f t="shared" si="2"/>
        <v>Medium</v>
      </c>
      <c r="X20" s="10">
        <v>33.0</v>
      </c>
      <c r="Y20" s="21" t="str">
        <f t="shared" si="3"/>
        <v>OK</v>
      </c>
      <c r="Z20" s="5" t="s">
        <v>511</v>
      </c>
      <c r="AA20" s="21">
        <v>1.0</v>
      </c>
      <c r="AB20" s="5" t="s">
        <v>1285</v>
      </c>
      <c r="AC20" s="5" t="s">
        <v>1286</v>
      </c>
    </row>
    <row r="21" ht="79.5" customHeight="1">
      <c r="A21" s="33" t="s">
        <v>1287</v>
      </c>
      <c r="B21" s="34" t="s">
        <v>266</v>
      </c>
      <c r="C21" s="5" t="s">
        <v>1288</v>
      </c>
      <c r="D21" s="21" t="s">
        <v>1289</v>
      </c>
      <c r="E21" s="5" t="s">
        <v>1290</v>
      </c>
      <c r="F21" s="5" t="s">
        <v>1291</v>
      </c>
      <c r="G21" s="5" t="s">
        <v>1292</v>
      </c>
      <c r="H21" s="5" t="s">
        <v>1293</v>
      </c>
      <c r="I21" s="5" t="s">
        <v>1294</v>
      </c>
      <c r="J21" s="21" t="s">
        <v>85</v>
      </c>
      <c r="K21" s="21" t="s">
        <v>69</v>
      </c>
      <c r="L21" s="21" t="s">
        <v>1295</v>
      </c>
      <c r="M21" s="5" t="s">
        <v>1296</v>
      </c>
      <c r="N21" s="21" t="s">
        <v>1257</v>
      </c>
      <c r="O21" s="5" t="s">
        <v>1297</v>
      </c>
      <c r="P21" s="5" t="s">
        <v>1298</v>
      </c>
      <c r="Q21" s="10">
        <v>9.0</v>
      </c>
      <c r="R21" s="10">
        <v>4.0</v>
      </c>
      <c r="S21" s="10">
        <v>5.0</v>
      </c>
      <c r="T21" s="10">
        <v>8.0</v>
      </c>
      <c r="U21" s="10">
        <v>5.0</v>
      </c>
      <c r="V21" s="24">
        <f t="shared" si="1"/>
        <v>31</v>
      </c>
      <c r="W21" s="21" t="str">
        <f t="shared" si="2"/>
        <v>Medium</v>
      </c>
      <c r="X21" s="10">
        <v>31.0</v>
      </c>
      <c r="Y21" s="21" t="str">
        <f t="shared" si="3"/>
        <v>OK</v>
      </c>
      <c r="Z21" s="5" t="s">
        <v>1299</v>
      </c>
      <c r="AA21" s="21">
        <v>5.0</v>
      </c>
      <c r="AB21" s="5" t="s">
        <v>1300</v>
      </c>
      <c r="AC21" s="5" t="s">
        <v>1301</v>
      </c>
    </row>
    <row r="22" ht="15.75" customHeight="1"/>
    <row r="23" ht="21.75" customHeight="1">
      <c r="A23" s="26" t="s">
        <v>1302</v>
      </c>
      <c r="B23" s="16"/>
      <c r="C23" s="17"/>
      <c r="V23" s="24" t="s">
        <v>1303</v>
      </c>
      <c r="W23" s="24" t="s">
        <v>1304</v>
      </c>
      <c r="X23" s="24" t="s">
        <v>575</v>
      </c>
    </row>
    <row r="24" ht="15.0" customHeight="1">
      <c r="A24" s="15" t="s">
        <v>1305</v>
      </c>
      <c r="B24" s="16"/>
      <c r="C24" s="17"/>
      <c r="V24" s="35">
        <f>AVERAGE(V5:V21)</f>
        <v>33.94117647</v>
      </c>
      <c r="W24" s="36">
        <v>33.9</v>
      </c>
      <c r="X24" s="21" t="str">
        <f t="shared" ref="X24:X36" si="4">IF(ROUND(V24,1)=ROUND(W24,1),"OK","DIFF")</f>
        <v>OK</v>
      </c>
    </row>
    <row r="25" ht="15.0" customHeight="1">
      <c r="A25" s="15" t="s">
        <v>1306</v>
      </c>
      <c r="B25" s="16"/>
      <c r="C25" s="17"/>
      <c r="V25" s="37">
        <f>MEDIAN(V5:V21)</f>
        <v>33</v>
      </c>
      <c r="W25" s="38">
        <v>33.0</v>
      </c>
      <c r="X25" s="21" t="str">
        <f t="shared" si="4"/>
        <v>OK</v>
      </c>
    </row>
    <row r="26" ht="15.0" customHeight="1">
      <c r="A26" s="15" t="s">
        <v>1307</v>
      </c>
      <c r="B26" s="16"/>
      <c r="C26" s="17"/>
      <c r="V26" s="37">
        <f>COUNTIF(W5:W21,"High")</f>
        <v>6</v>
      </c>
      <c r="W26" s="38">
        <v>6.0</v>
      </c>
      <c r="X26" s="21" t="str">
        <f t="shared" si="4"/>
        <v>OK</v>
      </c>
    </row>
    <row r="27" ht="15.0" customHeight="1">
      <c r="A27" s="15" t="s">
        <v>1308</v>
      </c>
      <c r="B27" s="16"/>
      <c r="C27" s="17"/>
      <c r="V27" s="37">
        <f>COUNTIF(W5:W21,"Medium")</f>
        <v>11</v>
      </c>
      <c r="W27" s="38">
        <v>11.0</v>
      </c>
      <c r="X27" s="21" t="str">
        <f t="shared" si="4"/>
        <v>OK</v>
      </c>
    </row>
    <row r="28" ht="15.0" customHeight="1">
      <c r="A28" s="15" t="s">
        <v>1310</v>
      </c>
      <c r="B28" s="16"/>
      <c r="C28" s="17"/>
      <c r="V28" s="37">
        <f>COUNTIF(W5:W21,"Low")</f>
        <v>0</v>
      </c>
      <c r="W28" s="38">
        <v>0.0</v>
      </c>
      <c r="X28" s="21" t="str">
        <f t="shared" si="4"/>
        <v>OK</v>
      </c>
    </row>
    <row r="29" ht="15.0" customHeight="1">
      <c r="A29" s="15" t="s">
        <v>1311</v>
      </c>
      <c r="B29" s="16"/>
      <c r="C29" s="17"/>
      <c r="V29" s="35">
        <f>AVERAGEIF(B5:B21,"L1",V5:V21)</f>
        <v>35.2</v>
      </c>
      <c r="W29" s="36">
        <v>35.2</v>
      </c>
      <c r="X29" s="21" t="str">
        <f t="shared" si="4"/>
        <v>OK</v>
      </c>
    </row>
    <row r="30" ht="15.0" customHeight="1">
      <c r="A30" s="15" t="s">
        <v>1314</v>
      </c>
      <c r="B30" s="16"/>
      <c r="C30" s="17"/>
      <c r="V30" s="35">
        <f>AVERAGEIF(B5:B21,"L2",V5:V21)</f>
        <v>31.75</v>
      </c>
      <c r="W30" s="36">
        <v>31.8</v>
      </c>
      <c r="X30" s="21" t="str">
        <f t="shared" si="4"/>
        <v>OK</v>
      </c>
    </row>
    <row r="31" ht="15.0" customHeight="1">
      <c r="A31" s="15" t="s">
        <v>1317</v>
      </c>
      <c r="B31" s="16"/>
      <c r="C31" s="17"/>
      <c r="V31" s="35">
        <f>AVERAGEIF(B5:B21,"L3",V5:V21)</f>
        <v>36</v>
      </c>
      <c r="W31" s="36">
        <v>36.0</v>
      </c>
      <c r="X31" s="21" t="str">
        <f t="shared" si="4"/>
        <v>OK</v>
      </c>
    </row>
    <row r="32" ht="15.0" customHeight="1">
      <c r="A32" s="15" t="s">
        <v>1318</v>
      </c>
      <c r="B32" s="16"/>
      <c r="C32" s="17"/>
      <c r="V32" s="35">
        <f>AVERAGEIF(B5:B21,"L4",V5:V21)</f>
        <v>32.5</v>
      </c>
      <c r="W32" s="36">
        <v>32.5</v>
      </c>
      <c r="X32" s="21" t="str">
        <f t="shared" si="4"/>
        <v>OK</v>
      </c>
    </row>
    <row r="33" ht="15.0" customHeight="1">
      <c r="A33" s="15" t="s">
        <v>1319</v>
      </c>
      <c r="B33" s="16"/>
      <c r="C33" s="17"/>
      <c r="V33" s="37">
        <f>COUNTIF(L5:L21,"*T*")</f>
        <v>13</v>
      </c>
      <c r="W33" s="38">
        <v>13.0</v>
      </c>
      <c r="X33" s="21" t="str">
        <f t="shared" si="4"/>
        <v>OK</v>
      </c>
    </row>
    <row r="34" ht="15.0" customHeight="1">
      <c r="A34" s="15" t="s">
        <v>1320</v>
      </c>
      <c r="B34" s="16"/>
      <c r="C34" s="17"/>
      <c r="V34" s="37">
        <f>COUNTIF(L5:L21,"*D*")</f>
        <v>9</v>
      </c>
      <c r="W34" s="38">
        <v>9.0</v>
      </c>
      <c r="X34" s="21" t="str">
        <f t="shared" si="4"/>
        <v>OK</v>
      </c>
    </row>
    <row r="35" ht="15.0" customHeight="1">
      <c r="A35" s="15" t="s">
        <v>1321</v>
      </c>
      <c r="B35" s="16"/>
      <c r="C35" s="17"/>
      <c r="V35" s="35">
        <f>AVERAGEIF(B5:B21,"L4",Q5:Q21)</f>
        <v>9.5</v>
      </c>
      <c r="W35" s="36">
        <v>9.5</v>
      </c>
      <c r="X35" s="21" t="str">
        <f t="shared" si="4"/>
        <v>OK</v>
      </c>
    </row>
    <row r="36" ht="15.0" customHeight="1">
      <c r="A36" s="15" t="s">
        <v>1322</v>
      </c>
      <c r="B36" s="16"/>
      <c r="C36" s="17"/>
      <c r="V36" s="37">
        <f>COUNTIF(Catalogue!$AO$5:$AO$59,"SC*")</f>
        <v>44</v>
      </c>
      <c r="W36" s="38">
        <v>44.0</v>
      </c>
      <c r="X36" s="21" t="str">
        <f t="shared" si="4"/>
        <v>OK</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AC$21"/>
  <mergeCells count="14">
    <mergeCell ref="A30:C30"/>
    <mergeCell ref="A31:C31"/>
    <mergeCell ref="A32:C32"/>
    <mergeCell ref="A33:C33"/>
    <mergeCell ref="A34:C34"/>
    <mergeCell ref="A35:C35"/>
    <mergeCell ref="A36:C36"/>
    <mergeCell ref="A23:C23"/>
    <mergeCell ref="A24:C24"/>
    <mergeCell ref="A25:C25"/>
    <mergeCell ref="A26:C26"/>
    <mergeCell ref="A27:C27"/>
    <mergeCell ref="A28:C28"/>
    <mergeCell ref="A29:C29"/>
  </mergeCells>
  <conditionalFormatting sqref="W5:W21">
    <cfRule type="cellIs" dxfId="4" priority="1" operator="equal">
      <formula>"High"</formula>
    </cfRule>
  </conditionalFormatting>
  <conditionalFormatting sqref="W5:W21">
    <cfRule type="cellIs" dxfId="5" priority="2" operator="equal">
      <formula>"Medium"</formula>
    </cfRule>
  </conditionalFormatting>
  <conditionalFormatting sqref="W5:W21">
    <cfRule type="cellIs" dxfId="6" priority="3" operator="equal">
      <formula>"Low"</formula>
    </cfRule>
  </conditionalFormatting>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62.0"/>
    <col customWidth="1" min="3" max="3" width="12.0"/>
    <col customWidth="1" min="4" max="4" width="10.0"/>
    <col customWidth="1" min="5" max="5" width="8.0"/>
    <col customWidth="1" min="6" max="6" width="30.0"/>
  </cols>
  <sheetData>
    <row r="1">
      <c r="A1" s="1" t="s">
        <v>1329</v>
      </c>
    </row>
    <row r="2">
      <c r="A2" s="2" t="s">
        <v>1330</v>
      </c>
    </row>
    <row r="4" ht="42.0" customHeight="1">
      <c r="A4" s="4" t="s">
        <v>1331</v>
      </c>
      <c r="B4" s="4" t="s">
        <v>1332</v>
      </c>
      <c r="C4" s="4" t="s">
        <v>1303</v>
      </c>
      <c r="D4" s="4" t="s">
        <v>1304</v>
      </c>
      <c r="E4" s="4" t="s">
        <v>575</v>
      </c>
      <c r="F4" s="4" t="s">
        <v>1333</v>
      </c>
    </row>
    <row r="5">
      <c r="A5" s="3" t="s">
        <v>1334</v>
      </c>
      <c r="B5" s="5" t="s">
        <v>1335</v>
      </c>
      <c r="C5" s="37">
        <f>COUNTA(Catalogue!$A$5:$A$59)</f>
        <v>55</v>
      </c>
      <c r="D5" s="38">
        <v>55.0</v>
      </c>
      <c r="E5" s="21" t="str">
        <f t="shared" ref="E5:E116" si="1">IF(ROUND(C5,2)=ROUND(D5,2),"OK","DIFF")</f>
        <v>OK</v>
      </c>
      <c r="F5" s="5" t="s">
        <v>1337</v>
      </c>
    </row>
    <row r="6">
      <c r="A6" s="3" t="s">
        <v>1334</v>
      </c>
      <c r="B6" s="5" t="s">
        <v>1338</v>
      </c>
      <c r="C6" s="37">
        <f>COUNTIF(Catalogue!$B$5:$B$59,"L1")</f>
        <v>16</v>
      </c>
      <c r="D6" s="38">
        <v>16.0</v>
      </c>
      <c r="E6" s="21" t="str">
        <f t="shared" si="1"/>
        <v>OK</v>
      </c>
      <c r="F6" s="5" t="s">
        <v>1337</v>
      </c>
    </row>
    <row r="7">
      <c r="A7" s="3" t="s">
        <v>1334</v>
      </c>
      <c r="B7" s="5" t="s">
        <v>1339</v>
      </c>
      <c r="C7" s="37">
        <f>COUNTIF(Catalogue!$B$5:$B$59,"L2")</f>
        <v>12</v>
      </c>
      <c r="D7" s="38">
        <v>12.0</v>
      </c>
      <c r="E7" s="21" t="str">
        <f t="shared" si="1"/>
        <v>OK</v>
      </c>
      <c r="F7" s="5" t="s">
        <v>1337</v>
      </c>
    </row>
    <row r="8">
      <c r="A8" s="3" t="s">
        <v>1334</v>
      </c>
      <c r="B8" s="5" t="s">
        <v>1340</v>
      </c>
      <c r="C8" s="37">
        <f>COUNTIF(Catalogue!$B$5:$B$59,"L3")</f>
        <v>12</v>
      </c>
      <c r="D8" s="38">
        <v>12.0</v>
      </c>
      <c r="E8" s="21" t="str">
        <f t="shared" si="1"/>
        <v>OK</v>
      </c>
      <c r="F8" s="5" t="s">
        <v>1337</v>
      </c>
    </row>
    <row r="9">
      <c r="A9" s="3" t="s">
        <v>1334</v>
      </c>
      <c r="B9" s="5" t="s">
        <v>1341</v>
      </c>
      <c r="C9" s="37">
        <f>COUNTIF(Catalogue!$B$5:$B$59,"L4")</f>
        <v>15</v>
      </c>
      <c r="D9" s="38">
        <v>15.0</v>
      </c>
      <c r="E9" s="21" t="str">
        <f t="shared" si="1"/>
        <v>OK</v>
      </c>
      <c r="F9" s="5" t="s">
        <v>1337</v>
      </c>
    </row>
    <row r="10">
      <c r="A10" s="3" t="s">
        <v>1342</v>
      </c>
      <c r="B10" s="5" t="s">
        <v>1343</v>
      </c>
      <c r="C10" s="37">
        <f>COUNTIF(Catalogue!$H$5:$H$59,"T")</f>
        <v>19</v>
      </c>
      <c r="D10" s="38">
        <v>19.0</v>
      </c>
      <c r="E10" s="21" t="str">
        <f t="shared" si="1"/>
        <v>OK</v>
      </c>
      <c r="F10" s="5" t="s">
        <v>1337</v>
      </c>
    </row>
    <row r="11">
      <c r="A11" s="3" t="s">
        <v>1342</v>
      </c>
      <c r="B11" s="5" t="s">
        <v>1344</v>
      </c>
      <c r="C11" s="37">
        <f>COUNTIF(Catalogue!$H$5:$H$59,"D")</f>
        <v>12</v>
      </c>
      <c r="D11" s="38">
        <v>12.0</v>
      </c>
      <c r="E11" s="21" t="str">
        <f t="shared" si="1"/>
        <v>OK</v>
      </c>
      <c r="F11" s="5" t="s">
        <v>1337</v>
      </c>
    </row>
    <row r="12">
      <c r="A12" s="3" t="s">
        <v>1342</v>
      </c>
      <c r="B12" s="5" t="s">
        <v>1345</v>
      </c>
      <c r="C12" s="37">
        <f>COUNTIF(Catalogue!$H$5:$H$59,"E")</f>
        <v>8</v>
      </c>
      <c r="D12" s="38">
        <v>8.0</v>
      </c>
      <c r="E12" s="21" t="str">
        <f t="shared" si="1"/>
        <v>OK</v>
      </c>
      <c r="F12" s="5" t="s">
        <v>1337</v>
      </c>
    </row>
    <row r="13">
      <c r="A13" s="3" t="s">
        <v>1342</v>
      </c>
      <c r="B13" s="5" t="s">
        <v>1346</v>
      </c>
      <c r="C13" s="37">
        <f>COUNTIF(Catalogue!$H$5:$H$59,"S")</f>
        <v>7</v>
      </c>
      <c r="D13" s="38">
        <v>7.0</v>
      </c>
      <c r="E13" s="21" t="str">
        <f t="shared" si="1"/>
        <v>OK</v>
      </c>
      <c r="F13" s="5" t="s">
        <v>1337</v>
      </c>
    </row>
    <row r="14">
      <c r="A14" s="3" t="s">
        <v>1342</v>
      </c>
      <c r="B14" s="5" t="s">
        <v>1347</v>
      </c>
      <c r="C14" s="37">
        <f>COUNTIF(Catalogue!$H$5:$H$59,"I")</f>
        <v>5</v>
      </c>
      <c r="D14" s="38">
        <v>5.0</v>
      </c>
      <c r="E14" s="21" t="str">
        <f t="shared" si="1"/>
        <v>OK</v>
      </c>
      <c r="F14" s="5" t="s">
        <v>1337</v>
      </c>
    </row>
    <row r="15">
      <c r="A15" s="3" t="s">
        <v>1342</v>
      </c>
      <c r="B15" s="5" t="s">
        <v>1348</v>
      </c>
      <c r="C15" s="37">
        <f>COUNTIF(Catalogue!$H$5:$H$59,"R")</f>
        <v>2</v>
      </c>
      <c r="D15" s="38">
        <v>2.0</v>
      </c>
      <c r="E15" s="21" t="str">
        <f t="shared" si="1"/>
        <v>OK</v>
      </c>
      <c r="F15" s="5" t="s">
        <v>1337</v>
      </c>
    </row>
    <row r="16">
      <c r="A16" s="3" t="s">
        <v>1342</v>
      </c>
      <c r="B16" s="5" t="s">
        <v>1349</v>
      </c>
      <c r="C16" s="37">
        <f>COUNTIF(Catalogue!$H$5:$H$59,"tau")</f>
        <v>2</v>
      </c>
      <c r="D16" s="38">
        <v>2.0</v>
      </c>
      <c r="E16" s="21" t="str">
        <f t="shared" si="1"/>
        <v>OK</v>
      </c>
      <c r="F16" s="5" t="s">
        <v>1337</v>
      </c>
    </row>
    <row r="17">
      <c r="A17" s="3" t="s">
        <v>1342</v>
      </c>
      <c r="B17" s="5" t="s">
        <v>1350</v>
      </c>
      <c r="C17" s="37">
        <f>COUNTIF(Catalogue!$K$5:$K$59,"Target")+COUNTIF(Catalogue!$K$5:$K$59,"Derived")</f>
        <v>16</v>
      </c>
      <c r="D17" s="38">
        <v>16.0</v>
      </c>
      <c r="E17" s="21" t="str">
        <f t="shared" si="1"/>
        <v>OK</v>
      </c>
      <c r="F17" s="5" t="s">
        <v>1351</v>
      </c>
    </row>
    <row r="18">
      <c r="A18" s="3" t="s">
        <v>1342</v>
      </c>
      <c r="B18" s="5" t="s">
        <v>1352</v>
      </c>
      <c r="C18" s="37">
        <f>COUNTIF(Catalogue!$K$5:$K$59,"Target")</f>
        <v>9</v>
      </c>
      <c r="D18" s="38">
        <v>9.0</v>
      </c>
      <c r="E18" s="21" t="str">
        <f t="shared" si="1"/>
        <v>OK</v>
      </c>
      <c r="F18" s="5" t="s">
        <v>1337</v>
      </c>
    </row>
    <row r="19">
      <c r="A19" s="3" t="s">
        <v>1342</v>
      </c>
      <c r="B19" s="5" t="s">
        <v>1353</v>
      </c>
      <c r="C19" s="37">
        <f>COUNTIF(Catalogue!$K$5:$K$59,"Derived")</f>
        <v>7</v>
      </c>
      <c r="D19" s="38">
        <v>7.0</v>
      </c>
      <c r="E19" s="21" t="str">
        <f t="shared" si="1"/>
        <v>OK</v>
      </c>
      <c r="F19" s="5" t="s">
        <v>1337</v>
      </c>
    </row>
    <row r="20">
      <c r="A20" s="3" t="s">
        <v>146</v>
      </c>
      <c r="B20" s="5" t="s">
        <v>1354</v>
      </c>
      <c r="C20" s="37">
        <f>COUNTIF(Catalogue!$T$5:$T$59,"E3")</f>
        <v>10</v>
      </c>
      <c r="D20" s="38">
        <v>10.0</v>
      </c>
      <c r="E20" s="21" t="str">
        <f t="shared" si="1"/>
        <v>OK</v>
      </c>
      <c r="F20" s="5" t="s">
        <v>1337</v>
      </c>
    </row>
    <row r="21" ht="15.75" customHeight="1">
      <c r="A21" s="3" t="s">
        <v>146</v>
      </c>
      <c r="B21" s="5" t="s">
        <v>1355</v>
      </c>
      <c r="C21" s="37">
        <f>COUNTIF(Catalogue!$T$5:$T$59,"E2")</f>
        <v>21</v>
      </c>
      <c r="D21" s="38">
        <v>21.0</v>
      </c>
      <c r="E21" s="21" t="str">
        <f t="shared" si="1"/>
        <v>OK</v>
      </c>
      <c r="F21" s="5" t="s">
        <v>1337</v>
      </c>
    </row>
    <row r="22" ht="15.75" customHeight="1">
      <c r="A22" s="3" t="s">
        <v>146</v>
      </c>
      <c r="B22" s="5" t="s">
        <v>1356</v>
      </c>
      <c r="C22" s="37">
        <f>COUNTIF(Catalogue!$T$5:$T$59,"E1")</f>
        <v>6</v>
      </c>
      <c r="D22" s="38">
        <v>6.0</v>
      </c>
      <c r="E22" s="21" t="str">
        <f t="shared" si="1"/>
        <v>OK</v>
      </c>
      <c r="F22" s="5" t="s">
        <v>1337</v>
      </c>
    </row>
    <row r="23" ht="15.75" customHeight="1">
      <c r="A23" s="3" t="s">
        <v>146</v>
      </c>
      <c r="B23" s="5" t="s">
        <v>1357</v>
      </c>
      <c r="C23" s="37">
        <f>COUNTIF(Catalogue!$T$5:$T$59,"E0")</f>
        <v>2</v>
      </c>
      <c r="D23" s="38">
        <v>2.0</v>
      </c>
      <c r="E23" s="21" t="str">
        <f t="shared" si="1"/>
        <v>OK</v>
      </c>
      <c r="F23" s="5" t="s">
        <v>1337</v>
      </c>
    </row>
    <row r="24" ht="15.75" customHeight="1">
      <c r="A24" s="3" t="s">
        <v>146</v>
      </c>
      <c r="B24" s="5" t="s">
        <v>1358</v>
      </c>
      <c r="C24" s="37">
        <f>COUNTIF(Catalogue!$T$5:$T$59,"P")</f>
        <v>16</v>
      </c>
      <c r="D24" s="38">
        <v>16.0</v>
      </c>
      <c r="E24" s="21" t="str">
        <f t="shared" si="1"/>
        <v>OK</v>
      </c>
      <c r="F24" s="5" t="s">
        <v>1337</v>
      </c>
    </row>
    <row r="25" ht="15.75" customHeight="1">
      <c r="A25" s="3" t="s">
        <v>146</v>
      </c>
      <c r="B25" s="5" t="s">
        <v>1359</v>
      </c>
      <c r="C25" s="37">
        <f>COUNTIFS(Catalogue!$T$5:$T$59,"P",Catalogue!$B$5:$B$59,"L1")</f>
        <v>0</v>
      </c>
      <c r="D25" s="38">
        <v>0.0</v>
      </c>
      <c r="E25" s="21" t="str">
        <f t="shared" si="1"/>
        <v>OK</v>
      </c>
      <c r="F25" s="5" t="s">
        <v>1337</v>
      </c>
    </row>
    <row r="26" ht="15.75" customHeight="1">
      <c r="A26" s="3" t="s">
        <v>146</v>
      </c>
      <c r="B26" s="5" t="s">
        <v>1360</v>
      </c>
      <c r="C26" s="37">
        <f>COUNTIFS(Catalogue!$T$5:$T$59,"P",Catalogue!$B$5:$B$59,"L2")</f>
        <v>1</v>
      </c>
      <c r="D26" s="38">
        <v>1.0</v>
      </c>
      <c r="E26" s="21" t="str">
        <f t="shared" si="1"/>
        <v>OK</v>
      </c>
      <c r="F26" s="5" t="s">
        <v>1337</v>
      </c>
    </row>
    <row r="27" ht="15.75" customHeight="1">
      <c r="A27" s="3" t="s">
        <v>146</v>
      </c>
      <c r="B27" s="5" t="s">
        <v>1361</v>
      </c>
      <c r="C27" s="37">
        <f>COUNTIFS(Catalogue!$T$5:$T$59,"P",Catalogue!$B$5:$B$59,"L3")</f>
        <v>7</v>
      </c>
      <c r="D27" s="38">
        <v>7.0</v>
      </c>
      <c r="E27" s="21" t="str">
        <f t="shared" si="1"/>
        <v>OK</v>
      </c>
      <c r="F27" s="5" t="s">
        <v>1337</v>
      </c>
    </row>
    <row r="28" ht="15.75" customHeight="1">
      <c r="A28" s="3" t="s">
        <v>146</v>
      </c>
      <c r="B28" s="5" t="s">
        <v>1365</v>
      </c>
      <c r="C28" s="37">
        <f>COUNTIFS(Catalogue!$T$5:$T$59,"P",Catalogue!$B$5:$B$59,"L4")</f>
        <v>8</v>
      </c>
      <c r="D28" s="38">
        <v>8.0</v>
      </c>
      <c r="E28" s="21" t="str">
        <f t="shared" si="1"/>
        <v>OK</v>
      </c>
      <c r="F28" s="5" t="s">
        <v>1337</v>
      </c>
    </row>
    <row r="29" ht="15.75" customHeight="1">
      <c r="A29" s="3" t="s">
        <v>146</v>
      </c>
      <c r="B29" s="5" t="s">
        <v>1366</v>
      </c>
      <c r="C29" s="37">
        <f>COUNTIFS(Catalogue!$B$5:$B$59,"L1",Catalogue!$T$5:$T$59,"E2")+COUNTIFS(Catalogue!$B$5:$B$59,"L1",Catalogue!$T$5:$T$59,"E3")</f>
        <v>13</v>
      </c>
      <c r="D29" s="38">
        <v>13.0</v>
      </c>
      <c r="E29" s="21" t="str">
        <f t="shared" si="1"/>
        <v>OK</v>
      </c>
      <c r="F29" s="5" t="s">
        <v>1337</v>
      </c>
    </row>
    <row r="30" ht="15.75" customHeight="1">
      <c r="A30" s="3" t="s">
        <v>1377</v>
      </c>
      <c r="B30" s="5" t="s">
        <v>1379</v>
      </c>
      <c r="C30" s="37">
        <f>COUNTIF(Catalogue!$N$5:$N$59,"Y")</f>
        <v>34</v>
      </c>
      <c r="D30" s="38">
        <v>34.0</v>
      </c>
      <c r="E30" s="21" t="str">
        <f t="shared" si="1"/>
        <v>OK</v>
      </c>
      <c r="F30" s="5" t="s">
        <v>1391</v>
      </c>
    </row>
    <row r="31" ht="15.75" customHeight="1">
      <c r="A31" s="3" t="s">
        <v>1377</v>
      </c>
      <c r="B31" s="5" t="s">
        <v>1394</v>
      </c>
      <c r="C31" s="37">
        <f>COUNTIF(Catalogue!$O$5:$O$59,"Y")</f>
        <v>22</v>
      </c>
      <c r="D31" s="38">
        <v>22.0</v>
      </c>
      <c r="E31" s="21" t="str">
        <f t="shared" si="1"/>
        <v>OK</v>
      </c>
      <c r="F31" s="5" t="s">
        <v>1391</v>
      </c>
    </row>
    <row r="32" ht="15.75" customHeight="1">
      <c r="A32" s="3" t="s">
        <v>1377</v>
      </c>
      <c r="B32" s="5" t="s">
        <v>1406</v>
      </c>
      <c r="C32" s="37">
        <f>COUNTIF(Catalogue!$P$5:$P$59,"Y")</f>
        <v>21</v>
      </c>
      <c r="D32" s="38">
        <v>21.0</v>
      </c>
      <c r="E32" s="21" t="str">
        <f t="shared" si="1"/>
        <v>OK</v>
      </c>
      <c r="F32" s="5" t="s">
        <v>1391</v>
      </c>
    </row>
    <row r="33" ht="15.75" customHeight="1">
      <c r="A33" s="3" t="s">
        <v>1377</v>
      </c>
      <c r="B33" s="5" t="s">
        <v>1417</v>
      </c>
      <c r="C33" s="37">
        <f>COUNTIF(Catalogue!$Q$5:$Q$59,"Y")</f>
        <v>6</v>
      </c>
      <c r="D33" s="38">
        <v>6.0</v>
      </c>
      <c r="E33" s="21" t="str">
        <f t="shared" si="1"/>
        <v>OK</v>
      </c>
      <c r="F33" s="5" t="s">
        <v>1391</v>
      </c>
    </row>
    <row r="34" ht="15.75" customHeight="1">
      <c r="A34" s="3" t="s">
        <v>1377</v>
      </c>
      <c r="B34" s="5" t="s">
        <v>1428</v>
      </c>
      <c r="C34" s="37">
        <f>SUM(Catalogue!$R$5:$R$59)</f>
        <v>83</v>
      </c>
      <c r="D34" s="38">
        <v>83.0</v>
      </c>
      <c r="E34" s="21" t="str">
        <f t="shared" si="1"/>
        <v>OK</v>
      </c>
      <c r="F34" s="5" t="s">
        <v>1433</v>
      </c>
    </row>
    <row r="35" ht="15.75" customHeight="1">
      <c r="A35" s="3" t="s">
        <v>1377</v>
      </c>
      <c r="B35" s="5" t="s">
        <v>1434</v>
      </c>
      <c r="C35" s="37">
        <f>COUNTIF(Catalogue!$R$5:$R$59,"&gt;1")</f>
        <v>24</v>
      </c>
      <c r="D35" s="38">
        <v>24.0</v>
      </c>
      <c r="E35" s="21" t="str">
        <f t="shared" si="1"/>
        <v>OK</v>
      </c>
      <c r="F35" s="5" t="s">
        <v>1433</v>
      </c>
    </row>
    <row r="36" ht="15.75" customHeight="1">
      <c r="A36" s="3" t="s">
        <v>1377</v>
      </c>
      <c r="B36" s="5" t="s">
        <v>1439</v>
      </c>
      <c r="C36" s="37">
        <f>COUNTIF(Catalogue!$R$5:$R$59,0)</f>
        <v>0</v>
      </c>
      <c r="D36" s="38">
        <v>0.0</v>
      </c>
      <c r="E36" s="21" t="str">
        <f t="shared" si="1"/>
        <v>OK</v>
      </c>
      <c r="F36" s="5" t="s">
        <v>1442</v>
      </c>
    </row>
    <row r="37" ht="15.75" customHeight="1">
      <c r="A37" s="3" t="s">
        <v>1377</v>
      </c>
      <c r="B37" s="5" t="s">
        <v>1443</v>
      </c>
      <c r="C37" s="37">
        <f>COUNTIFS(Catalogue!$N$5:$N$59,"Y",Catalogue!$B$5:$B$59,"L1")</f>
        <v>8</v>
      </c>
      <c r="D37" s="38">
        <v>8.0</v>
      </c>
      <c r="E37" s="21" t="str">
        <f t="shared" si="1"/>
        <v>OK</v>
      </c>
      <c r="F37" s="5" t="s">
        <v>1444</v>
      </c>
    </row>
    <row r="38" ht="15.75" customHeight="1">
      <c r="A38" s="3" t="s">
        <v>1377</v>
      </c>
      <c r="B38" s="5" t="s">
        <v>1445</v>
      </c>
      <c r="C38" s="37">
        <f>COUNTIFS(Catalogue!$N$5:$N$59,"Y",Catalogue!$B$5:$B$59,"L2")</f>
        <v>9</v>
      </c>
      <c r="D38" s="38">
        <v>9.0</v>
      </c>
      <c r="E38" s="21" t="str">
        <f t="shared" si="1"/>
        <v>OK</v>
      </c>
      <c r="F38" s="5" t="s">
        <v>1444</v>
      </c>
    </row>
    <row r="39" ht="15.75" customHeight="1">
      <c r="A39" s="3" t="s">
        <v>1377</v>
      </c>
      <c r="B39" s="5" t="s">
        <v>1446</v>
      </c>
      <c r="C39" s="37">
        <f>COUNTIFS(Catalogue!$N$5:$N$59,"Y",Catalogue!$B$5:$B$59,"L3")</f>
        <v>8</v>
      </c>
      <c r="D39" s="38">
        <v>8.0</v>
      </c>
      <c r="E39" s="21" t="str">
        <f t="shared" si="1"/>
        <v>OK</v>
      </c>
      <c r="F39" s="5" t="s">
        <v>1444</v>
      </c>
    </row>
    <row r="40" ht="15.75" customHeight="1">
      <c r="A40" s="3" t="s">
        <v>1377</v>
      </c>
      <c r="B40" s="5" t="s">
        <v>1447</v>
      </c>
      <c r="C40" s="37">
        <f>COUNTIFS(Catalogue!$N$5:$N$59,"Y",Catalogue!$B$5:$B$59,"L4")</f>
        <v>9</v>
      </c>
      <c r="D40" s="38">
        <v>9.0</v>
      </c>
      <c r="E40" s="21" t="str">
        <f t="shared" si="1"/>
        <v>OK</v>
      </c>
      <c r="F40" s="5" t="s">
        <v>1444</v>
      </c>
    </row>
    <row r="41" ht="15.75" customHeight="1">
      <c r="A41" s="3" t="s">
        <v>1377</v>
      </c>
      <c r="B41" s="5" t="s">
        <v>1448</v>
      </c>
      <c r="C41" s="37">
        <f>COUNTIFS(Catalogue!$O$5:$O$59,"Y",Catalogue!$B$5:$B$59,"L1")</f>
        <v>9</v>
      </c>
      <c r="D41" s="38">
        <v>9.0</v>
      </c>
      <c r="E41" s="21" t="str">
        <f t="shared" si="1"/>
        <v>OK</v>
      </c>
      <c r="F41" s="5" t="s">
        <v>1444</v>
      </c>
    </row>
    <row r="42" ht="15.75" customHeight="1">
      <c r="A42" s="3" t="s">
        <v>1377</v>
      </c>
      <c r="B42" s="5" t="s">
        <v>1449</v>
      </c>
      <c r="C42" s="37">
        <f>COUNTIFS(Catalogue!$O$5:$O$59,"Y",Catalogue!$B$5:$B$59,"L2")</f>
        <v>5</v>
      </c>
      <c r="D42" s="38">
        <v>5.0</v>
      </c>
      <c r="E42" s="21" t="str">
        <f t="shared" si="1"/>
        <v>OK</v>
      </c>
      <c r="F42" s="5" t="s">
        <v>1444</v>
      </c>
    </row>
    <row r="43" ht="15.75" customHeight="1">
      <c r="A43" s="3" t="s">
        <v>1377</v>
      </c>
      <c r="B43" s="5" t="s">
        <v>1450</v>
      </c>
      <c r="C43" s="37">
        <f>COUNTIFS(Catalogue!$O$5:$O$59,"Y",Catalogue!$B$5:$B$59,"L3")</f>
        <v>2</v>
      </c>
      <c r="D43" s="38">
        <v>2.0</v>
      </c>
      <c r="E43" s="21" t="str">
        <f t="shared" si="1"/>
        <v>OK</v>
      </c>
      <c r="F43" s="5" t="s">
        <v>1444</v>
      </c>
    </row>
    <row r="44" ht="15.75" customHeight="1">
      <c r="A44" s="3" t="s">
        <v>1377</v>
      </c>
      <c r="B44" s="5" t="s">
        <v>1451</v>
      </c>
      <c r="C44" s="37">
        <f>COUNTIFS(Catalogue!$O$5:$O$59,"Y",Catalogue!$B$5:$B$59,"L4")</f>
        <v>6</v>
      </c>
      <c r="D44" s="38">
        <v>6.0</v>
      </c>
      <c r="E44" s="21" t="str">
        <f t="shared" si="1"/>
        <v>OK</v>
      </c>
      <c r="F44" s="5" t="s">
        <v>1444</v>
      </c>
    </row>
    <row r="45" ht="15.75" customHeight="1">
      <c r="A45" s="3" t="s">
        <v>1377</v>
      </c>
      <c r="B45" s="5" t="s">
        <v>1452</v>
      </c>
      <c r="C45" s="37">
        <f>COUNTIFS(Catalogue!$P$5:$P$59,"Y",Catalogue!$B$5:$B$59,"L1")</f>
        <v>4</v>
      </c>
      <c r="D45" s="38">
        <v>4.0</v>
      </c>
      <c r="E45" s="21" t="str">
        <f t="shared" si="1"/>
        <v>OK</v>
      </c>
      <c r="F45" s="5" t="s">
        <v>1444</v>
      </c>
    </row>
    <row r="46" ht="15.75" customHeight="1">
      <c r="A46" s="3" t="s">
        <v>1377</v>
      </c>
      <c r="B46" s="5" t="s">
        <v>1454</v>
      </c>
      <c r="C46" s="37">
        <f>COUNTIFS(Catalogue!$P$5:$P$59,"Y",Catalogue!$B$5:$B$59,"L2")</f>
        <v>2</v>
      </c>
      <c r="D46" s="38">
        <v>2.0</v>
      </c>
      <c r="E46" s="21" t="str">
        <f t="shared" si="1"/>
        <v>OK</v>
      </c>
      <c r="F46" s="5" t="s">
        <v>1444</v>
      </c>
    </row>
    <row r="47" ht="15.75" customHeight="1">
      <c r="A47" s="3" t="s">
        <v>1377</v>
      </c>
      <c r="B47" s="5" t="s">
        <v>1455</v>
      </c>
      <c r="C47" s="37">
        <f>COUNTIFS(Catalogue!$P$5:$P$59,"Y",Catalogue!$B$5:$B$59,"L3")</f>
        <v>8</v>
      </c>
      <c r="D47" s="38">
        <v>8.0</v>
      </c>
      <c r="E47" s="21" t="str">
        <f t="shared" si="1"/>
        <v>OK</v>
      </c>
      <c r="F47" s="5" t="s">
        <v>1444</v>
      </c>
    </row>
    <row r="48" ht="15.75" customHeight="1">
      <c r="A48" s="3" t="s">
        <v>1377</v>
      </c>
      <c r="B48" s="5" t="s">
        <v>1456</v>
      </c>
      <c r="C48" s="37">
        <f>COUNTIFS(Catalogue!$P$5:$P$59,"Y",Catalogue!$B$5:$B$59,"L4")</f>
        <v>7</v>
      </c>
      <c r="D48" s="38">
        <v>7.0</v>
      </c>
      <c r="E48" s="21" t="str">
        <f t="shared" si="1"/>
        <v>OK</v>
      </c>
      <c r="F48" s="5" t="s">
        <v>1444</v>
      </c>
    </row>
    <row r="49" ht="15.75" customHeight="1">
      <c r="A49" s="3" t="s">
        <v>1377</v>
      </c>
      <c r="B49" s="5" t="s">
        <v>1457</v>
      </c>
      <c r="C49" s="37">
        <f>COUNTIFS(Catalogue!$Q$5:$Q$59,"Y",Catalogue!$B$5:$B$59,"L1")</f>
        <v>0</v>
      </c>
      <c r="D49" s="38">
        <v>0.0</v>
      </c>
      <c r="E49" s="21" t="str">
        <f t="shared" si="1"/>
        <v>OK</v>
      </c>
      <c r="F49" s="5" t="s">
        <v>1444</v>
      </c>
    </row>
    <row r="50" ht="15.75" customHeight="1">
      <c r="A50" s="3" t="s">
        <v>1377</v>
      </c>
      <c r="B50" s="5" t="s">
        <v>1458</v>
      </c>
      <c r="C50" s="37">
        <f>COUNTIFS(Catalogue!$Q$5:$Q$59,"Y",Catalogue!$B$5:$B$59,"L2")</f>
        <v>2</v>
      </c>
      <c r="D50" s="38">
        <v>2.0</v>
      </c>
      <c r="E50" s="21" t="str">
        <f t="shared" si="1"/>
        <v>OK</v>
      </c>
      <c r="F50" s="5" t="s">
        <v>1444</v>
      </c>
    </row>
    <row r="51" ht="15.75" customHeight="1">
      <c r="A51" s="3" t="s">
        <v>1377</v>
      </c>
      <c r="B51" s="5" t="s">
        <v>1459</v>
      </c>
      <c r="C51" s="37">
        <f>COUNTIFS(Catalogue!$Q$5:$Q$59,"Y",Catalogue!$B$5:$B$59,"L3")</f>
        <v>1</v>
      </c>
      <c r="D51" s="38">
        <v>1.0</v>
      </c>
      <c r="E51" s="21" t="str">
        <f t="shared" si="1"/>
        <v>OK</v>
      </c>
      <c r="F51" s="5" t="s">
        <v>1444</v>
      </c>
    </row>
    <row r="52" ht="15.75" customHeight="1">
      <c r="A52" s="3" t="s">
        <v>1377</v>
      </c>
      <c r="B52" s="5" t="s">
        <v>1460</v>
      </c>
      <c r="C52" s="37">
        <f>COUNTIFS(Catalogue!$Q$5:$Q$59,"Y",Catalogue!$B$5:$B$59,"L4")</f>
        <v>3</v>
      </c>
      <c r="D52" s="38">
        <v>3.0</v>
      </c>
      <c r="E52" s="21" t="str">
        <f t="shared" si="1"/>
        <v>OK</v>
      </c>
      <c r="F52" s="5" t="s">
        <v>1444</v>
      </c>
    </row>
    <row r="53" ht="15.75" customHeight="1">
      <c r="A53" s="3" t="s">
        <v>1377</v>
      </c>
      <c r="B53" s="5" t="s">
        <v>1461</v>
      </c>
      <c r="C53" s="37">
        <f>COUNTIFS(Catalogue!$N$5:$N$59,"Y",Catalogue!$T$5:$T$59,"P")</f>
        <v>10</v>
      </c>
      <c r="D53" s="38">
        <v>10.0</v>
      </c>
      <c r="E53" s="21" t="str">
        <f t="shared" si="1"/>
        <v>OK</v>
      </c>
      <c r="F53" s="5" t="s">
        <v>1444</v>
      </c>
    </row>
    <row r="54" ht="15.75" customHeight="1">
      <c r="A54" s="3" t="s">
        <v>1377</v>
      </c>
      <c r="B54" s="5" t="s">
        <v>1462</v>
      </c>
      <c r="C54" s="37">
        <f>COUNTIFS(Catalogue!$O$5:$O$59,"Y",Catalogue!$T$5:$T$59,"P")</f>
        <v>3</v>
      </c>
      <c r="D54" s="38">
        <v>3.0</v>
      </c>
      <c r="E54" s="21" t="str">
        <f t="shared" si="1"/>
        <v>OK</v>
      </c>
      <c r="F54" s="5" t="s">
        <v>1444</v>
      </c>
    </row>
    <row r="55" ht="15.75" customHeight="1">
      <c r="A55" s="3" t="s">
        <v>1377</v>
      </c>
      <c r="B55" s="5" t="s">
        <v>1470</v>
      </c>
      <c r="C55" s="37">
        <f>COUNTIFS(Catalogue!$P$5:$P$59,"Y",Catalogue!$T$5:$T$59,"P")</f>
        <v>8</v>
      </c>
      <c r="D55" s="38">
        <v>8.0</v>
      </c>
      <c r="E55" s="21" t="str">
        <f t="shared" si="1"/>
        <v>OK</v>
      </c>
      <c r="F55" s="5" t="s">
        <v>1444</v>
      </c>
    </row>
    <row r="56" ht="15.75" customHeight="1">
      <c r="A56" s="3" t="s">
        <v>1377</v>
      </c>
      <c r="B56" s="5" t="s">
        <v>1472</v>
      </c>
      <c r="C56" s="37">
        <f>COUNTIFS(Catalogue!$Q$5:$Q$59,"Y",Catalogue!$T$5:$T$59,"P")</f>
        <v>2</v>
      </c>
      <c r="D56" s="38">
        <v>2.0</v>
      </c>
      <c r="E56" s="21" t="str">
        <f t="shared" si="1"/>
        <v>OK</v>
      </c>
      <c r="F56" s="5" t="s">
        <v>1444</v>
      </c>
    </row>
    <row r="57" ht="15.75" customHeight="1">
      <c r="A57" s="3" t="s">
        <v>1377</v>
      </c>
      <c r="B57" s="5" t="s">
        <v>1490</v>
      </c>
      <c r="C57" s="37">
        <f>COUNTIFS(Catalogue!$N$5:$N$59,"Y",Catalogue!$Z$5:$Z$59,"—")</f>
        <v>2</v>
      </c>
      <c r="D57" s="38">
        <v>2.0</v>
      </c>
      <c r="E57" s="21" t="str">
        <f t="shared" si="1"/>
        <v>OK</v>
      </c>
      <c r="F57" s="5" t="s">
        <v>1444</v>
      </c>
    </row>
    <row r="58" ht="15.75" customHeight="1">
      <c r="A58" s="3" t="s">
        <v>1377</v>
      </c>
      <c r="B58" s="5" t="s">
        <v>1513</v>
      </c>
      <c r="C58" s="37">
        <f>COUNTIFS(Catalogue!$O$5:$O$59,"Y",Catalogue!$Z$5:$Z$59,"—")</f>
        <v>1</v>
      </c>
      <c r="D58" s="38">
        <v>1.0</v>
      </c>
      <c r="E58" s="21" t="str">
        <f t="shared" si="1"/>
        <v>OK</v>
      </c>
      <c r="F58" s="5" t="s">
        <v>1444</v>
      </c>
    </row>
    <row r="59" ht="15.75" customHeight="1">
      <c r="A59" s="3" t="s">
        <v>1377</v>
      </c>
      <c r="B59" s="5" t="s">
        <v>1529</v>
      </c>
      <c r="C59" s="37">
        <f>COUNTIFS(Catalogue!$P$5:$P$59,"Y",Catalogue!$Z$5:$Z$59,"—")</f>
        <v>3</v>
      </c>
      <c r="D59" s="38">
        <v>3.0</v>
      </c>
      <c r="E59" s="21" t="str">
        <f t="shared" si="1"/>
        <v>OK</v>
      </c>
      <c r="F59" s="5" t="s">
        <v>1444</v>
      </c>
    </row>
    <row r="60" ht="15.75" customHeight="1">
      <c r="A60" s="3" t="s">
        <v>1377</v>
      </c>
      <c r="B60" s="5" t="s">
        <v>1541</v>
      </c>
      <c r="C60" s="37">
        <f>COUNTIFS(Catalogue!$Q$5:$Q$59,"Y",Catalogue!$Z$5:$Z$59,"—")</f>
        <v>2</v>
      </c>
      <c r="D60" s="38">
        <v>2.0</v>
      </c>
      <c r="E60" s="21" t="str">
        <f t="shared" si="1"/>
        <v>OK</v>
      </c>
      <c r="F60" s="5" t="s">
        <v>1444</v>
      </c>
    </row>
    <row r="61" ht="15.75" customHeight="1">
      <c r="A61" s="3" t="s">
        <v>1377</v>
      </c>
      <c r="B61" s="5" t="s">
        <v>1562</v>
      </c>
      <c r="C61" s="35">
        <f>ROUND(AVERAGEIFS(Catalogue!$AA$5:$AA$59,Catalogue!$N$5:$N$59,"Y"),1)</f>
        <v>2.4</v>
      </c>
      <c r="D61" s="36">
        <v>2.4</v>
      </c>
      <c r="E61" s="21" t="str">
        <f t="shared" si="1"/>
        <v>OK</v>
      </c>
      <c r="F61" s="5" t="s">
        <v>1444</v>
      </c>
    </row>
    <row r="62" ht="15.75" customHeight="1">
      <c r="A62" s="3" t="s">
        <v>1377</v>
      </c>
      <c r="B62" s="5" t="s">
        <v>1595</v>
      </c>
      <c r="C62" s="35">
        <f>ROUND(AVERAGEIFS(Catalogue!$AA$5:$AA$59,Catalogue!$O$5:$O$59,"Y"),1)</f>
        <v>2.5</v>
      </c>
      <c r="D62" s="36">
        <v>2.5</v>
      </c>
      <c r="E62" s="21" t="str">
        <f t="shared" si="1"/>
        <v>OK</v>
      </c>
      <c r="F62" s="5" t="s">
        <v>1444</v>
      </c>
    </row>
    <row r="63" ht="15.75" customHeight="1">
      <c r="A63" s="3" t="s">
        <v>1377</v>
      </c>
      <c r="B63" s="5" t="s">
        <v>1612</v>
      </c>
      <c r="C63" s="35">
        <f>ROUND(AVERAGEIFS(Catalogue!$AA$5:$AA$59,Catalogue!$P$5:$P$59,"Y"),1)</f>
        <v>1.8</v>
      </c>
      <c r="D63" s="36">
        <v>1.8</v>
      </c>
      <c r="E63" s="21" t="str">
        <f t="shared" si="1"/>
        <v>OK</v>
      </c>
      <c r="F63" s="5" t="s">
        <v>1444</v>
      </c>
    </row>
    <row r="64" ht="15.75" customHeight="1">
      <c r="A64" s="3" t="s">
        <v>1377</v>
      </c>
      <c r="B64" s="5" t="s">
        <v>1639</v>
      </c>
      <c r="C64" s="13">
        <f>COUNTIFS(Catalogue!$Q$5:$Q$59,"Y",Catalogue!$T$5:$T$59,"E3")/COUNTIF(Catalogue!$Q$5:$Q$59,"Y")</f>
        <v>0.5</v>
      </c>
      <c r="D64" s="39">
        <v>0.5</v>
      </c>
      <c r="E64" s="21" t="str">
        <f t="shared" si="1"/>
        <v>OK</v>
      </c>
      <c r="F64" s="5" t="s">
        <v>1699</v>
      </c>
    </row>
    <row r="65" ht="15.75" customHeight="1">
      <c r="A65" s="3" t="s">
        <v>1702</v>
      </c>
      <c r="B65" s="5" t="s">
        <v>1704</v>
      </c>
      <c r="C65" s="35">
        <f>ROUND(AVERAGE(Catalogue!$AA$5:$AA$59),1)</f>
        <v>2.4</v>
      </c>
      <c r="D65" s="36">
        <v>2.4</v>
      </c>
      <c r="E65" s="21" t="str">
        <f t="shared" si="1"/>
        <v>OK</v>
      </c>
      <c r="F65" s="5" t="s">
        <v>1722</v>
      </c>
    </row>
    <row r="66" ht="15.75" customHeight="1">
      <c r="A66" s="3" t="s">
        <v>1702</v>
      </c>
      <c r="B66" s="5" t="s">
        <v>1726</v>
      </c>
      <c r="C66" s="37">
        <f>COUNTIF(Catalogue!$Z$5:$Z$59,0)</f>
        <v>10</v>
      </c>
      <c r="D66" s="38">
        <v>10.0</v>
      </c>
      <c r="E66" s="21" t="str">
        <f t="shared" si="1"/>
        <v>OK</v>
      </c>
      <c r="F66" s="5" t="s">
        <v>1722</v>
      </c>
    </row>
    <row r="67" ht="15.75" customHeight="1">
      <c r="A67" s="3" t="s">
        <v>1702</v>
      </c>
      <c r="B67" s="5" t="s">
        <v>1731</v>
      </c>
      <c r="C67" s="37">
        <f>COUNTIF(Catalogue!$Z$5:$Z$59,1)</f>
        <v>15</v>
      </c>
      <c r="D67" s="38">
        <v>15.0</v>
      </c>
      <c r="E67" s="21" t="str">
        <f t="shared" si="1"/>
        <v>OK</v>
      </c>
      <c r="F67" s="5" t="s">
        <v>1722</v>
      </c>
    </row>
    <row r="68" ht="15.75" customHeight="1">
      <c r="A68" s="3" t="s">
        <v>1702</v>
      </c>
      <c r="B68" s="5" t="s">
        <v>1738</v>
      </c>
      <c r="C68" s="37">
        <f>COUNTIF(Catalogue!$Z$5:$Z$59,2)</f>
        <v>16</v>
      </c>
      <c r="D68" s="38">
        <v>16.0</v>
      </c>
      <c r="E68" s="21" t="str">
        <f t="shared" si="1"/>
        <v>OK</v>
      </c>
      <c r="F68" s="5" t="s">
        <v>1722</v>
      </c>
    </row>
    <row r="69" ht="15.75" customHeight="1">
      <c r="A69" s="3" t="s">
        <v>1702</v>
      </c>
      <c r="B69" s="5" t="s">
        <v>1742</v>
      </c>
      <c r="C69" s="37">
        <f>COUNTIF(Catalogue!$Z$5:$Z$59,3)</f>
        <v>4</v>
      </c>
      <c r="D69" s="38">
        <v>4.0</v>
      </c>
      <c r="E69" s="21" t="str">
        <f t="shared" si="1"/>
        <v>OK</v>
      </c>
      <c r="F69" s="5" t="s">
        <v>1722</v>
      </c>
    </row>
    <row r="70" ht="15.75" customHeight="1">
      <c r="A70" s="3" t="s">
        <v>1702</v>
      </c>
      <c r="B70" s="5" t="s">
        <v>1743</v>
      </c>
      <c r="C70" s="37">
        <f>COUNTIF(Catalogue!$Z$5:$Z$59,5)</f>
        <v>4</v>
      </c>
      <c r="D70" s="38">
        <v>4.0</v>
      </c>
      <c r="E70" s="21" t="str">
        <f t="shared" si="1"/>
        <v>OK</v>
      </c>
      <c r="F70" s="5" t="s">
        <v>1722</v>
      </c>
    </row>
    <row r="71" ht="15.75" customHeight="1">
      <c r="A71" s="3" t="s">
        <v>1702</v>
      </c>
      <c r="B71" s="5" t="s">
        <v>1744</v>
      </c>
      <c r="C71" s="37">
        <f>COUNTIF(Catalogue!$Z$5:$Z$59,"—")</f>
        <v>6</v>
      </c>
      <c r="D71" s="38">
        <v>6.0</v>
      </c>
      <c r="E71" s="21" t="str">
        <f t="shared" si="1"/>
        <v>OK</v>
      </c>
      <c r="F71" s="5" t="s">
        <v>1722</v>
      </c>
    </row>
    <row r="72" ht="15.75" customHeight="1">
      <c r="A72" s="3" t="s">
        <v>1702</v>
      </c>
      <c r="B72" s="5" t="s">
        <v>1745</v>
      </c>
      <c r="C72" s="37">
        <f>COUNTIF(Catalogue!$Z$5:$Z$59,"&gt;=2")</f>
        <v>24</v>
      </c>
      <c r="D72" s="38">
        <v>24.0</v>
      </c>
      <c r="E72" s="21" t="str">
        <f t="shared" si="1"/>
        <v>OK</v>
      </c>
      <c r="F72" s="5" t="s">
        <v>1722</v>
      </c>
    </row>
    <row r="73" ht="15.75" customHeight="1">
      <c r="A73" s="3" t="s">
        <v>1702</v>
      </c>
      <c r="B73" s="5" t="s">
        <v>1746</v>
      </c>
      <c r="C73" s="37">
        <f>COUNTIFS(Catalogue!$B$5:$B$59,"L1",Catalogue!$AA$5:$AA$59,3)</f>
        <v>16</v>
      </c>
      <c r="D73" s="38">
        <v>16.0</v>
      </c>
      <c r="E73" s="21" t="str">
        <f t="shared" si="1"/>
        <v>OK</v>
      </c>
      <c r="F73" s="5" t="s">
        <v>1722</v>
      </c>
    </row>
    <row r="74" ht="15.75" customHeight="1">
      <c r="A74" s="3" t="s">
        <v>1702</v>
      </c>
      <c r="B74" s="5" t="s">
        <v>1747</v>
      </c>
      <c r="C74" s="37">
        <f>COUNTIFS(Catalogue!$B$5:$B$59,"L3",Catalogue!$AA$5:$AA$59,1)</f>
        <v>12</v>
      </c>
      <c r="D74" s="38">
        <v>12.0</v>
      </c>
      <c r="E74" s="21" t="str">
        <f t="shared" si="1"/>
        <v>OK</v>
      </c>
      <c r="F74" s="5" t="s">
        <v>1722</v>
      </c>
    </row>
    <row r="75" ht="15.75" customHeight="1">
      <c r="A75" s="3" t="s">
        <v>1702</v>
      </c>
      <c r="B75" s="5" t="s">
        <v>1748</v>
      </c>
      <c r="C75" s="37">
        <f>COUNTIFS(Catalogue!$B$5:$B$59,"L2",Catalogue!$AA$5:$AA$59,4)</f>
        <v>4</v>
      </c>
      <c r="D75" s="38">
        <v>4.0</v>
      </c>
      <c r="E75" s="21" t="str">
        <f t="shared" si="1"/>
        <v>OK</v>
      </c>
      <c r="F75" s="5" t="s">
        <v>1722</v>
      </c>
    </row>
    <row r="76" ht="15.75" customHeight="1">
      <c r="A76" s="3" t="s">
        <v>1702</v>
      </c>
      <c r="B76" s="5" t="s">
        <v>1753</v>
      </c>
      <c r="C76" s="37">
        <f>COUNTIFS(Catalogue!$B$5:$B$59,"L4",Catalogue!$AA$5:$AA$59,6)</f>
        <v>4</v>
      </c>
      <c r="D76" s="38">
        <v>4.0</v>
      </c>
      <c r="E76" s="21" t="str">
        <f t="shared" si="1"/>
        <v>OK</v>
      </c>
      <c r="F76" s="5" t="s">
        <v>1722</v>
      </c>
    </row>
    <row r="77" ht="15.75" customHeight="1">
      <c r="A77" s="3" t="s">
        <v>1721</v>
      </c>
      <c r="B77" s="5" t="s">
        <v>1756</v>
      </c>
      <c r="C77" s="37">
        <f>COUNTIF(Catalogue!$G$5:$G$59,"*TB0*")</f>
        <v>16</v>
      </c>
      <c r="D77" s="38">
        <v>16.0</v>
      </c>
      <c r="E77" s="21" t="str">
        <f t="shared" si="1"/>
        <v>OK</v>
      </c>
      <c r="F77" s="5" t="s">
        <v>1761</v>
      </c>
    </row>
    <row r="78" ht="15.75" customHeight="1">
      <c r="A78" s="3" t="s">
        <v>1721</v>
      </c>
      <c r="B78" s="5" t="s">
        <v>1762</v>
      </c>
      <c r="C78" s="37">
        <f>COUNTIF(Catalogue!$G$5:$G$59,"*TB1*")</f>
        <v>10</v>
      </c>
      <c r="D78" s="38">
        <v>10.0</v>
      </c>
      <c r="E78" s="21" t="str">
        <f t="shared" si="1"/>
        <v>OK</v>
      </c>
      <c r="F78" s="5" t="s">
        <v>1761</v>
      </c>
    </row>
    <row r="79" ht="15.75" customHeight="1">
      <c r="A79" s="3" t="s">
        <v>1721</v>
      </c>
      <c r="B79" s="5" t="s">
        <v>1763</v>
      </c>
      <c r="C79" s="37">
        <f>COUNTIF(Catalogue!$G$5:$G$59,"*TB2*")</f>
        <v>11</v>
      </c>
      <c r="D79" s="38">
        <v>11.0</v>
      </c>
      <c r="E79" s="21" t="str">
        <f t="shared" si="1"/>
        <v>OK</v>
      </c>
      <c r="F79" s="5" t="s">
        <v>1761</v>
      </c>
    </row>
    <row r="80" ht="15.75" customHeight="1">
      <c r="A80" s="3" t="s">
        <v>1721</v>
      </c>
      <c r="B80" s="5" t="s">
        <v>1764</v>
      </c>
      <c r="C80" s="37">
        <f>COUNTIF(Catalogue!$G$5:$G$59,"*TB3*")</f>
        <v>14</v>
      </c>
      <c r="D80" s="38">
        <v>14.0</v>
      </c>
      <c r="E80" s="21" t="str">
        <f t="shared" si="1"/>
        <v>OK</v>
      </c>
      <c r="F80" s="5" t="s">
        <v>1761</v>
      </c>
    </row>
    <row r="81" ht="15.75" customHeight="1">
      <c r="A81" s="3" t="s">
        <v>1765</v>
      </c>
      <c r="B81" s="5" t="s">
        <v>939</v>
      </c>
      <c r="C81" s="37">
        <f>Assets!J33</f>
        <v>27</v>
      </c>
      <c r="D81" s="38">
        <v>27.0</v>
      </c>
      <c r="E81" s="21" t="str">
        <f t="shared" si="1"/>
        <v>OK</v>
      </c>
      <c r="F81" s="5" t="s">
        <v>1337</v>
      </c>
    </row>
    <row r="82" ht="15.75" customHeight="1">
      <c r="A82" s="3" t="s">
        <v>1765</v>
      </c>
      <c r="B82" s="5" t="s">
        <v>1766</v>
      </c>
      <c r="C82" s="37">
        <f>COUNTIF(Assets!L5:L31,"DIFF")</f>
        <v>0</v>
      </c>
      <c r="D82" s="38">
        <v>0.0</v>
      </c>
      <c r="E82" s="21" t="str">
        <f t="shared" si="1"/>
        <v>OK</v>
      </c>
      <c r="F82" s="5" t="s">
        <v>1771</v>
      </c>
    </row>
    <row r="83" ht="15.75" customHeight="1">
      <c r="A83" s="3" t="s">
        <v>1772</v>
      </c>
      <c r="B83" s="5" t="s">
        <v>1773</v>
      </c>
      <c r="C83" s="37">
        <f>COUNTIF(Catalogue!$AN$5:$AN$59,"Clock")</f>
        <v>5</v>
      </c>
      <c r="D83" s="38">
        <v>5.0</v>
      </c>
      <c r="E83" s="21" t="str">
        <f t="shared" si="1"/>
        <v>OK</v>
      </c>
      <c r="F83" s="5" t="s">
        <v>1774</v>
      </c>
    </row>
    <row r="84" ht="15.75" customHeight="1">
      <c r="A84" s="3" t="s">
        <v>1772</v>
      </c>
      <c r="B84" s="5" t="s">
        <v>1775</v>
      </c>
      <c r="C84" s="37">
        <f>COUNTIF(Catalogue!$AN$5:$AN$59,"Ephemeris")</f>
        <v>3</v>
      </c>
      <c r="D84" s="38">
        <v>3.0</v>
      </c>
      <c r="E84" s="21" t="str">
        <f t="shared" si="1"/>
        <v>OK</v>
      </c>
      <c r="F84" s="5" t="s">
        <v>1774</v>
      </c>
    </row>
    <row r="85" ht="15.75" customHeight="1">
      <c r="A85" s="3" t="s">
        <v>1772</v>
      </c>
      <c r="B85" s="5" t="s">
        <v>1776</v>
      </c>
      <c r="C85" s="37">
        <f>COUNTIF(Catalogue!$AN$5:$AN$59,"Observables")</f>
        <v>6</v>
      </c>
      <c r="D85" s="38">
        <v>6.0</v>
      </c>
      <c r="E85" s="21" t="str">
        <f t="shared" si="1"/>
        <v>OK</v>
      </c>
      <c r="F85" s="5" t="s">
        <v>1774</v>
      </c>
    </row>
    <row r="86" ht="15.75" customHeight="1">
      <c r="A86" s="3" t="s">
        <v>1772</v>
      </c>
      <c r="B86" s="5" t="s">
        <v>1777</v>
      </c>
      <c r="C86" s="37">
        <f>COUNTIF(Catalogue!$AN$5:$AN$59,"Emitter and position")</f>
        <v>3</v>
      </c>
      <c r="D86" s="38">
        <v>3.0</v>
      </c>
      <c r="E86" s="21" t="str">
        <f t="shared" si="1"/>
        <v>OK</v>
      </c>
      <c r="F86" s="5" t="s">
        <v>1774</v>
      </c>
    </row>
    <row r="87" ht="15.75" customHeight="1">
      <c r="A87" s="3" t="s">
        <v>1772</v>
      </c>
      <c r="B87" s="5" t="s">
        <v>1779</v>
      </c>
      <c r="C87" s="37">
        <f>COUNTIF(Catalogue!$AN$5:$AN$59,"Geometry")</f>
        <v>1</v>
      </c>
      <c r="D87" s="38">
        <v>1.0</v>
      </c>
      <c r="E87" s="21" t="str">
        <f t="shared" si="1"/>
        <v>OK</v>
      </c>
      <c r="F87" s="5" t="s">
        <v>1774</v>
      </c>
    </row>
    <row r="88" ht="15.75" customHeight="1">
      <c r="A88" s="3" t="s">
        <v>1772</v>
      </c>
      <c r="B88" s="5" t="s">
        <v>1780</v>
      </c>
      <c r="C88" s="37">
        <f>COUNTIF(Catalogue!$AN$5:$AN$59,"Platform and command")</f>
        <v>8</v>
      </c>
      <c r="D88" s="38">
        <v>8.0</v>
      </c>
      <c r="E88" s="21" t="str">
        <f t="shared" si="1"/>
        <v>OK</v>
      </c>
      <c r="F88" s="5" t="s">
        <v>1774</v>
      </c>
    </row>
    <row r="89" ht="15.75" customHeight="1">
      <c r="A89" s="3" t="s">
        <v>1772</v>
      </c>
      <c r="B89" s="5" t="s">
        <v>1781</v>
      </c>
      <c r="C89" s="37">
        <f>COUNTIF(Catalogue!$AN$5:$AN$59,"Verdict and picture")</f>
        <v>5</v>
      </c>
      <c r="D89" s="38">
        <v>5.0</v>
      </c>
      <c r="E89" s="21" t="str">
        <f t="shared" si="1"/>
        <v>OK</v>
      </c>
      <c r="F89" s="5" t="s">
        <v>1774</v>
      </c>
    </row>
    <row r="90" ht="15.75" customHeight="1">
      <c r="A90" s="3" t="s">
        <v>1772</v>
      </c>
      <c r="B90" s="5" t="s">
        <v>1782</v>
      </c>
      <c r="C90" s="37">
        <f>COUNTIF(Catalogue!$AN$5:$AN$59,"Supply chain and insiders")</f>
        <v>3</v>
      </c>
      <c r="D90" s="38">
        <v>3.0</v>
      </c>
      <c r="E90" s="21" t="str">
        <f t="shared" si="1"/>
        <v>OK</v>
      </c>
      <c r="F90" s="5" t="s">
        <v>1774</v>
      </c>
    </row>
    <row r="91" ht="15.75" customHeight="1">
      <c r="A91" s="3" t="s">
        <v>1772</v>
      </c>
      <c r="B91" s="5" t="s">
        <v>1783</v>
      </c>
      <c r="C91" s="37">
        <f>COUNTIFS(Catalogue!$AN$5:$AN$59,"Clock",Catalogue!$T$5:$T$59,"E3")</f>
        <v>1</v>
      </c>
      <c r="D91" s="38">
        <v>1.0</v>
      </c>
      <c r="E91" s="21" t="str">
        <f t="shared" si="1"/>
        <v>OK</v>
      </c>
      <c r="F91" s="5" t="s">
        <v>1774</v>
      </c>
    </row>
    <row r="92" ht="15.75" customHeight="1">
      <c r="A92" s="3" t="s">
        <v>1772</v>
      </c>
      <c r="B92" s="5" t="s">
        <v>1785</v>
      </c>
      <c r="C92" s="37">
        <f>COUNTIFS(Catalogue!$AN$5:$AN$59,"Clock",Catalogue!$T$5:$T$59,"E2")</f>
        <v>3</v>
      </c>
      <c r="D92" s="38">
        <v>3.0</v>
      </c>
      <c r="E92" s="21" t="str">
        <f t="shared" si="1"/>
        <v>OK</v>
      </c>
      <c r="F92" s="5" t="s">
        <v>1774</v>
      </c>
    </row>
    <row r="93" ht="15.75" customHeight="1">
      <c r="A93" s="3" t="s">
        <v>1772</v>
      </c>
      <c r="B93" s="5" t="s">
        <v>1786</v>
      </c>
      <c r="C93" s="37">
        <f>COUNTIFS(Catalogue!$AN$5:$AN$59,"Clock",Catalogue!$T$5:$T$59,"P")</f>
        <v>1</v>
      </c>
      <c r="D93" s="38">
        <v>1.0</v>
      </c>
      <c r="E93" s="21" t="str">
        <f t="shared" si="1"/>
        <v>OK</v>
      </c>
      <c r="F93" s="5" t="s">
        <v>1774</v>
      </c>
    </row>
    <row r="94" ht="15.75" customHeight="1">
      <c r="A94" s="3" t="s">
        <v>1772</v>
      </c>
      <c r="B94" s="5" t="s">
        <v>1787</v>
      </c>
      <c r="C94" s="37">
        <f>COUNTIFS(Catalogue!$AN$5:$AN$59,"Ephemeris",Catalogue!$T$5:$T$59,"P")</f>
        <v>3</v>
      </c>
      <c r="D94" s="38">
        <v>3.0</v>
      </c>
      <c r="E94" s="21" t="str">
        <f t="shared" si="1"/>
        <v>OK</v>
      </c>
      <c r="F94" s="5" t="s">
        <v>1774</v>
      </c>
    </row>
    <row r="95" ht="15.75" customHeight="1">
      <c r="A95" s="3" t="s">
        <v>1772</v>
      </c>
      <c r="B95" s="5" t="s">
        <v>1788</v>
      </c>
      <c r="C95" s="37">
        <f>COUNTIFS(Catalogue!$AN$5:$AN$59,"Observables",Catalogue!$T$5:$T$59,"E3")</f>
        <v>1</v>
      </c>
      <c r="D95" s="38">
        <v>1.0</v>
      </c>
      <c r="E95" s="21" t="str">
        <f t="shared" si="1"/>
        <v>OK</v>
      </c>
      <c r="F95" s="5" t="s">
        <v>1774</v>
      </c>
    </row>
    <row r="96" ht="15.75" customHeight="1">
      <c r="A96" s="3" t="s">
        <v>1772</v>
      </c>
      <c r="B96" s="5" t="s">
        <v>1794</v>
      </c>
      <c r="C96" s="37">
        <f>COUNTIFS(Catalogue!$AN$5:$AN$59,"Observables",Catalogue!$T$5:$T$59,"E2")</f>
        <v>1</v>
      </c>
      <c r="D96" s="38">
        <v>1.0</v>
      </c>
      <c r="E96" s="21" t="str">
        <f t="shared" si="1"/>
        <v>OK</v>
      </c>
      <c r="F96" s="5" t="s">
        <v>1774</v>
      </c>
    </row>
    <row r="97" ht="15.75" customHeight="1">
      <c r="A97" s="3" t="s">
        <v>1772</v>
      </c>
      <c r="B97" s="5" t="s">
        <v>1800</v>
      </c>
      <c r="C97" s="37">
        <f>COUNTIFS(Catalogue!$AN$5:$AN$59,"Observables",Catalogue!$T$5:$T$59,"E1")</f>
        <v>3</v>
      </c>
      <c r="D97" s="38">
        <v>3.0</v>
      </c>
      <c r="E97" s="21" t="str">
        <f t="shared" si="1"/>
        <v>OK</v>
      </c>
      <c r="F97" s="5" t="s">
        <v>1774</v>
      </c>
    </row>
    <row r="98" ht="15.75" customHeight="1">
      <c r="A98" s="3" t="s">
        <v>1772</v>
      </c>
      <c r="B98" s="5" t="s">
        <v>1801</v>
      </c>
      <c r="C98" s="37">
        <f>COUNTIFS(Catalogue!$AN$5:$AN$59,"Observables",Catalogue!$T$5:$T$59,"P")</f>
        <v>1</v>
      </c>
      <c r="D98" s="38">
        <v>1.0</v>
      </c>
      <c r="E98" s="21" t="str">
        <f t="shared" si="1"/>
        <v>OK</v>
      </c>
      <c r="F98" s="5" t="s">
        <v>1774</v>
      </c>
    </row>
    <row r="99" ht="15.75" customHeight="1">
      <c r="A99" s="3" t="s">
        <v>1772</v>
      </c>
      <c r="B99" s="5" t="s">
        <v>1802</v>
      </c>
      <c r="C99" s="37">
        <f>COUNTIFS(Catalogue!$AN$5:$AN$59,"Emitter and position",Catalogue!$T$5:$T$59,"E3")</f>
        <v>1</v>
      </c>
      <c r="D99" s="38">
        <v>1.0</v>
      </c>
      <c r="E99" s="21" t="str">
        <f t="shared" si="1"/>
        <v>OK</v>
      </c>
      <c r="F99" s="5" t="s">
        <v>1774</v>
      </c>
    </row>
    <row r="100" ht="15.75" customHeight="1">
      <c r="A100" s="3" t="s">
        <v>1772</v>
      </c>
      <c r="B100" s="5" t="s">
        <v>1803</v>
      </c>
      <c r="C100" s="37">
        <f>COUNTIFS(Catalogue!$AN$5:$AN$59,"Emitter and position",Catalogue!$T$5:$T$59,"E2")</f>
        <v>2</v>
      </c>
      <c r="D100" s="38">
        <v>2.0</v>
      </c>
      <c r="E100" s="21" t="str">
        <f t="shared" si="1"/>
        <v>OK</v>
      </c>
      <c r="F100" s="5" t="s">
        <v>1774</v>
      </c>
    </row>
    <row r="101" ht="15.75" customHeight="1">
      <c r="A101" s="3" t="s">
        <v>1772</v>
      </c>
      <c r="B101" s="5" t="s">
        <v>1807</v>
      </c>
      <c r="C101" s="37">
        <f>COUNTIFS(Catalogue!$AN$5:$AN$59,"Geometry",Catalogue!$T$5:$T$59,"E1")</f>
        <v>1</v>
      </c>
      <c r="D101" s="38">
        <v>1.0</v>
      </c>
      <c r="E101" s="21" t="str">
        <f t="shared" si="1"/>
        <v>OK</v>
      </c>
      <c r="F101" s="5" t="s">
        <v>1774</v>
      </c>
    </row>
    <row r="102" ht="15.75" customHeight="1">
      <c r="A102" s="3" t="s">
        <v>1772</v>
      </c>
      <c r="B102" s="5" t="s">
        <v>1808</v>
      </c>
      <c r="C102" s="37">
        <f>COUNTIFS(Catalogue!$AN$5:$AN$59,"Platform and command",Catalogue!$T$5:$T$59,"E3")</f>
        <v>1</v>
      </c>
      <c r="D102" s="38">
        <v>1.0</v>
      </c>
      <c r="E102" s="21" t="str">
        <f t="shared" si="1"/>
        <v>OK</v>
      </c>
      <c r="F102" s="5" t="s">
        <v>1774</v>
      </c>
    </row>
    <row r="103" ht="15.75" customHeight="1">
      <c r="A103" s="3" t="s">
        <v>1772</v>
      </c>
      <c r="B103" s="5" t="s">
        <v>1809</v>
      </c>
      <c r="C103" s="37">
        <f>COUNTIFS(Catalogue!$AN$5:$AN$59,"Platform and command",Catalogue!$T$5:$T$59,"E2")</f>
        <v>6</v>
      </c>
      <c r="D103" s="38">
        <v>6.0</v>
      </c>
      <c r="E103" s="21" t="str">
        <f t="shared" si="1"/>
        <v>OK</v>
      </c>
      <c r="F103" s="5" t="s">
        <v>1774</v>
      </c>
    </row>
    <row r="104" ht="15.75" customHeight="1">
      <c r="A104" s="3" t="s">
        <v>1772</v>
      </c>
      <c r="B104" s="5" t="s">
        <v>1811</v>
      </c>
      <c r="C104" s="37">
        <f>COUNTIFS(Catalogue!$AN$5:$AN$59,"Platform and command",Catalogue!$T$5:$T$59,"E0")</f>
        <v>1</v>
      </c>
      <c r="D104" s="38">
        <v>1.0</v>
      </c>
      <c r="E104" s="21" t="str">
        <f t="shared" si="1"/>
        <v>OK</v>
      </c>
      <c r="F104" s="5" t="s">
        <v>1774</v>
      </c>
    </row>
    <row r="105" ht="15.75" customHeight="1">
      <c r="A105" s="3" t="s">
        <v>1772</v>
      </c>
      <c r="B105" s="5" t="s">
        <v>1812</v>
      </c>
      <c r="C105" s="37">
        <f>COUNTIFS(Catalogue!$AN$5:$AN$59,"Verdict and picture",Catalogue!$T$5:$T$59,"P")</f>
        <v>5</v>
      </c>
      <c r="D105" s="38">
        <v>5.0</v>
      </c>
      <c r="E105" s="21" t="str">
        <f t="shared" si="1"/>
        <v>OK</v>
      </c>
      <c r="F105" s="5" t="s">
        <v>1774</v>
      </c>
    </row>
    <row r="106" ht="15.75" customHeight="1">
      <c r="A106" s="3" t="s">
        <v>1772</v>
      </c>
      <c r="B106" s="5" t="s">
        <v>1813</v>
      </c>
      <c r="C106" s="37">
        <f>COUNTIFS(Catalogue!$AN$5:$AN$59,"Supply chain and insiders",Catalogue!$T$5:$T$59,"E3")</f>
        <v>1</v>
      </c>
      <c r="D106" s="38">
        <v>1.0</v>
      </c>
      <c r="E106" s="21" t="str">
        <f t="shared" si="1"/>
        <v>OK</v>
      </c>
      <c r="F106" s="5" t="s">
        <v>1774</v>
      </c>
    </row>
    <row r="107" ht="15.75" customHeight="1">
      <c r="A107" s="3" t="s">
        <v>1772</v>
      </c>
      <c r="B107" s="5" t="s">
        <v>1814</v>
      </c>
      <c r="C107" s="37">
        <f>COUNTIFS(Catalogue!$AN$5:$AN$59,"Supply chain and insiders",Catalogue!$T$5:$T$59,"E2")</f>
        <v>1</v>
      </c>
      <c r="D107" s="38">
        <v>1.0</v>
      </c>
      <c r="E107" s="21" t="str">
        <f t="shared" si="1"/>
        <v>OK</v>
      </c>
      <c r="F107" s="5" t="s">
        <v>1774</v>
      </c>
    </row>
    <row r="108" ht="15.75" customHeight="1">
      <c r="A108" s="3" t="s">
        <v>1772</v>
      </c>
      <c r="B108" s="5" t="s">
        <v>1815</v>
      </c>
      <c r="C108" s="37">
        <f>COUNTIFS(Catalogue!$AN$5:$AN$59,"Supply chain and insiders",Catalogue!$T$5:$T$59,"E0")</f>
        <v>1</v>
      </c>
      <c r="D108" s="38">
        <v>1.0</v>
      </c>
      <c r="E108" s="21" t="str">
        <f t="shared" si="1"/>
        <v>OK</v>
      </c>
      <c r="F108" s="5" t="s">
        <v>1774</v>
      </c>
    </row>
    <row r="109" ht="15.75" customHeight="1">
      <c r="A109" s="3" t="s">
        <v>1816</v>
      </c>
      <c r="B109" s="5" t="s">
        <v>1817</v>
      </c>
      <c r="C109" s="37">
        <f>SATERA!V36</f>
        <v>44</v>
      </c>
      <c r="D109" s="38">
        <v>44.0</v>
      </c>
      <c r="E109" s="21" t="str">
        <f t="shared" si="1"/>
        <v>OK</v>
      </c>
      <c r="F109" s="5" t="s">
        <v>1819</v>
      </c>
    </row>
    <row r="110" ht="15.75" customHeight="1">
      <c r="A110" s="3" t="s">
        <v>1816</v>
      </c>
      <c r="B110" s="5" t="s">
        <v>1820</v>
      </c>
      <c r="C110" s="37">
        <f>COUNTIF(SATERA!Y5:Y21,"DIFF")</f>
        <v>0</v>
      </c>
      <c r="D110" s="38">
        <v>0.0</v>
      </c>
      <c r="E110" s="21" t="str">
        <f t="shared" si="1"/>
        <v>OK</v>
      </c>
      <c r="F110" s="5" t="s">
        <v>1819</v>
      </c>
    </row>
    <row r="111" ht="15.75" customHeight="1">
      <c r="A111" s="3" t="s">
        <v>1821</v>
      </c>
      <c r="B111" s="5" t="s">
        <v>1823</v>
      </c>
      <c r="C111" s="37">
        <f>COUNTIF(Worked!R5:S11,"DIFF")+COUNTIF(Worked!M17:M26,"DIFF")</f>
        <v>0</v>
      </c>
      <c r="D111" s="38">
        <v>0.0</v>
      </c>
      <c r="E111" s="21" t="str">
        <f t="shared" si="1"/>
        <v>OK</v>
      </c>
      <c r="F111" s="5" t="s">
        <v>1826</v>
      </c>
    </row>
    <row r="112" ht="15.75" customHeight="1">
      <c r="A112" s="3" t="s">
        <v>1827</v>
      </c>
      <c r="B112" s="5" t="s">
        <v>1828</v>
      </c>
      <c r="C112" s="37">
        <f>COUNTA('CVE Register'!$B$5:$B$61)</f>
        <v>57</v>
      </c>
      <c r="D112" s="38">
        <v>57.0</v>
      </c>
      <c r="E112" s="21" t="str">
        <f t="shared" si="1"/>
        <v>OK</v>
      </c>
      <c r="F112" s="5" t="s">
        <v>1833</v>
      </c>
    </row>
    <row r="113" ht="15.75" customHeight="1">
      <c r="A113" s="3" t="s">
        <v>1827</v>
      </c>
      <c r="B113" s="5" t="s">
        <v>1834</v>
      </c>
      <c r="C113" s="37">
        <f>COUNTIF('CVE Register'!$W$5:$W$61,"?*")</f>
        <v>57</v>
      </c>
      <c r="D113" s="38">
        <v>57.0</v>
      </c>
      <c r="E113" s="21" t="str">
        <f t="shared" si="1"/>
        <v>OK</v>
      </c>
      <c r="F113" s="5" t="s">
        <v>1835</v>
      </c>
    </row>
    <row r="114" ht="15.75" customHeight="1">
      <c r="A114" s="3" t="s">
        <v>1827</v>
      </c>
      <c r="B114" s="5" t="s">
        <v>1836</v>
      </c>
      <c r="C114" s="37">
        <f>COUNTIF('CVE Register'!$X$5:$X$61,"?*")</f>
        <v>57</v>
      </c>
      <c r="D114" s="38">
        <v>57.0</v>
      </c>
      <c r="E114" s="21" t="str">
        <f t="shared" si="1"/>
        <v>OK</v>
      </c>
      <c r="F114" s="5" t="s">
        <v>1835</v>
      </c>
    </row>
    <row r="115" ht="15.75" customHeight="1">
      <c r="A115" s="3" t="s">
        <v>1827</v>
      </c>
      <c r="B115" s="5" t="s">
        <v>1837</v>
      </c>
      <c r="C115" s="37">
        <f>COUNTIF(Assets!$C$5:$C$31,3)</f>
        <v>7</v>
      </c>
      <c r="D115" s="38">
        <v>7.0</v>
      </c>
      <c r="E115" s="21" t="str">
        <f t="shared" si="1"/>
        <v>OK</v>
      </c>
      <c r="F115" s="5" t="s">
        <v>1838</v>
      </c>
    </row>
    <row r="116" ht="15.75" customHeight="1">
      <c r="A116" s="3" t="s">
        <v>1827</v>
      </c>
      <c r="B116" s="5" t="s">
        <v>1839</v>
      </c>
      <c r="C116" s="37">
        <f>COUNTIF(Catalogue!$AT$5:$AT$59,"&gt;0")</f>
        <v>12</v>
      </c>
      <c r="D116" s="38">
        <v>12.0</v>
      </c>
      <c r="E116" s="21" t="str">
        <f t="shared" si="1"/>
        <v>OK</v>
      </c>
      <c r="F116" s="5" t="s">
        <v>1844</v>
      </c>
    </row>
    <row r="117" ht="15.75" customHeight="1"/>
    <row r="118" ht="15.75" customHeight="1">
      <c r="B118" s="3" t="s">
        <v>113</v>
      </c>
      <c r="C118" s="24">
        <f>COUNTIF(E5:E116,"OK")</f>
        <v>112</v>
      </c>
    </row>
    <row r="119" ht="15.75" customHeight="1">
      <c r="B119" s="3" t="s">
        <v>129</v>
      </c>
      <c r="C119" s="24">
        <f>COUNTIF(E5:E116,"DIFF")</f>
        <v>0</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116"/>
  <conditionalFormatting sqref="E5:E116">
    <cfRule type="cellIs" dxfId="6" priority="1" operator="equal">
      <formula>"OK"</formula>
    </cfRule>
  </conditionalFormatting>
  <conditionalFormatting sqref="E5:E116">
    <cfRule type="cellIs" dxfId="7" priority="2" operator="equal">
      <formula>"DIFF"</formula>
    </cfRule>
  </conditionalFormatting>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9DB"/>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0.0"/>
    <col customWidth="1" min="3" max="3" width="78.0"/>
    <col customWidth="1" min="4" max="4" width="9.0"/>
    <col customWidth="1" min="5" max="5" width="66.0"/>
    <col customWidth="1" min="6" max="6" width="8.71"/>
  </cols>
  <sheetData>
    <row r="1">
      <c r="A1" s="1" t="s">
        <v>1367</v>
      </c>
    </row>
    <row r="2">
      <c r="A2" s="2" t="s">
        <v>1370</v>
      </c>
    </row>
    <row r="4" ht="42.0" customHeight="1">
      <c r="A4" s="4" t="s">
        <v>394</v>
      </c>
      <c r="B4" s="4" t="s">
        <v>1372</v>
      </c>
      <c r="C4" s="4" t="s">
        <v>1373</v>
      </c>
      <c r="D4" s="4" t="s">
        <v>1374</v>
      </c>
      <c r="E4" s="4" t="s">
        <v>1375</v>
      </c>
    </row>
    <row r="5" ht="61.5" customHeight="1">
      <c r="A5" s="24">
        <v>1.0</v>
      </c>
      <c r="B5" s="3" t="s">
        <v>1376</v>
      </c>
      <c r="C5" s="5" t="s">
        <v>1378</v>
      </c>
      <c r="D5" s="24" t="s">
        <v>1380</v>
      </c>
      <c r="E5" s="5" t="s">
        <v>1381</v>
      </c>
    </row>
    <row r="6" ht="61.5" customHeight="1">
      <c r="A6" s="24">
        <v>2.0</v>
      </c>
      <c r="B6" s="3" t="s">
        <v>1382</v>
      </c>
      <c r="C6" s="5" t="s">
        <v>1383</v>
      </c>
      <c r="D6" s="24" t="s">
        <v>1380</v>
      </c>
      <c r="E6" s="5" t="s">
        <v>1384</v>
      </c>
    </row>
    <row r="7" ht="61.5" customHeight="1">
      <c r="A7" s="24">
        <v>3.0</v>
      </c>
      <c r="B7" s="3" t="s">
        <v>1385</v>
      </c>
      <c r="C7" s="5" t="s">
        <v>1386</v>
      </c>
      <c r="D7" s="24" t="s">
        <v>1387</v>
      </c>
      <c r="E7" s="5" t="s">
        <v>1388</v>
      </c>
    </row>
    <row r="8" ht="61.5" customHeight="1">
      <c r="A8" s="24">
        <v>4.0</v>
      </c>
      <c r="B8" s="3" t="s">
        <v>1389</v>
      </c>
      <c r="C8" s="5" t="s">
        <v>1390</v>
      </c>
      <c r="D8" s="24" t="s">
        <v>1380</v>
      </c>
      <c r="E8" s="5" t="s">
        <v>1392</v>
      </c>
    </row>
    <row r="9" ht="61.5" customHeight="1">
      <c r="A9" s="24">
        <v>5.0</v>
      </c>
      <c r="B9" s="3" t="s">
        <v>1393</v>
      </c>
      <c r="C9" s="5" t="s">
        <v>1395</v>
      </c>
      <c r="D9" s="24" t="s">
        <v>1396</v>
      </c>
      <c r="E9" s="5" t="s">
        <v>1397</v>
      </c>
    </row>
    <row r="10" ht="61.5" customHeight="1">
      <c r="A10" s="24">
        <v>6.0</v>
      </c>
      <c r="B10" s="3" t="s">
        <v>1393</v>
      </c>
      <c r="C10" s="5" t="s">
        <v>1398</v>
      </c>
      <c r="D10" s="24" t="s">
        <v>1396</v>
      </c>
      <c r="E10" s="5" t="s">
        <v>1399</v>
      </c>
    </row>
    <row r="11" ht="61.5" customHeight="1">
      <c r="A11" s="24">
        <v>7.0</v>
      </c>
      <c r="B11" s="3" t="s">
        <v>1400</v>
      </c>
      <c r="C11" s="5" t="s">
        <v>1401</v>
      </c>
      <c r="D11" s="24" t="s">
        <v>1380</v>
      </c>
      <c r="E11" s="5" t="s">
        <v>1402</v>
      </c>
    </row>
    <row r="12" ht="61.5" customHeight="1">
      <c r="A12" s="24">
        <v>8.0</v>
      </c>
      <c r="B12" s="3" t="s">
        <v>1403</v>
      </c>
      <c r="C12" s="5" t="s">
        <v>1404</v>
      </c>
      <c r="D12" s="24" t="s">
        <v>1396</v>
      </c>
      <c r="E12" s="5" t="s">
        <v>1405</v>
      </c>
    </row>
    <row r="13" ht="61.5" customHeight="1">
      <c r="A13" s="24">
        <v>9.0</v>
      </c>
      <c r="B13" s="3" t="s">
        <v>1407</v>
      </c>
      <c r="C13" s="5" t="s">
        <v>1408</v>
      </c>
      <c r="D13" s="24" t="s">
        <v>1396</v>
      </c>
      <c r="E13" s="5" t="s">
        <v>1409</v>
      </c>
    </row>
    <row r="14" ht="61.5" customHeight="1">
      <c r="A14" s="24">
        <v>10.0</v>
      </c>
      <c r="B14" s="3" t="s">
        <v>1410</v>
      </c>
      <c r="C14" s="5" t="s">
        <v>1411</v>
      </c>
      <c r="D14" s="24" t="s">
        <v>1396</v>
      </c>
      <c r="E14" s="5" t="s">
        <v>1412</v>
      </c>
    </row>
    <row r="15" ht="61.5" customHeight="1">
      <c r="A15" s="24">
        <v>11.0</v>
      </c>
      <c r="B15" s="3" t="s">
        <v>1413</v>
      </c>
      <c r="C15" s="5" t="s">
        <v>1414</v>
      </c>
      <c r="D15" s="24" t="s">
        <v>1396</v>
      </c>
      <c r="E15" s="5" t="s">
        <v>1415</v>
      </c>
    </row>
    <row r="16" ht="61.5" customHeight="1">
      <c r="A16" s="24">
        <v>12.0</v>
      </c>
      <c r="B16" s="3" t="s">
        <v>1416</v>
      </c>
      <c r="C16" s="5" t="s">
        <v>1418</v>
      </c>
      <c r="D16" s="24" t="s">
        <v>1387</v>
      </c>
      <c r="E16" s="5" t="s">
        <v>1419</v>
      </c>
    </row>
    <row r="17" ht="61.5" customHeight="1">
      <c r="A17" s="24">
        <v>13.0</v>
      </c>
      <c r="B17" s="3" t="s">
        <v>1420</v>
      </c>
      <c r="C17" s="5" t="s">
        <v>1421</v>
      </c>
      <c r="D17" s="24" t="s">
        <v>1380</v>
      </c>
      <c r="E17" s="5" t="s">
        <v>1422</v>
      </c>
    </row>
    <row r="18" ht="61.5" customHeight="1">
      <c r="A18" s="24">
        <v>14.0</v>
      </c>
      <c r="B18" s="3" t="s">
        <v>1423</v>
      </c>
      <c r="C18" s="5" t="s">
        <v>1424</v>
      </c>
      <c r="D18" s="24" t="s">
        <v>1380</v>
      </c>
      <c r="E18" s="5" t="s">
        <v>1425</v>
      </c>
    </row>
    <row r="19" ht="61.5" customHeight="1">
      <c r="A19" s="24">
        <v>15.0</v>
      </c>
      <c r="B19" s="3" t="s">
        <v>1423</v>
      </c>
      <c r="C19" s="5" t="s">
        <v>1426</v>
      </c>
      <c r="D19" s="24" t="s">
        <v>1396</v>
      </c>
      <c r="E19" s="5" t="s">
        <v>1427</v>
      </c>
    </row>
    <row r="20" ht="61.5" customHeight="1">
      <c r="A20" s="24">
        <v>16.0</v>
      </c>
      <c r="B20" s="3" t="s">
        <v>1423</v>
      </c>
      <c r="C20" s="5" t="s">
        <v>1429</v>
      </c>
      <c r="D20" s="24" t="s">
        <v>1387</v>
      </c>
      <c r="E20" s="5" t="s">
        <v>1430</v>
      </c>
    </row>
    <row r="21" ht="15.75" customHeight="1"/>
    <row r="22" ht="15.75" customHeight="1">
      <c r="A22" s="12" t="s">
        <v>1431</v>
      </c>
    </row>
    <row r="23" ht="31.5" customHeight="1">
      <c r="A23" s="24">
        <v>1.0</v>
      </c>
      <c r="B23" s="15" t="s">
        <v>1432</v>
      </c>
      <c r="C23" s="16"/>
      <c r="D23" s="16"/>
      <c r="E23" s="17"/>
    </row>
    <row r="24" ht="31.5" customHeight="1">
      <c r="A24" s="24">
        <v>2.0</v>
      </c>
      <c r="B24" s="15" t="s">
        <v>1435</v>
      </c>
      <c r="C24" s="16"/>
      <c r="D24" s="16"/>
      <c r="E24" s="17"/>
    </row>
    <row r="25" ht="31.5" customHeight="1">
      <c r="A25" s="24">
        <v>3.0</v>
      </c>
      <c r="B25" s="15" t="s">
        <v>1436</v>
      </c>
      <c r="C25" s="16"/>
      <c r="D25" s="16"/>
      <c r="E25" s="17"/>
    </row>
    <row r="26" ht="31.5" customHeight="1">
      <c r="A26" s="24">
        <v>4.0</v>
      </c>
      <c r="B26" s="15" t="s">
        <v>1438</v>
      </c>
      <c r="C26" s="16"/>
      <c r="D26" s="16"/>
      <c r="E26" s="17"/>
    </row>
    <row r="27" ht="31.5" customHeight="1">
      <c r="A27" s="24">
        <v>5.0</v>
      </c>
      <c r="B27" s="15" t="s">
        <v>1441</v>
      </c>
      <c r="C27" s="16"/>
      <c r="D27" s="16"/>
      <c r="E27" s="1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3:E23"/>
    <mergeCell ref="B24:E24"/>
    <mergeCell ref="B25:E25"/>
    <mergeCell ref="B26:E26"/>
    <mergeCell ref="B27:E27"/>
  </mergeCells>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9DB"/>
    <pageSetUpPr fitToPage="1"/>
  </sheetPr>
  <sheetViews>
    <sheetView showGridLines="0" workbookViewId="0"/>
  </sheetViews>
  <sheetFormatPr customHeight="1" defaultColWidth="14.43" defaultRowHeight="15.0"/>
  <cols>
    <col customWidth="1" min="1" max="1" width="34.0"/>
    <col customWidth="1" min="2" max="2" width="60.0"/>
    <col customWidth="1" min="3" max="3" width="80.0"/>
    <col customWidth="1" min="4" max="6" width="8.71"/>
  </cols>
  <sheetData>
    <row r="1">
      <c r="A1" s="1" t="s">
        <v>1463</v>
      </c>
    </row>
    <row r="2">
      <c r="A2" s="2" t="s">
        <v>1465</v>
      </c>
    </row>
    <row r="4">
      <c r="A4" s="12" t="s">
        <v>1466</v>
      </c>
    </row>
    <row r="5">
      <c r="A5" s="8" t="s">
        <v>1471</v>
      </c>
      <c r="B5" s="8" t="s">
        <v>1032</v>
      </c>
      <c r="C5" s="8" t="s">
        <v>1473</v>
      </c>
    </row>
    <row r="6">
      <c r="A6" s="3" t="s">
        <v>227</v>
      </c>
      <c r="B6" s="5" t="s">
        <v>1474</v>
      </c>
      <c r="C6" s="5" t="s">
        <v>1475</v>
      </c>
    </row>
    <row r="7">
      <c r="A7" s="3" t="s">
        <v>228</v>
      </c>
      <c r="B7" s="5" t="s">
        <v>1217</v>
      </c>
      <c r="C7" s="5" t="s">
        <v>1476</v>
      </c>
    </row>
    <row r="8">
      <c r="A8" s="3" t="s">
        <v>165</v>
      </c>
      <c r="B8" s="5" t="s">
        <v>1477</v>
      </c>
      <c r="C8" s="5" t="s">
        <v>1478</v>
      </c>
    </row>
    <row r="9">
      <c r="A9" s="3" t="s">
        <v>1182</v>
      </c>
      <c r="B9" s="5" t="s">
        <v>1480</v>
      </c>
      <c r="C9" s="5" t="s">
        <v>1482</v>
      </c>
    </row>
    <row r="10">
      <c r="A10" s="3" t="s">
        <v>45</v>
      </c>
      <c r="B10" s="5" t="s">
        <v>1485</v>
      </c>
      <c r="C10" s="5" t="s">
        <v>1486</v>
      </c>
    </row>
    <row r="11">
      <c r="A11" s="3" t="s">
        <v>37</v>
      </c>
      <c r="B11" s="5" t="s">
        <v>1488</v>
      </c>
      <c r="C11" s="5" t="s">
        <v>1489</v>
      </c>
    </row>
    <row r="12">
      <c r="A12" s="3" t="s">
        <v>1487</v>
      </c>
      <c r="B12" s="5" t="s">
        <v>1492</v>
      </c>
      <c r="C12" s="5" t="s">
        <v>1493</v>
      </c>
    </row>
    <row r="14">
      <c r="A14" s="12" t="s">
        <v>1495</v>
      </c>
    </row>
    <row r="15">
      <c r="A15" s="8" t="s">
        <v>1496</v>
      </c>
      <c r="B15" s="8" t="s">
        <v>1497</v>
      </c>
      <c r="C15" s="8" t="s">
        <v>1498</v>
      </c>
    </row>
    <row r="16">
      <c r="A16" s="3" t="s">
        <v>730</v>
      </c>
      <c r="B16" s="5" t="s">
        <v>1499</v>
      </c>
      <c r="C16" s="5" t="s">
        <v>1500</v>
      </c>
    </row>
    <row r="17">
      <c r="A17" s="3" t="s">
        <v>234</v>
      </c>
      <c r="B17" s="5" t="s">
        <v>1501</v>
      </c>
      <c r="C17" s="5" t="s">
        <v>1502</v>
      </c>
    </row>
    <row r="18">
      <c r="A18" s="3" t="s">
        <v>991</v>
      </c>
      <c r="B18" s="5" t="s">
        <v>1503</v>
      </c>
      <c r="C18" s="5" t="s">
        <v>1504</v>
      </c>
    </row>
    <row r="19">
      <c r="A19" s="3" t="s">
        <v>1494</v>
      </c>
      <c r="B19" s="5" t="s">
        <v>1505</v>
      </c>
      <c r="C19" s="5" t="s">
        <v>1506</v>
      </c>
    </row>
    <row r="20">
      <c r="A20" s="3" t="s">
        <v>1507</v>
      </c>
      <c r="B20" s="5" t="s">
        <v>1508</v>
      </c>
      <c r="C20" s="5" t="s">
        <v>1509</v>
      </c>
    </row>
    <row r="21" ht="15.75" customHeight="1">
      <c r="A21" s="3" t="s">
        <v>1510</v>
      </c>
      <c r="B21" s="5" t="s">
        <v>1511</v>
      </c>
      <c r="C21" s="5" t="s">
        <v>1512</v>
      </c>
    </row>
    <row r="22" ht="15.75" customHeight="1">
      <c r="A22" s="3" t="s">
        <v>1514</v>
      </c>
      <c r="B22" s="5" t="s">
        <v>1515</v>
      </c>
      <c r="C22" s="5" t="s">
        <v>1516</v>
      </c>
    </row>
    <row r="23" ht="15.75" customHeight="1">
      <c r="A23" s="3" t="s">
        <v>1517</v>
      </c>
      <c r="B23" s="5" t="s">
        <v>1518</v>
      </c>
      <c r="C23" s="5" t="s">
        <v>1519</v>
      </c>
    </row>
    <row r="24" ht="15.75" customHeight="1">
      <c r="A24" s="3" t="s">
        <v>78</v>
      </c>
      <c r="B24" s="5" t="s">
        <v>1520</v>
      </c>
      <c r="C24" s="5"/>
    </row>
    <row r="25" ht="15.75" customHeight="1">
      <c r="A25" s="3" t="s">
        <v>1521</v>
      </c>
      <c r="B25" s="5" t="s">
        <v>1522</v>
      </c>
      <c r="C25" s="5"/>
    </row>
    <row r="26" ht="15.75" customHeight="1"/>
    <row r="27" ht="15.75" customHeight="1">
      <c r="A27" s="12" t="s">
        <v>1523</v>
      </c>
    </row>
    <row r="28" ht="15.75" customHeight="1">
      <c r="A28" s="8" t="s">
        <v>1524</v>
      </c>
      <c r="B28" s="8" t="s">
        <v>1525</v>
      </c>
    </row>
    <row r="29" ht="15.75" customHeight="1">
      <c r="A29" s="3" t="s">
        <v>67</v>
      </c>
      <c r="B29" s="5" t="s">
        <v>1526</v>
      </c>
    </row>
    <row r="30" ht="15.75" customHeight="1">
      <c r="A30" s="3" t="s">
        <v>140</v>
      </c>
      <c r="B30" s="5" t="s">
        <v>1527</v>
      </c>
    </row>
    <row r="31" ht="15.75" customHeight="1">
      <c r="A31" s="3" t="s">
        <v>74</v>
      </c>
      <c r="B31" s="5" t="s">
        <v>1528</v>
      </c>
    </row>
    <row r="32" ht="15.75" customHeight="1">
      <c r="A32" s="3" t="s">
        <v>141</v>
      </c>
      <c r="B32" s="5" t="s">
        <v>1530</v>
      </c>
    </row>
    <row r="33" ht="15.75" customHeight="1"/>
    <row r="34" ht="15.75" customHeight="1">
      <c r="A34" s="12" t="s">
        <v>1531</v>
      </c>
    </row>
    <row r="35" ht="15.75" customHeight="1">
      <c r="A35" s="8" t="s">
        <v>22</v>
      </c>
      <c r="B35" s="8" t="s">
        <v>40</v>
      </c>
    </row>
    <row r="36" ht="15.75" customHeight="1">
      <c r="A36" s="3" t="s">
        <v>97</v>
      </c>
      <c r="B36" s="5" t="s">
        <v>1532</v>
      </c>
    </row>
    <row r="37" ht="15.75" customHeight="1">
      <c r="A37" s="3" t="s">
        <v>54</v>
      </c>
      <c r="B37" s="5" t="s">
        <v>1533</v>
      </c>
    </row>
    <row r="38" ht="15.75" customHeight="1">
      <c r="A38" s="3" t="s">
        <v>77</v>
      </c>
      <c r="B38" s="5" t="s">
        <v>1534</v>
      </c>
    </row>
    <row r="39" ht="15.75" customHeight="1">
      <c r="A39" s="3" t="s">
        <v>70</v>
      </c>
      <c r="B39" s="5" t="s">
        <v>1535</v>
      </c>
    </row>
    <row r="40" ht="15.75" customHeight="1">
      <c r="A40" s="3" t="s">
        <v>59</v>
      </c>
      <c r="B40" s="5" t="s">
        <v>1536</v>
      </c>
    </row>
    <row r="41" ht="15.75" customHeight="1">
      <c r="A41" s="3" t="s">
        <v>148</v>
      </c>
      <c r="B41" s="5" t="s">
        <v>1537</v>
      </c>
    </row>
    <row r="42" ht="15.75" customHeight="1"/>
    <row r="43" ht="15.75" customHeight="1">
      <c r="A43" s="12" t="s">
        <v>1538</v>
      </c>
    </row>
    <row r="44" ht="15.75" customHeight="1">
      <c r="A44" s="8" t="s">
        <v>694</v>
      </c>
      <c r="B44" s="8" t="s">
        <v>1539</v>
      </c>
    </row>
    <row r="45" ht="15.75" customHeight="1">
      <c r="A45" s="3" t="s">
        <v>226</v>
      </c>
      <c r="B45" s="5" t="s">
        <v>1540</v>
      </c>
    </row>
    <row r="46" ht="15.75" customHeight="1">
      <c r="A46" s="3" t="s">
        <v>613</v>
      </c>
      <c r="B46" s="5" t="s">
        <v>1542</v>
      </c>
    </row>
    <row r="47" ht="15.75" customHeight="1">
      <c r="A47" s="3" t="s">
        <v>765</v>
      </c>
      <c r="B47" s="5" t="s">
        <v>1543</v>
      </c>
    </row>
    <row r="48" ht="15.75" customHeight="1">
      <c r="A48" s="3" t="s">
        <v>452</v>
      </c>
      <c r="B48" s="5" t="s">
        <v>1544</v>
      </c>
    </row>
    <row r="49" ht="15.75" customHeight="1"/>
    <row r="50" ht="15.75" customHeight="1">
      <c r="A50" s="12" t="s">
        <v>1545</v>
      </c>
    </row>
    <row r="51" ht="15.75" customHeight="1">
      <c r="A51" s="8" t="s">
        <v>1546</v>
      </c>
      <c r="B51" s="8" t="s">
        <v>1547</v>
      </c>
      <c r="C51" s="8" t="s">
        <v>40</v>
      </c>
    </row>
    <row r="52" ht="15.75" customHeight="1">
      <c r="A52" s="3" t="s">
        <v>1548</v>
      </c>
      <c r="B52" s="5" t="s">
        <v>1549</v>
      </c>
      <c r="C52" s="5" t="s">
        <v>1550</v>
      </c>
    </row>
    <row r="53" ht="15.75" customHeight="1">
      <c r="A53" s="3" t="s">
        <v>1396</v>
      </c>
      <c r="B53" s="5" t="s">
        <v>1551</v>
      </c>
      <c r="C53" s="5" t="s">
        <v>1552</v>
      </c>
    </row>
    <row r="54" ht="15.75" customHeight="1">
      <c r="A54" s="3" t="s">
        <v>1553</v>
      </c>
      <c r="B54" s="5" t="s">
        <v>1554</v>
      </c>
      <c r="C54" s="5" t="s">
        <v>1555</v>
      </c>
    </row>
    <row r="55" ht="15.75" customHeight="1">
      <c r="A55" s="3" t="s">
        <v>59</v>
      </c>
      <c r="B55" s="5" t="s">
        <v>1556</v>
      </c>
      <c r="C55" s="5" t="s">
        <v>1557</v>
      </c>
    </row>
    <row r="56" ht="15.75" customHeight="1">
      <c r="A56" s="3" t="s">
        <v>1558</v>
      </c>
      <c r="B56" s="5" t="s">
        <v>1559</v>
      </c>
      <c r="C56" s="5" t="s">
        <v>1560</v>
      </c>
    </row>
    <row r="57" ht="15.75" customHeight="1"/>
    <row r="58" ht="15.75" customHeight="1">
      <c r="A58" s="12" t="s">
        <v>1561</v>
      </c>
    </row>
    <row r="59" ht="15.75" customHeight="1">
      <c r="A59" s="8" t="s">
        <v>122</v>
      </c>
      <c r="B59" s="8" t="s">
        <v>1563</v>
      </c>
    </row>
    <row r="60" ht="15.75" customHeight="1">
      <c r="A60" s="3" t="s">
        <v>1564</v>
      </c>
      <c r="B60" s="5" t="s">
        <v>1565</v>
      </c>
    </row>
    <row r="61" ht="15.75" customHeight="1">
      <c r="A61" s="3" t="s">
        <v>1566</v>
      </c>
      <c r="B61" s="5" t="s">
        <v>1567</v>
      </c>
    </row>
    <row r="62" ht="15.75" customHeight="1">
      <c r="A62" s="3" t="s">
        <v>1568</v>
      </c>
      <c r="B62" s="5" t="s">
        <v>1569</v>
      </c>
    </row>
    <row r="63" ht="15.75" customHeight="1">
      <c r="A63" s="3" t="s">
        <v>1570</v>
      </c>
      <c r="B63" s="5" t="s">
        <v>1571</v>
      </c>
    </row>
    <row r="64" ht="15.75" customHeight="1">
      <c r="A64" s="3" t="s">
        <v>1572</v>
      </c>
      <c r="B64" s="5" t="s">
        <v>1573</v>
      </c>
    </row>
    <row r="65" ht="15.75" customHeight="1"/>
    <row r="66" ht="15.75" customHeight="1">
      <c r="A66" s="12" t="s">
        <v>1574</v>
      </c>
    </row>
    <row r="67" ht="15.75" customHeight="1">
      <c r="A67" s="8" t="s">
        <v>1575</v>
      </c>
      <c r="B67" s="8" t="s">
        <v>63</v>
      </c>
    </row>
    <row r="68" ht="15.75" customHeight="1">
      <c r="A68" s="3" t="s">
        <v>1576</v>
      </c>
      <c r="B68" s="5" t="s">
        <v>1577</v>
      </c>
    </row>
    <row r="69" ht="15.75" customHeight="1">
      <c r="A69" s="3" t="s">
        <v>1578</v>
      </c>
      <c r="B69" s="5" t="s">
        <v>1579</v>
      </c>
    </row>
    <row r="70" ht="15.75" customHeight="1">
      <c r="A70" s="3" t="s">
        <v>1467</v>
      </c>
      <c r="B70" s="5" t="s">
        <v>1580</v>
      </c>
    </row>
    <row r="71" ht="15.75" customHeight="1">
      <c r="A71" s="3" t="s">
        <v>871</v>
      </c>
      <c r="B71" s="5" t="s">
        <v>1581</v>
      </c>
    </row>
    <row r="72" ht="15.75" customHeight="1">
      <c r="A72" s="3" t="s">
        <v>1582</v>
      </c>
      <c r="B72" s="5" t="s">
        <v>431</v>
      </c>
    </row>
    <row r="73" ht="15.75" customHeight="1">
      <c r="A73" s="3" t="s">
        <v>1583</v>
      </c>
      <c r="B73" s="5" t="s">
        <v>1584</v>
      </c>
    </row>
    <row r="74" ht="15.75" customHeight="1">
      <c r="A74" s="3" t="s">
        <v>1585</v>
      </c>
      <c r="B74" s="5" t="s">
        <v>1586</v>
      </c>
    </row>
    <row r="75" ht="15.75" customHeight="1">
      <c r="A75" s="3" t="s">
        <v>1588</v>
      </c>
      <c r="B75" s="5" t="s">
        <v>1589</v>
      </c>
    </row>
    <row r="76" ht="15.75" customHeight="1"/>
    <row r="77" ht="15.75" customHeight="1">
      <c r="A77" s="12" t="s">
        <v>1590</v>
      </c>
    </row>
    <row r="78" ht="15.75" customHeight="1">
      <c r="A78" s="8" t="s">
        <v>1591</v>
      </c>
      <c r="B78" s="8" t="s">
        <v>40</v>
      </c>
    </row>
    <row r="79" ht="15.75" customHeight="1">
      <c r="A79" s="3" t="s">
        <v>1593</v>
      </c>
      <c r="B79" s="5" t="s">
        <v>1594</v>
      </c>
    </row>
    <row r="80" ht="15.75" customHeight="1">
      <c r="A80" s="3" t="s">
        <v>583</v>
      </c>
      <c r="B80" s="5" t="s">
        <v>1596</v>
      </c>
    </row>
    <row r="81" ht="15.75" customHeight="1">
      <c r="A81" s="3" t="s">
        <v>1597</v>
      </c>
      <c r="B81" s="5" t="s">
        <v>1598</v>
      </c>
    </row>
    <row r="82" ht="15.75" customHeight="1">
      <c r="A82" s="3" t="s">
        <v>1599</v>
      </c>
      <c r="B82" s="5" t="s">
        <v>1600</v>
      </c>
    </row>
    <row r="83" ht="15.75" customHeight="1">
      <c r="A83" s="3" t="s">
        <v>1601</v>
      </c>
      <c r="B83" s="5" t="s">
        <v>1602</v>
      </c>
    </row>
    <row r="84" ht="15.75" customHeight="1"/>
    <row r="85" ht="15.75" customHeight="1">
      <c r="A85" s="12" t="s">
        <v>1603</v>
      </c>
    </row>
    <row r="86" ht="15.75" customHeight="1">
      <c r="A86" s="8" t="s">
        <v>122</v>
      </c>
      <c r="B86" s="8" t="s">
        <v>1497</v>
      </c>
    </row>
    <row r="87" ht="15.75" customHeight="1">
      <c r="A87" s="3" t="s">
        <v>1604</v>
      </c>
      <c r="B87" s="5" t="s">
        <v>1474</v>
      </c>
    </row>
    <row r="88" ht="15.75" customHeight="1">
      <c r="A88" s="3" t="s">
        <v>1605</v>
      </c>
      <c r="B88" s="5" t="s">
        <v>1606</v>
      </c>
    </row>
    <row r="89" ht="15.75" customHeight="1">
      <c r="A89" s="3" t="s">
        <v>1607</v>
      </c>
      <c r="B89" s="5" t="s">
        <v>1608</v>
      </c>
    </row>
    <row r="90" ht="15.75" customHeight="1">
      <c r="A90" s="3" t="s">
        <v>1609</v>
      </c>
      <c r="B90" s="5" t="s">
        <v>1610</v>
      </c>
    </row>
    <row r="91" ht="15.75" customHeight="1">
      <c r="A91" s="3" t="s">
        <v>1611</v>
      </c>
      <c r="B91" s="5" t="s">
        <v>1613</v>
      </c>
    </row>
    <row r="92" ht="15.75" customHeight="1">
      <c r="A92" s="3" t="s">
        <v>1614</v>
      </c>
      <c r="B92" s="5" t="s">
        <v>1615</v>
      </c>
    </row>
    <row r="93" ht="15.75" customHeight="1">
      <c r="A93" s="3" t="s">
        <v>1616</v>
      </c>
      <c r="B93" s="5" t="s">
        <v>1617</v>
      </c>
    </row>
    <row r="94" ht="15.75" customHeight="1">
      <c r="A94" s="3" t="s">
        <v>1618</v>
      </c>
      <c r="B94" s="5" t="s">
        <v>1619</v>
      </c>
    </row>
    <row r="95" ht="15.75" customHeight="1">
      <c r="A95" s="3" t="s">
        <v>1620</v>
      </c>
      <c r="B95" s="5" t="s">
        <v>1621</v>
      </c>
    </row>
    <row r="96" ht="15.75" customHeight="1">
      <c r="A96" s="3" t="s">
        <v>1622</v>
      </c>
      <c r="B96" s="5" t="s">
        <v>1623</v>
      </c>
    </row>
    <row r="97" ht="15.75" customHeight="1">
      <c r="A97" s="3" t="s">
        <v>1624</v>
      </c>
      <c r="B97" s="5" t="s">
        <v>1625</v>
      </c>
    </row>
    <row r="98" ht="15.75" customHeight="1">
      <c r="A98" s="3" t="s">
        <v>1626</v>
      </c>
      <c r="B98" s="5" t="s">
        <v>1627</v>
      </c>
    </row>
    <row r="99" ht="15.75" customHeight="1">
      <c r="A99" s="3" t="s">
        <v>1628</v>
      </c>
      <c r="B99" s="5" t="s">
        <v>1629</v>
      </c>
    </row>
    <row r="100" ht="15.75" customHeight="1">
      <c r="A100" s="3" t="s">
        <v>1630</v>
      </c>
      <c r="B100" s="5" t="s">
        <v>1631</v>
      </c>
    </row>
    <row r="101" ht="15.75" customHeight="1">
      <c r="A101" s="3" t="s">
        <v>1632</v>
      </c>
      <c r="B101" s="5" t="s">
        <v>1633</v>
      </c>
    </row>
    <row r="102" ht="15.75" customHeight="1">
      <c r="A102" s="3" t="s">
        <v>1634</v>
      </c>
      <c r="B102" s="5" t="s">
        <v>1635</v>
      </c>
    </row>
    <row r="103" ht="15.75" customHeight="1">
      <c r="A103" s="3" t="s">
        <v>1636</v>
      </c>
      <c r="B103" s="5" t="s">
        <v>1637</v>
      </c>
    </row>
    <row r="104" ht="15.75" customHeight="1">
      <c r="A104" s="3" t="s">
        <v>1638</v>
      </c>
      <c r="B104" s="5" t="s">
        <v>1640</v>
      </c>
    </row>
    <row r="105" ht="15.75" customHeight="1">
      <c r="A105" s="3" t="s">
        <v>1641</v>
      </c>
      <c r="B105" s="5" t="s">
        <v>1642</v>
      </c>
    </row>
    <row r="106" ht="15.75" customHeight="1">
      <c r="A106" s="3" t="s">
        <v>1643</v>
      </c>
      <c r="B106" s="5" t="s">
        <v>1644</v>
      </c>
    </row>
    <row r="107" ht="15.75" customHeight="1">
      <c r="A107" s="3" t="s">
        <v>1645</v>
      </c>
      <c r="B107" s="5" t="s">
        <v>1646</v>
      </c>
    </row>
    <row r="108" ht="15.75" customHeight="1">
      <c r="A108" s="3" t="s">
        <v>1647</v>
      </c>
      <c r="B108" s="5" t="s">
        <v>1648</v>
      </c>
    </row>
    <row r="109" ht="15.75" customHeight="1">
      <c r="A109" s="3" t="s">
        <v>1649</v>
      </c>
      <c r="B109" s="5" t="s">
        <v>1650</v>
      </c>
    </row>
    <row r="110" ht="15.75" customHeight="1">
      <c r="A110" s="3" t="s">
        <v>1651</v>
      </c>
      <c r="B110" s="5" t="s">
        <v>1652</v>
      </c>
    </row>
    <row r="111" ht="15.75" customHeight="1">
      <c r="A111" s="3" t="s">
        <v>1653</v>
      </c>
      <c r="B111" s="5" t="s">
        <v>1654</v>
      </c>
    </row>
    <row r="112" ht="15.75" customHeight="1">
      <c r="A112" s="3" t="s">
        <v>1655</v>
      </c>
      <c r="B112" s="5" t="s">
        <v>140</v>
      </c>
    </row>
    <row r="113" ht="15.75" customHeight="1">
      <c r="A113" s="3" t="s">
        <v>1656</v>
      </c>
      <c r="B113" s="5" t="s">
        <v>1657</v>
      </c>
    </row>
    <row r="114" ht="15.75" customHeight="1">
      <c r="A114" s="3" t="s">
        <v>1658</v>
      </c>
      <c r="B114" s="5" t="s">
        <v>1659</v>
      </c>
    </row>
    <row r="115" ht="15.75" customHeight="1">
      <c r="A115" s="3" t="s">
        <v>1660</v>
      </c>
      <c r="B115" s="5" t="s">
        <v>1661</v>
      </c>
    </row>
    <row r="116" ht="15.75" customHeight="1">
      <c r="A116" s="3" t="s">
        <v>1662</v>
      </c>
      <c r="B116" s="5" t="s">
        <v>1627</v>
      </c>
    </row>
    <row r="117" ht="15.75" customHeight="1">
      <c r="A117" s="3" t="s">
        <v>1663</v>
      </c>
      <c r="B117" s="5" t="s">
        <v>1664</v>
      </c>
    </row>
    <row r="118" ht="15.75" customHeight="1">
      <c r="A118" s="3" t="s">
        <v>1665</v>
      </c>
      <c r="B118" s="5" t="s">
        <v>1664</v>
      </c>
    </row>
    <row r="119" ht="15.75" customHeight="1">
      <c r="A119" s="3" t="s">
        <v>1666</v>
      </c>
      <c r="B119" s="5" t="s">
        <v>1667</v>
      </c>
    </row>
    <row r="120" ht="15.75" customHeight="1">
      <c r="A120" s="3" t="s">
        <v>1668</v>
      </c>
      <c r="B120" s="5" t="s">
        <v>1669</v>
      </c>
    </row>
    <row r="121" ht="15.75" customHeight="1">
      <c r="A121" s="3" t="s">
        <v>1670</v>
      </c>
      <c r="B121" s="5" t="s">
        <v>1671</v>
      </c>
    </row>
    <row r="122" ht="15.75" customHeight="1">
      <c r="A122" s="3" t="s">
        <v>1672</v>
      </c>
      <c r="B122" s="5" t="s">
        <v>1673</v>
      </c>
    </row>
    <row r="123" ht="15.75" customHeight="1">
      <c r="A123" s="3" t="s">
        <v>1674</v>
      </c>
      <c r="B123" s="5" t="s">
        <v>1675</v>
      </c>
    </row>
    <row r="124" ht="15.75" customHeight="1">
      <c r="A124" s="3" t="s">
        <v>1676</v>
      </c>
      <c r="B124" s="5" t="s">
        <v>1677</v>
      </c>
    </row>
    <row r="125" ht="15.75" customHeight="1">
      <c r="A125" s="3" t="s">
        <v>1678</v>
      </c>
      <c r="B125" s="5" t="s">
        <v>1679</v>
      </c>
    </row>
    <row r="126" ht="15.75" customHeight="1">
      <c r="A126" s="3" t="s">
        <v>1680</v>
      </c>
      <c r="B126" s="5" t="s">
        <v>1681</v>
      </c>
    </row>
    <row r="127" ht="15.75" customHeight="1"/>
    <row r="128" ht="15.75" customHeight="1">
      <c r="A128" s="12" t="s">
        <v>1682</v>
      </c>
    </row>
    <row r="129" ht="15.75" customHeight="1">
      <c r="A129" s="8" t="s">
        <v>122</v>
      </c>
      <c r="B129" s="8" t="s">
        <v>1683</v>
      </c>
    </row>
    <row r="130" ht="15.75" customHeight="1">
      <c r="A130" s="3" t="s">
        <v>1684</v>
      </c>
      <c r="B130" s="5" t="s">
        <v>1685</v>
      </c>
    </row>
    <row r="131" ht="15.75" customHeight="1">
      <c r="A131" s="3" t="s">
        <v>1686</v>
      </c>
      <c r="B131" s="5" t="s">
        <v>1687</v>
      </c>
    </row>
    <row r="132" ht="15.75" customHeight="1">
      <c r="A132" s="3" t="s">
        <v>1688</v>
      </c>
      <c r="B132" s="5" t="s">
        <v>1689</v>
      </c>
    </row>
    <row r="133" ht="15.75" customHeight="1">
      <c r="A133" s="3" t="s">
        <v>1690</v>
      </c>
      <c r="B133" s="5" t="s">
        <v>1691</v>
      </c>
    </row>
    <row r="134" ht="15.75" customHeight="1">
      <c r="A134" s="3" t="s">
        <v>1692</v>
      </c>
      <c r="B134" s="5" t="s">
        <v>1693</v>
      </c>
    </row>
    <row r="135" ht="15.75" customHeight="1">
      <c r="A135" s="3" t="s">
        <v>1694</v>
      </c>
      <c r="B135" s="5" t="s">
        <v>1695</v>
      </c>
    </row>
    <row r="136" ht="15.75" customHeight="1">
      <c r="A136" s="3" t="s">
        <v>1696</v>
      </c>
      <c r="B136" s="5" t="s">
        <v>1697</v>
      </c>
    </row>
    <row r="137" ht="15.75" customHeight="1">
      <c r="A137" s="3" t="s">
        <v>1698</v>
      </c>
      <c r="B137" s="5" t="s">
        <v>1700</v>
      </c>
    </row>
    <row r="138" ht="15.75" customHeight="1">
      <c r="A138" s="3" t="s">
        <v>1701</v>
      </c>
      <c r="B138" s="5" t="s">
        <v>1703</v>
      </c>
    </row>
    <row r="139" ht="15.75" customHeight="1">
      <c r="A139" s="3" t="s">
        <v>1705</v>
      </c>
      <c r="B139" s="5" t="s">
        <v>1706</v>
      </c>
    </row>
    <row r="140" ht="15.75" customHeight="1">
      <c r="A140" s="3" t="s">
        <v>1707</v>
      </c>
      <c r="B140" s="5" t="s">
        <v>1708</v>
      </c>
    </row>
    <row r="141" ht="15.75" customHeight="1">
      <c r="A141" s="3" t="s">
        <v>1709</v>
      </c>
      <c r="B141" s="5" t="s">
        <v>1710</v>
      </c>
    </row>
    <row r="142" ht="15.75" customHeight="1">
      <c r="A142" s="3" t="s">
        <v>1711</v>
      </c>
      <c r="B142" s="5" t="s">
        <v>1712</v>
      </c>
    </row>
    <row r="143" ht="15.75" customHeight="1"/>
    <row r="144" ht="15.75" customHeight="1">
      <c r="A144" s="12" t="s">
        <v>1713</v>
      </c>
    </row>
    <row r="145" ht="15.75" customHeight="1">
      <c r="A145" s="8" t="s">
        <v>1714</v>
      </c>
      <c r="B145" s="8" t="s">
        <v>40</v>
      </c>
    </row>
    <row r="146" ht="25.5" customHeight="1">
      <c r="A146" s="3" t="s">
        <v>1715</v>
      </c>
      <c r="B146" s="5" t="s">
        <v>1716</v>
      </c>
    </row>
    <row r="147" ht="25.5" customHeight="1">
      <c r="A147" s="3" t="s">
        <v>726</v>
      </c>
      <c r="B147" s="5" t="s">
        <v>1717</v>
      </c>
    </row>
    <row r="148" ht="25.5" customHeight="1">
      <c r="A148" s="3" t="s">
        <v>1719</v>
      </c>
      <c r="B148" s="5" t="s">
        <v>1720</v>
      </c>
    </row>
    <row r="149" ht="25.5" customHeight="1">
      <c r="A149" s="3" t="s">
        <v>1721</v>
      </c>
      <c r="B149" s="5" t="s">
        <v>1723</v>
      </c>
    </row>
    <row r="150" ht="25.5" customHeight="1">
      <c r="A150" s="3" t="s">
        <v>1724</v>
      </c>
      <c r="B150" s="5" t="s">
        <v>1725</v>
      </c>
    </row>
    <row r="151" ht="25.5" customHeight="1">
      <c r="A151" s="3" t="s">
        <v>1728</v>
      </c>
      <c r="B151" s="5" t="s">
        <v>1729</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