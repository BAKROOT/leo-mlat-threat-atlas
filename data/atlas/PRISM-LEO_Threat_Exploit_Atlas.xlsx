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Threat Atlas" sheetId="2" r:id="rId6"/>
    <sheet state="visible" name="Asset Register" sheetId="3" r:id="rId7"/>
    <sheet state="visible" name="CVE Register" sheetId="4" r:id="rId8"/>
    <sheet state="visible" name="Mitigations" sheetId="5" r:id="rId9"/>
    <sheet state="visible" name="Gap Matrix" sheetId="6" r:id="rId10"/>
    <sheet state="visible" name="Paper Alignment" sheetId="7" r:id="rId11"/>
    <sheet state="visible" name="Summary" sheetId="8" r:id="rId12"/>
    <sheet state="visible" name="Classification Key" sheetId="9" r:id="rId13"/>
    <sheet state="visible" name="Excluded Entries" sheetId="10" r:id="rId14"/>
  </sheets>
  <definedNames>
    <definedName hidden="1" localSheetId="1" name="_xlnm._FilterDatabase">'Threat Atlas'!$A$5:$AN$83</definedName>
    <definedName hidden="1" localSheetId="2" name="_xlnm._FilterDatabase">'Asset Register'!$A$5:$R$32</definedName>
    <definedName hidden="1" localSheetId="3" name="_xlnm._FilterDatabase">'CVE Register'!$A$5:$Z$62</definedName>
    <definedName hidden="1" localSheetId="4" name="_xlnm._FilterDatabase">Mitigations!$A$5:$Q$30</definedName>
    <definedName hidden="1" localSheetId="6" name="_xlnm._FilterDatabase">'Paper Alignment'!$A$4:$N$45</definedName>
    <definedName hidden="1" localSheetId="9" name="_xlnm._FilterDatabase">'Excluded Entries'!$B$5:$H$61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L5">
      <text>
        <t xml:space="preserve">Fine-grained asset IDs (A1.1 to A4.8) from the Asset Register sheet. Derived from the catalogue threats bound to each source (Binding sheet of the Extended Threat Catalogue). Sources bound to no threat use the group default or are marked as outside the register.</t>
      </text>
    </comment>
    <comment authorId="0" ref="AN5">
      <text>
        <t xml:space="preserve">Reading guide
[A1.1] = asset where the attack acts.  Other IDs = assets the effect can reach by following the dependency graph of the paper (data, timing, control, hosting edges).
† = reached only through an inferred dependency (S1: A1.6 to A1.4/A1.5; S2: A4.1 to A2.3).
Boundaries = layer steps to the first integrity check (A3.4/A3.5) and to the ATM picture (A4.6), as rho_det and rho_root in the Extended Threat Catalogue.
Where several threats are bound to the source, the assets of all propagating threats are combined. Disclosure-only attacks are shown as contained.</t>
      </text>
    </comment>
  </commentList>
</comments>
</file>

<file path=xl/sharedStrings.xml><?xml version="1.0" encoding="utf-8"?>
<sst xmlns="http://schemas.openxmlformats.org/spreadsheetml/2006/main" count="5375" uniqueCount="2435">
  <si>
    <t>CVE Register</t>
  </si>
  <si>
    <t>PRISM-LEO Threat &amp; Exploit Atlas</t>
  </si>
  <si>
    <t>Asset Register: 27 assets of the SATERA reference architecture, with Atlas, CVE and propagation coverage</t>
  </si>
  <si>
    <t>PRISM-LEO Threat &amp; Exploit Atlas: Overview</t>
  </si>
  <si>
    <t>Every number on this page is a live formula over Threat Atlas (rows 6-300), CVE Register and Mitigations. Edit a row there and this page updates. Checks at the bottom must read OK.</t>
  </si>
  <si>
    <t>Added 29 Oct 2026 from the Assets, Catalogue and Binding sheets of the SATERA Extended Threat Catalogue. The Threat Atlas labels each source with a coarse asset group and has no L3 group, because no published source enters at L3. This register lists all 27 assets, including the seven L3 assets (shaded), and shows which are reached by Atlas sources (through the threats bound to them), by CVEs, or only by the postulated threats of the catalogue.</t>
  </si>
  <si>
    <t>Atlas entries</t>
  </si>
  <si>
    <t>57 CVE IDs, each confirmed PUBLISHED in the official CVE record via the CVE Services API (cveawg.mitre.org) on 13 Oct 2026. CVSS is as stored in the CVE record itself (CNA or CISA-ADP container); NVD scores may differ, and blank means the record carries none.</t>
  </si>
  <si>
    <t>Peer-reviewed</t>
  </si>
  <si>
    <t>Non-peer-reviewed</t>
  </si>
  <si>
    <t>Reading guide:  [ ] marks the asset an attack acts on, other IDs are assets the effect can reach along the dependency graph of the paper (15 data, 5 timing, 7 control, 14 hosting edges). † = reached only through an inferred dependency (S1: A1.6 to A1.4 and A1.5; S2: A4.1 to A2.3). Boundaries = layer steps, as rho_det and rho_root of the catalogue. Columns K and L are live counts over the Threat Atlas (column AL) and the CVE Register (column W).</t>
  </si>
  <si>
    <t>Vulnerabilities vs. demonstrated exploits for GNSS-independent LEO MLAT-B air traffic surveillance  ·  Rows 6-48: original peer-reviewed review set (unchanged)  ·  Rows 49+: newer peer-reviewed and non-peer-reviewed sources  ·  Defensive research dataset: attack descriptions are one high-level line, no operational parameters</t>
  </si>
  <si>
    <t>CVEs in register</t>
  </si>
  <si>
    <t>ID</t>
  </si>
  <si>
    <t>Mitigations</t>
  </si>
  <si>
    <t>Real-world (E3)</t>
  </si>
  <si>
    <t>Asset</t>
  </si>
  <si>
    <t>Layer</t>
  </si>
  <si>
    <t>Function</t>
  </si>
  <si>
    <t>Kind</t>
  </si>
  <si>
    <t>STRIDE element</t>
  </si>
  <si>
    <t>Trust boundary</t>
  </si>
  <si>
    <t>Severity is a live formula over CVSS Base (9.0+ Critical, 7.0+ High, 4.0+ Medium, otherwise Low). Atlas Source is a live lookup on Threat Atlas #.</t>
  </si>
  <si>
    <t>Flags</t>
  </si>
  <si>
    <t>Catalogue threats (n)</t>
  </si>
  <si>
    <t>Catalogue threat IDs</t>
  </si>
  <si>
    <t>Atlas sources mapped (n)</t>
  </si>
  <si>
    <t>CVEs mapped (n)</t>
  </si>
  <si>
    <t>Evidence status</t>
  </si>
  <si>
    <t>Assets reached (n)</t>
  </si>
  <si>
    <t>Layers reached</t>
  </si>
  <si>
    <t>Boundaries to first check A3.4/A3.5</t>
  </si>
  <si>
    <t>Boundaries to ATM A4.6</t>
  </si>
  <si>
    <t>Cross-layer propagation (layers and assets the effect can reach)</t>
  </si>
  <si>
    <t>A1.1</t>
  </si>
  <si>
    <t>#</t>
  </si>
  <si>
    <t>CVE ID</t>
  </si>
  <si>
    <t>Aircraft 1090ES transponder</t>
  </si>
  <si>
    <t>Vendor / Product</t>
  </si>
  <si>
    <t>Affected Versions (per record)</t>
  </si>
  <si>
    <t>●  Demonstrated in Real-World / Active Exploit</t>
  </si>
  <si>
    <t>CWE</t>
  </si>
  <si>
    <t>L1</t>
  </si>
  <si>
    <t>CVSS Base</t>
  </si>
  <si>
    <t>Severity (derived)</t>
  </si>
  <si>
    <t>CVSS Version / Source Container</t>
  </si>
  <si>
    <t>Published</t>
  </si>
  <si>
    <t>Emits the signal whose arrival is measured; ADS-B content is an unauthenticated self-report</t>
  </si>
  <si>
    <t>Record State</t>
  </si>
  <si>
    <t>Summary (paraphrased, high level)</t>
  </si>
  <si>
    <t>PRISM-LEO Layer</t>
  </si>
  <si>
    <t>Trust Boundary Exposed</t>
  </si>
  <si>
    <t>hardware</t>
  </si>
  <si>
    <t>Timing Related</t>
  </si>
  <si>
    <t>external entity</t>
  </si>
  <si>
    <t>Threat Atlas #</t>
  </si>
  <si>
    <t>TB0</t>
  </si>
  <si>
    <t>external</t>
  </si>
  <si>
    <t>Atlas Source (lookup)</t>
  </si>
  <si>
    <t>Relation to Atlas Source</t>
  </si>
  <si>
    <t>●  Simulated / Proof-of-Concept</t>
  </si>
  <si>
    <t>Mitigation IDs</t>
  </si>
  <si>
    <t>Official CVE Record</t>
  </si>
  <si>
    <t>Verification (13 Oct 2026)</t>
  </si>
  <si>
    <t>Notes</t>
  </si>
  <si>
    <t>Asset ID(s)
(SATERA register)</t>
  </si>
  <si>
    <t>Catalogue threat(s)</t>
  </si>
  <si>
    <t>Match basis</t>
  </si>
  <si>
    <t>Cross-layer propagation
(layers and assets the effect can reach)</t>
  </si>
  <si>
    <t>●  Theoretical / Unexploited</t>
  </si>
  <si>
    <t>Rankings checked 4 Oct 2026 (ICORE2026 / SJR 2025); new venues 13 Oct 2026. Every source link (col T) and every CVE (CVE Register) checked 13 Oct 2026. Columns Q onward are the Atlas extension; R, S, AA-AD and AG are live formulas.</t>
  </si>
  <si>
    <t>CVE-2015-7704</t>
  </si>
  <si>
    <t>T1.01, T1.02, T1.03, T1.05, T1.06, T1.08</t>
  </si>
  <si>
    <t>ORIGINAL REVIEW COLUMNS (A-P, unchanged)</t>
  </si>
  <si>
    <t>L4 · Time &amp; navigation ground segment (sync, ephemeris)</t>
  </si>
  <si>
    <t>NTP Project / ntpd</t>
  </si>
  <si>
    <t>4.x &lt; 4.2.8p4; 4.3.x &lt; 4.3.77</t>
  </si>
  <si>
    <t>n/a</t>
  </si>
  <si>
    <t>ATLAS EXTENSION  (13 Oct 2026)</t>
  </si>
  <si>
    <t>1. Evidence status by peer review</t>
  </si>
  <si>
    <t>▼ ASSET (added 16 Oct 2026)</t>
  </si>
  <si>
    <t>Exploitation status</t>
  </si>
  <si>
    <t>L1 &gt; L2 &gt; L3 &gt; L4</t>
  </si>
  <si>
    <t>▼ SATERA ASSETS &amp; CROSS-LAYER PROPAGATION (added 29 Oct 2026)</t>
  </si>
  <si>
    <t>L1 &gt; L2 &gt; L3 &gt; L4  (4 of 4 layers)
L1: [A1.1], A1.3, A1.4, A1.7 | L2: A2.1, A2.2, A2.4 | L3: A3.1, A3.3, A3.4, A3.5, A3.6 | L4: A4.5, A4.6
Boundaries to first check A3.4/A3.5: 2 | to ATM A4.6: 3</t>
  </si>
  <si>
    <t>Total</t>
  </si>
  <si>
    <t>A1.2</t>
  </si>
  <si>
    <t>Share</t>
  </si>
  <si>
    <t>Original set</t>
  </si>
  <si>
    <t>GNSS positioning and timing service</t>
  </si>
  <si>
    <t>Paper Title</t>
  </si>
  <si>
    <t>Added</t>
  </si>
  <si>
    <t>Authors &amp; Year</t>
  </si>
  <si>
    <t>Source of the reported position and one of two inputs that discipline the onboard clocks</t>
  </si>
  <si>
    <t>Publication Venue</t>
  </si>
  <si>
    <t>service</t>
  </si>
  <si>
    <t>Venue Ranking / Quartile</t>
  </si>
  <si>
    <t>Demonstrated in Real-World / Active Exploit</t>
  </si>
  <si>
    <t>Ranking Source (checked 4 Oct 2026)</t>
  </si>
  <si>
    <t>Threat Category</t>
  </si>
  <si>
    <t>external; timing</t>
  </si>
  <si>
    <t>Vulnerability Category</t>
  </si>
  <si>
    <t>2017-08-07</t>
  </si>
  <si>
    <t>Attack Category</t>
  </si>
  <si>
    <t>PUBLISHED</t>
  </si>
  <si>
    <t>Exploitation Feasibility / Status</t>
  </si>
  <si>
    <t>Evidence Basis</t>
  </si>
  <si>
    <t>T1.10, T1.11</t>
  </si>
  <si>
    <t>Crafted Kiss-o'-Death packets let a remote party deny time synchronisation to a client.</t>
  </si>
  <si>
    <t>Key Findings &amp; Empirical Evidence</t>
  </si>
  <si>
    <t>BibTeX Key</t>
  </si>
  <si>
    <t>Domain</t>
  </si>
  <si>
    <t>Evidence Level (E0–E3)</t>
  </si>
  <si>
    <t>Placement in TDSC Draft</t>
  </si>
  <si>
    <t>Source Type</t>
  </si>
  <si>
    <t>Citation</t>
  </si>
  <si>
    <t>Verified Link</t>
  </si>
  <si>
    <t>Link Check (13 Oct 2026)</t>
  </si>
  <si>
    <t>Vulnerability Class</t>
  </si>
  <si>
    <t>Attack Category (normalised)</t>
  </si>
  <si>
    <t>Attack (one line, high level)</t>
  </si>
  <si>
    <t>L4</t>
  </si>
  <si>
    <t>Entry Layer</t>
  </si>
  <si>
    <t>TB3</t>
  </si>
  <si>
    <t>Impact Layer</t>
  </si>
  <si>
    <t>Direction (derived)</t>
  </si>
  <si>
    <t>Yes</t>
  </si>
  <si>
    <t>TB1</t>
  </si>
  <si>
    <t>TB2</t>
  </si>
  <si>
    <t>Timing Dependency</t>
  </si>
  <si>
    <t>Related CVEs</t>
  </si>
  <si>
    <t>CVEs in Register</t>
  </si>
  <si>
    <t>Propagation / Notes</t>
  </si>
  <si>
    <t>Atlas Set</t>
  </si>
  <si>
    <t>Asset basis</t>
  </si>
  <si>
    <t>L1 &gt; L2 &gt; L3 &gt; L4  (4 of 4 layers)
L1: [A1.2], A1.4, A1.5, A1.7 | L2: A2.1, A2.2, A2.4 | L3: A3.1, A3.2, A3.3, A3.4, A3.5, A3.6 | L4: A4.5, A4.6
Boundaries to first check A3.4/A3.5: 2 | to ATM A4.6: 3</t>
  </si>
  <si>
    <t>A1.3</t>
  </si>
  <si>
    <t>Phased-array antenna and RF front end</t>
  </si>
  <si>
    <t>Receives 1090 MHz and forms beams; gives the angle of arrival</t>
  </si>
  <si>
    <t>process</t>
  </si>
  <si>
    <t>---</t>
  </si>
  <si>
    <t>T1.04, T1.07</t>
  </si>
  <si>
    <t>Undermining Privacy in the Aircraft Communications Addressing and Reporting System (ACARS)</t>
  </si>
  <si>
    <t>Smith et al. (2018)</t>
  </si>
  <si>
    <t>Disclosed in source</t>
  </si>
  <si>
    <t>M02; M23; M24</t>
  </si>
  <si>
    <t>Proceedings on Privacy Enhancing Technologies (PoPETs)</t>
  </si>
  <si>
    <t>ICORE2026 A</t>
  </si>
  <si>
    <t>https://www.cve.org/CVERecord?id=CVE-2015-7704</t>
  </si>
  <si>
    <t>ICORE: PETS</t>
  </si>
  <si>
    <t>L1 &gt; L2 &gt; L3 &gt; L4  (4 of 4 layers)
L1: [A1.3], A1.4, A1.7 | L2: A2.1, A2.2, A2.4 | L3: A3.1, A3.3, A3.4, A3.5, A3.6 | L4: A4.5, A4.6
Boundaries to first check A3.4/A3.5: 2 | to ATM A4.6: 3</t>
  </si>
  <si>
    <t>A1.4</t>
  </si>
  <si>
    <t>Payload signal processor and extraction firmware</t>
  </si>
  <si>
    <t>Decodes each emission, measures TOA, FOA and AOA, stamps them with the onboard clock</t>
  </si>
  <si>
    <t>hardware, software</t>
  </si>
  <si>
    <t>T1.09</t>
  </si>
  <si>
    <t>L1 &gt; L2 &gt; L3 &gt; L4  (4 of 4 layers)
L1: [A1.4], A1.7 | L2: A2.1, A2.2, A2.4 | L3: A3.1, A3.3, A3.4, A3.5, A3.6 | L4: A4.5, A4.6
Boundaries to first check A3.4/A3.5: 2 | to ATM A4.6: 3</t>
  </si>
  <si>
    <t>A1.5</t>
  </si>
  <si>
    <t>Onboard clock subsystem</t>
  </si>
  <si>
    <t>Oscillator, GNSS receiver and disciplining filter; origin of the timing dependency</t>
  </si>
  <si>
    <t>process, data store</t>
  </si>
  <si>
    <t>CVE Services API: record PUBLISHED</t>
  </si>
  <si>
    <t>TB0, TB1</t>
  </si>
  <si>
    <t>timing</t>
  </si>
  <si>
    <t>A4.1, A2.3</t>
  </si>
  <si>
    <t>T2.06, T2.07, T4.01</t>
  </si>
  <si>
    <t>Bound Atlas source and asset (T2.06, T2.07); T4.01 by asset match</t>
  </si>
  <si>
    <t>Passive eavesdropper with low-cost SDR; privacy / intelligence motive</t>
  </si>
  <si>
    <t>Design gap: plaintext data link; weak proprietary cipher</t>
  </si>
  <si>
    <t>Eavesdropping; cryptanalysis; traffic analysis</t>
  </si>
  <si>
    <t>L1 &gt; L2 &gt; L3 &gt; L4  (4 of 4 layers)
L1: A1.4, A1.5, A1.6, A1.7 | L2: [A2.3], A2.1, A2.2, A2.4, A2.5 | L3: A3.1, A3.2, A3.3, A3.4, A3.5, A3.6 | L4: [A4.1], A4.5, A4.6
Boundaries to first check A3.4/A3.5: 3 | to ATM A4.6: 4</t>
  </si>
  <si>
    <t>CVE-2015-7705</t>
  </si>
  <si>
    <t>Passive interception of live operational traffic</t>
  </si>
  <si>
    <t>Simulated / Proof-of-Concept</t>
  </si>
  <si>
    <t>Collected live ACARS traffic and broke the weak cipher some operators use, exposing sensitive data on military, government and business flights.</t>
  </si>
  <si>
    <t>L1 &gt; L2 &gt; L3 &gt; L4  (4 of 4 layers)
L1: [A1.5], A1.4, A1.7 | L2: A2.1, A2.2, A2.4 | L3: A3.1, A3.2, A3.3, A3.4, A3.5, A3.6 | L4: A4.5, A4.6
Boundaries to first check A3.4/A3.5: 2 | to ATM A4.6: 3</t>
  </si>
  <si>
    <t>A1.6</t>
  </si>
  <si>
    <t>Smith2018ACARSPrivacy</t>
  </si>
  <si>
    <t>Satellite bus and flight software</t>
  </si>
  <si>
    <t>Computer, flight software and telecommand receiver; hosts and commands the payload</t>
  </si>
  <si>
    <t>Aviation data links</t>
  </si>
  <si>
    <t>T1.12, T1.13, T1.14</t>
  </si>
  <si>
    <t>E3</t>
  </si>
  <si>
    <t>Table 2, [46]</t>
  </si>
  <si>
    <t>Rate-limiting logic can be abused with many crafted requests.</t>
  </si>
  <si>
    <t>Peer-reviewed conference</t>
  </si>
  <si>
    <t>L1 &gt; L2 &gt; L3 &gt; L4  (4 of 4 layers)
L1: [A1.6], A1.4†, A1.5†, A1.7† | L2: A2.1†, A2.2†, A2.4† | L3: A3.1†, A3.2†, A3.3†, A3.4†, A3.5†, A3.6† | L4: A4.5†, A4.6†
Boundaries to first check A3.4/A3.5: 2 | to ATM A4.6: 3</t>
  </si>
  <si>
    <t>A1.7</t>
  </si>
  <si>
    <t>Ground-station antennas and modems</t>
  </si>
  <si>
    <t>Receive downlinks and transmit telecommands</t>
  </si>
  <si>
    <t>T1.15, T1.16</t>
  </si>
  <si>
    <t>https://www.cve.org/CVERecord?id=CVE-2015-7705</t>
  </si>
  <si>
    <t>L1 &gt; L3 &gt; L4</t>
  </si>
  <si>
    <t>https://doi.org/10.1515/popets-2018-0023</t>
  </si>
  <si>
    <t>L1 &gt; L3 &gt; L4  (3 of 4 layers)
L1: [A1.7] | L3: A3.1, A3.3, A3.4, A3.5, A3.6 | L4: A4.5, A4.6
Boundaries to first check A3.4/A3.5: 2 | to ATM A4.6: 3</t>
  </si>
  <si>
    <t>A2.1</t>
  </si>
  <si>
    <t>Observable reports</t>
  </si>
  <si>
    <t>L2</t>
  </si>
  <si>
    <t>TOA, FOA, AOA, decoded message and clock-quality metadata of one reception</t>
  </si>
  <si>
    <t>data</t>
  </si>
  <si>
    <t>data flow</t>
  </si>
  <si>
    <t>TB1, TB2</t>
  </si>
  <si>
    <t>T2.01, T2.02, T2.03</t>
  </si>
  <si>
    <t>Theoretical / Unexploited</t>
  </si>
  <si>
    <t>DOI metadata checked 13 Oct 2026 (OpenAlex): title matches</t>
  </si>
  <si>
    <t>Protocol design gap</t>
  </si>
  <si>
    <t>L1 &gt; L2 &gt; L3 &gt; L4  (4 of 4 layers)
L1: A1.7 | L2: [A2.1], A2.2, A2.4 | L3: A3.1, A3.3, A3.4, A3.5, A3.6 | L4: A4.5, A4.6
Boundaries to first check A3.4/A3.5: 1 | to ATM A4.6: 2</t>
  </si>
  <si>
    <t>A2.2</t>
  </si>
  <si>
    <t>Inter-satellite link terminals and crosslinks</t>
  </si>
  <si>
    <t>Relay reports toward a satellite in view of a ground station</t>
  </si>
  <si>
    <t>link</t>
  </si>
  <si>
    <t>Eavesdropping / traffic analysis</t>
  </si>
  <si>
    <t>Passive SDR reception of ACARS traffic and recovery of weakly enciphered messages.</t>
  </si>
  <si>
    <t>T2.04, T2.05</t>
  </si>
  <si>
    <t>L2 · Aeronautical data links (ACARS, CPDLC, ADS-C, LDACS)</t>
  </si>
  <si>
    <t>CVE-2015-5300</t>
  </si>
  <si>
    <t>&lt; 4.2.8p5</t>
  </si>
  <si>
    <t>L1 &gt; L2 &gt; L3 &gt; L4  (4 of 4 layers)
L1: A1.7 | L2: [A2.2], A2.4 | L3: A3.1, A3.3, A3.4, A3.5, A3.6 | L4: A4.5, A4.6
Boundaries to first check A3.4/A3.5: 1 | to ATM A4.6: 2</t>
  </si>
  <si>
    <t>A2.3</t>
  </si>
  <si>
    <t>PTP time-transfer messages</t>
  </si>
  <si>
    <t>Carry time between satellites; second input to A1.5</t>
  </si>
  <si>
    <t>2017-07-21</t>
  </si>
  <si>
    <t>T2.06, T2.07</t>
  </si>
  <si>
    <t>Flawed panic-gate logic lets a trusted-source attacker shift the system clock.</t>
  </si>
  <si>
    <t>L1 &gt; L2 &gt; L3 &gt; L4  (4 of 4 layers)
L1: A1.4, A1.5, A1.7 | L2: [A2.3], A2.1, A2.2, A2.4 | L3: A3.1, A3.2, A3.3, A3.4, A3.5, A3.6 | L4: A4.5, A4.6
Boundaries to first check A3.4/A3.5: 3 | to ATM A4.6: 4</t>
  </si>
  <si>
    <t>A2.4</t>
  </si>
  <si>
    <t>Downlink channel and ground backhaul network</t>
  </si>
  <si>
    <t>Carry reports from orbit to the Central Processing Station</t>
  </si>
  <si>
    <t>T2.08, T2.09, T2.12</t>
  </si>
  <si>
    <t>https://www.cve.org/CVERecord?id=CVE-2015-5300</t>
  </si>
  <si>
    <t>2. Entries by source type</t>
  </si>
  <si>
    <t>Source type</t>
  </si>
  <si>
    <t>Entries</t>
  </si>
  <si>
    <t>PoC (E1-E2)</t>
  </si>
  <si>
    <t>Theoretical (E0)</t>
  </si>
  <si>
    <t>L1 &gt; L2 &gt; L3 &gt; L4  (4 of 4 layers)
L1: A1.7 | L2: [A2.4] | L3: A3.1, A3.3, A3.4, A3.5, A3.6 | L4: A4.5, A4.6
Boundaries to first check A3.4/A3.5: 1 | to ATM A4.6: 2</t>
  </si>
  <si>
    <t>Peer-reviewed journal</t>
  </si>
  <si>
    <t>A2.5</t>
  </si>
  <si>
    <t>Telecommands and software-update packages</t>
  </si>
  <si>
    <t>Carry commands, configuration and firmware to the satellites</t>
  </si>
  <si>
    <t>TB1-TB3</t>
  </si>
  <si>
    <t>T2.10, T2.11</t>
  </si>
  <si>
    <t>CVE-2015-8138</t>
  </si>
  <si>
    <t>&lt; 4.2.8p6; 4.3.x &lt; 4.3.90</t>
  </si>
  <si>
    <t>2017-01-30</t>
  </si>
  <si>
    <t>Origin-timestamp check can be bypassed with a zero timestamp.</t>
  </si>
  <si>
    <t>L1 &gt; L2 &gt; L3 &gt; L4  (4 of 4 layers)
L1: A1.4†, A1.5†, A1.6, A1.7† | L2: [A2.5], A2.1†, A2.2†, A2.4† | L3: A3.1†, A3.2†, A3.3†, A3.4†, A3.5†, A3.6† | L4: A4.5†, A4.6†
Boundaries to first check A3.4/A3.5: 3 | to ATM A4.6: 4</t>
  </si>
  <si>
    <t>A3.1</t>
  </si>
  <si>
    <t>Measurement-association module</t>
  </si>
  <si>
    <t>L3</t>
  </si>
  <si>
    <t>Groups the receptions of one transmission across satellites</t>
  </si>
  <si>
    <t>software</t>
  </si>
  <si>
    <t>T3.01</t>
  </si>
  <si>
    <t>Related (same ntpd attack surface)</t>
  </si>
  <si>
    <t>https://www.cve.org/CVERecord?id=CVE-2015-8138</t>
  </si>
  <si>
    <t>L3 &gt; L4</t>
  </si>
  <si>
    <t>L3 &gt; L4  (2 of 4 layers)
L3: [A3.1], A3.3, A3.4, A3.5, A3.6 | L4: A4.5, A4.6
Boundaries to first check A3.4/A3.5: 0 (an origin is a check) | to ATM A4.6: 1</t>
  </si>
  <si>
    <t>A3.2</t>
  </si>
  <si>
    <t>Ephemeris and clock-state database</t>
  </si>
  <si>
    <t>Holds satellite positions, velocities and clock states for the solver</t>
  </si>
  <si>
    <t>data store</t>
  </si>
  <si>
    <t>CVE-2016-1547</t>
  </si>
  <si>
    <t>T3.03</t>
  </si>
  <si>
    <t>NTP Project / ntpd; NTPsec</t>
  </si>
  <si>
    <t>ntpd 4.2.8p3-p4; NTPsec commit a5fb34b</t>
  </si>
  <si>
    <t>2017-01-06</t>
  </si>
  <si>
    <t>Off-path forged crypto-NAK can tear down a preemptible association even with authentication.</t>
  </si>
  <si>
    <t>L3 &gt; L4  (2 of 4 layers)
L3: [A3.2], A3.3, A3.4, A3.5, A3.6 | L4: A4.5, A4.6
Boundaries to first check A3.4/A3.5: 0 (an origin is a check) | to ATM A4.6: 1</t>
  </si>
  <si>
    <t>A3.3</t>
  </si>
  <si>
    <t>Localisation solver, EKF/IMM tracker and track database</t>
  </si>
  <si>
    <t>Computes each position and maintains the track</t>
  </si>
  <si>
    <t>software, data</t>
  </si>
  <si>
    <t>T3.03, T3.04, T3.05, T3.07, T3.11</t>
  </si>
  <si>
    <t>None</t>
  </si>
  <si>
    <t>https://www.cve.org/CVERecord?id=CVE-2016-1547</t>
  </si>
  <si>
    <t>M22</t>
  </si>
  <si>
    <t>Confidentiality only; no integrity effect on surveillance.</t>
  </si>
  <si>
    <t>Peer-reviewed workshop</t>
  </si>
  <si>
    <t>Original review set</t>
  </si>
  <si>
    <t>L3 &gt; L4  (2 of 4 layers)
L3: [A3.3], A3.4, A3.5, A3.6 | L4: A4.5, A4.6
Boundaries to first check A3.4/A3.5: 0 (an origin is a check) | to ATM A4.6: 1</t>
  </si>
  <si>
    <t>A4.3</t>
  </si>
  <si>
    <t>A3.4</t>
  </si>
  <si>
    <t>Integrity-monitoring module</t>
  </si>
  <si>
    <t>Bound threats: T4.04</t>
  </si>
  <si>
    <t>Residual and consistency tests on each solution</t>
  </si>
  <si>
    <t>Contained: disclosure only, no downstream state change.
Exposure at L4: [A4.3]</t>
  </si>
  <si>
    <t>T3.02, T3.06</t>
  </si>
  <si>
    <t>CVE-2021-3570</t>
  </si>
  <si>
    <t>A Tale of Sea and Sky: On the Security of Maritime VSAT Communications</t>
  </si>
  <si>
    <t>Pavur et al. (2020)</t>
  </si>
  <si>
    <t>linuxptp / ptp4l</t>
  </si>
  <si>
    <t>IEEE Symposium on Security and Privacy (S&amp;P)</t>
  </si>
  <si>
    <t>before 3.1.1, 2.0.1, 1.9.3, 1.8.1, 1.7.1, 1.6.1, 1.5.1</t>
  </si>
  <si>
    <t>ICORE2026 A*</t>
  </si>
  <si>
    <t>CWE-119</t>
  </si>
  <si>
    <t>ICORE: SP</t>
  </si>
  <si>
    <t>2021-07-09</t>
  </si>
  <si>
    <t>Missing length check when forwarding PTP messages between ports.</t>
  </si>
  <si>
    <t>L3 &gt; L4  (2 of 4 layers)
L3: [A3.4], A3.6 | L4: A4.5, A4.6
Boundaries to first check A3.4/A3.5: 0 (an origin is a check) | to ATM A4.6: 1</t>
  </si>
  <si>
    <t>A3.5</t>
  </si>
  <si>
    <t>E-MLAT/ADS-B cross-check module</t>
  </si>
  <si>
    <t>Compares the independent position with the broadcast one and sets the integrity indicator</t>
  </si>
  <si>
    <t>T3.06, T3.07, T3.08</t>
  </si>
  <si>
    <t>Passive eavesdropper with consumer satellite-TV equipment</t>
  </si>
  <si>
    <t>Architectural weakness: unencrypted VSAT links; insecure default configurations</t>
  </si>
  <si>
    <t>Related (PTP implementation flaw)</t>
  </si>
  <si>
    <t>M03; M24</t>
  </si>
  <si>
    <t>Eavesdropping; TCP session hijacking</t>
  </si>
  <si>
    <t>https://www.cve.org/CVERecord?id=CVE-2021-3570</t>
  </si>
  <si>
    <t>Passive interception of live third-party traffic; TCP hijack executed only on the authors' own connection over the live network</t>
  </si>
  <si>
    <t>Preprint / unconfirmed venue</t>
  </si>
  <si>
    <t>Intercepted live maritime VSAT traffic across a wide footprint with under $400 of equipment and recovered sensitive data; demonstrated TCP session hijacking against their own connection without touching vessel traffic.</t>
  </si>
  <si>
    <t>Pavur2020VSAT</t>
  </si>
  <si>
    <t>Satellite &amp; space</t>
  </si>
  <si>
    <t>Table 2, [50]</t>
  </si>
  <si>
    <t>L3 &gt; L4  (2 of 4 layers)
L3: [A3.5], A3.6 | L4: A4.5, A4.6
Boundaries to first check A3.4/A3.5: 0 (an origin is a check) | to ATM A4.6: 1</t>
  </si>
  <si>
    <t>A3.6</t>
  </si>
  <si>
    <t>ASTERIX report encoder and gateway</t>
  </si>
  <si>
    <t>Encodes CAT020/021 reports with their integrity annotation for ATM</t>
  </si>
  <si>
    <t>T3.09, T3.10</t>
  </si>
  <si>
    <t>https://doi.org/10.1109/SP40000.2020.00056</t>
  </si>
  <si>
    <t>CVE-2021-3571</t>
  </si>
  <si>
    <t>before 3.1.1, 2.0.1</t>
  </si>
  <si>
    <t>Crafted one-step sync message to a transparent clock can leak memory or crash ptp4l.</t>
  </si>
  <si>
    <t>none (bypasses the checks)</t>
  </si>
  <si>
    <t>L3 &gt; L4  (2 of 4 layers)
L3: [A3.6] | L4: A4.5, A4.6
Boundaries to first check A3.4/A3.5: none (bypasses A3.4/A3.5) | to ATM A4.6: 1</t>
  </si>
  <si>
    <t>Conference talk / event (non-peer-reviewed)</t>
  </si>
  <si>
    <t>A3.7</t>
  </si>
  <si>
    <t>Central Processing Station computing platform</t>
  </si>
  <si>
    <t>Passive interception of unencrypted maritime VSAT traffic; session hijack shown only on the authors' own link.</t>
  </si>
  <si>
    <t>Servers, operating system and virtualisation hosting A3.1-A3.6</t>
  </si>
  <si>
    <t>host</t>
  </si>
  <si>
    <t>TB2, TB3</t>
  </si>
  <si>
    <t>L2 · SATCOM broadband links</t>
  </si>
  <si>
    <t>hosting</t>
  </si>
  <si>
    <t>T3.12</t>
  </si>
  <si>
    <t>https://www.cve.org/CVERecord?id=CVE-2021-3571</t>
  </si>
  <si>
    <t>L3 &gt; L4  (2 of 4 layers)
L3: [A3.7], A3.1, A3.2, A3.3, A3.4, A3.5, A3.6 | L4: A4.5, A4.6
Boundaries to first check A3.4/A3.5: 0 (an origin is a check) | to ATM A4.6: 1</t>
  </si>
  <si>
    <t>A4.1</t>
  </si>
  <si>
    <t>Synchronisation policy and time-reference service</t>
  </si>
  <si>
    <t>Fixes the time scale, PTP policy and GNSS-PTP conformance thresholds used by A1.5</t>
  </si>
  <si>
    <t>service, data</t>
  </si>
  <si>
    <t>T4.01, T4.14</t>
  </si>
  <si>
    <t>M13</t>
  </si>
  <si>
    <t>Same eavesdropping class as space-to-ground downlinks.</t>
  </si>
  <si>
    <t>Bound threats: T2.08</t>
  </si>
  <si>
    <t>Contained: disclosure only, no downstream state change.
Exposure at L2: [A2.4]</t>
  </si>
  <si>
    <t>CVE-2022-40022</t>
  </si>
  <si>
    <t>Microchip (Microsemi) SyncServer S650</t>
  </si>
  <si>
    <t>per description</t>
  </si>
  <si>
    <t>CWE-77</t>
  </si>
  <si>
    <t>Experimental Analysis of Attacks on Next Generation Air Traffic Communication</t>
  </si>
  <si>
    <t>CVSS 3.1, CISA-ADP</t>
  </si>
  <si>
    <t>2023-02-13</t>
  </si>
  <si>
    <t>Command injection in a network time-server appliance.</t>
  </si>
  <si>
    <t>Schäfer, Lenders &amp; Martinovic (2013)</t>
  </si>
  <si>
    <t>L1 &gt; L2 &gt; L3 &gt; L4  (4 of 4 layers)
L1: A1.4†, A1.5†, A1.6, A1.7† | L2: A2.1†, A2.2†, A2.3†, A2.4†, A2.5 | L3: A3.1†, A3.2†, A3.3†, A3.4†, A3.5†, A3.6† | L4: [A4.1], A4.5†, A4.6†
Boundaries to first check A3.4/A3.5: 5 | to ATM A4.6: 6</t>
  </si>
  <si>
    <t>Applied Cryptography and Network Security (ACNS)</t>
  </si>
  <si>
    <t>A4.2</t>
  </si>
  <si>
    <t>Orbit-determination system and ephemeris products</t>
  </si>
  <si>
    <t>ICORE2026 B</t>
  </si>
  <si>
    <t>Produces the satellite ephemerides for A3.2</t>
  </si>
  <si>
    <t>Government / regulator advisory</t>
  </si>
  <si>
    <t>ICORE: ACNS</t>
  </si>
  <si>
    <t>T4.02, T4.03</t>
  </si>
  <si>
    <t>No Atlas source (timing infrastructure)</t>
  </si>
  <si>
    <t>M24; M23</t>
  </si>
  <si>
    <t>https://www.cve.org/CVERecord?id=CVE-2022-40022</t>
  </si>
  <si>
    <t>L3 &gt; L4  (2 of 4 layers)
L3: A3.2, A3.3, A3.4, A3.5, A3.6 | L4: [A4.2], A4.5, A4.6
Boundaries to first check A3.4/A3.5: 1 | to ATM A4.6: 2</t>
  </si>
  <si>
    <t>Key-management system and credential store</t>
  </si>
  <si>
    <t>Holds and distributes keys for telecommand, ISLs and ground links</t>
  </si>
  <si>
    <t>Low-budget attacker with COTS SDR; no insider access</t>
  </si>
  <si>
    <t>Inherent protocol flaw: unauthenticated, unencrypted ADS-B broadcast</t>
  </si>
  <si>
    <t>Ghost injection; flooding; jamming; message deletion / modification; eavesdropping</t>
  </si>
  <si>
    <t>T4.04, T4.05, T4.14</t>
  </si>
  <si>
    <t>Real hardware, controlled setting</t>
  </si>
  <si>
    <t>Showed inexpensive SDR equipment can execute the main ADS-B attacks against real receivers, establishing practical feasibility outside operational ATC.</t>
  </si>
  <si>
    <t>Schafer2013ExperimentalADSB</t>
  </si>
  <si>
    <t>T4.01</t>
  </si>
  <si>
    <t>Asset match; no Atlas source (timing infrastructure)</t>
  </si>
  <si>
    <t>Aviation surveillance (ADS-B / MLAT)</t>
  </si>
  <si>
    <t>E2</t>
  </si>
  <si>
    <t>CVE-2026-3893</t>
  </si>
  <si>
    <t>L1 &gt; L2 &gt; L3 &gt; L4  (4 of 4 layers)
L1: A1.4†, A1.5†, A1.6, A1.7† | L2: A2.1†, A2.2†, A2.4†, A2.5 | L3: A3.1†, A3.2†, A3.3†, A3.4†, A3.5†, A3.6† | L4: [A4.3], A4.5†, A4.6†
Boundaries to first check A3.4/A3.5: 5 | to ATM A4.6: 6</t>
  </si>
  <si>
    <t>A4.4</t>
  </si>
  <si>
    <t>Table 1, [4]</t>
  </si>
  <si>
    <t>L1 · GNSS receiver / onboard clock</t>
  </si>
  <si>
    <t>Configuration and software-update management system</t>
  </si>
  <si>
    <t>Carlson Software / VASCO-B GNSS receiver</t>
  </si>
  <si>
    <t>Holds filter parameters, integrity thresholds and firmware baselines; issues updates via A2.5</t>
  </si>
  <si>
    <t>&lt; 1.4.0</t>
  </si>
  <si>
    <t>CWE-306</t>
  </si>
  <si>
    <t>Documented incident report</t>
  </si>
  <si>
    <t>T4.06, T4.07, T4.13</t>
  </si>
  <si>
    <t>CVSS 3.1, CNA (icscert)</t>
  </si>
  <si>
    <t>2026-04-28</t>
  </si>
  <si>
    <t>No authentication on the receiver's network interface; configuration can be read and changed.</t>
  </si>
  <si>
    <t>https://doi.org/10.1007/978-3-642-38980-1_16</t>
  </si>
  <si>
    <t>L1 &gt; L2 &gt; L3 &gt; L4  (4 of 4 layers)
L1: A1.4†, A1.5†, A1.6, A1.7† | L2: A2.1†, A2.2†, A2.4†, A2.5 | L3: A3.1†, A3.2†, A3.3†, A3.4, A3.5†, A3.6 | L4: [A4.4], A4.5, A4.6
Boundaries to first check A3.4/A3.5: 1 | to ATM A4.6: 2</t>
  </si>
  <si>
    <t>A4.5</t>
  </si>
  <si>
    <t>Surveillance data feed to ATM</t>
  </si>
  <si>
    <t>Delivers target reports and integrity annotations to ATM</t>
  </si>
  <si>
    <t>No Atlas source (ground GNSS receiver)</t>
  </si>
  <si>
    <t>TB0, TB3</t>
  </si>
  <si>
    <t>M24; M12</t>
  </si>
  <si>
    <t>https://www.cve.org/CVERecord?id=CVE-2026-3893</t>
  </si>
  <si>
    <t>T4.08, T4.09, T4.11</t>
  </si>
  <si>
    <t>Spoofing / injection</t>
  </si>
  <si>
    <t>Injection of forged ADS-B messages and jamming against real receivers with COTS SDR.</t>
  </si>
  <si>
    <t>L1 · Transponder signals &amp; satellite receivers (ADS-B / Mode S)</t>
  </si>
  <si>
    <t>L4  (1 of 4 layers)
L4: [A4.5], A4.6
Boundaries to first check A3.4/A3.5: none (bypasses A3.4/A3.5) | to ATM A4.6: 0</t>
  </si>
  <si>
    <t>A4.6</t>
  </si>
  <si>
    <t>ATM surveillance system and controller working position</t>
  </si>
  <si>
    <t>Consumes the picture; the place where the consequence of an attack is realised</t>
  </si>
  <si>
    <t>CISA ICS advisory ICSA-26-113-02</t>
  </si>
  <si>
    <t>Asset match; analogue (ground-grade GNSS receiver), no Atlas source</t>
  </si>
  <si>
    <t>T4.10</t>
  </si>
  <si>
    <t>CVE-2014-2941</t>
  </si>
  <si>
    <t>L1 · SATCOM user terminal</t>
  </si>
  <si>
    <t>Cobham / Sailor 6000 SATCOM terminals</t>
  </si>
  <si>
    <t>n/a in record</t>
  </si>
  <si>
    <t>2014-08-15</t>
  </si>
  <si>
    <t>Hard-coded credentials on a maritime satellite terminal.</t>
  </si>
  <si>
    <t>No</t>
  </si>
  <si>
    <t>L4  (1 of 4 layers)
L4: [A4.6]
Boundaries to first check A3.4/A3.5: none (bypasses A3.4/A3.5) | to ATM A4.6: 0</t>
  </si>
  <si>
    <t>A4.7</t>
  </si>
  <si>
    <t>Operator personnel and suppliers</t>
  </si>
  <si>
    <t>M15; M17; M21</t>
  </si>
  <si>
    <t>Hold authorised access to L3 and L4 assets</t>
  </si>
  <si>
    <t>Would reach L3 association if not filtered.</t>
  </si>
  <si>
    <t>people</t>
  </si>
  <si>
    <t>A1.1, A1.3</t>
  </si>
  <si>
    <t>Bound threats: T1.01, T1.02, T1.04, T1.07</t>
  </si>
  <si>
    <t>T4.12, T4.13</t>
  </si>
  <si>
    <t>L1 &gt; L2 &gt; L3 &gt; L4  (4 of 4 layers)
L1: [A1.1], [A1.3], A1.4, A1.7 | L2: A2.1, A2.2, A2.4 | L3: A3.1, A3.3, A3.4, A3.5, A3.6 | L4: A4.5, A4.6
Boundaries to first check A3.4/A3.5: 2 | to ATM A4.6: 3</t>
  </si>
  <si>
    <t>M06; M24</t>
  </si>
  <si>
    <t>https://www.cve.org/CVERecord?id=CVE-2014-2941</t>
  </si>
  <si>
    <t>Assessing the Spoofing Threat: Development of a Portable GPS Civilian Spoofer</t>
  </si>
  <si>
    <t>Humphreys et al. (2008)</t>
  </si>
  <si>
    <t>ION GNSS</t>
  </si>
  <si>
    <t>Not ICORE-ranked</t>
  </si>
  <si>
    <t>Not in ICORE2026 list</t>
  </si>
  <si>
    <t>L1 &gt; L2 &gt; L3 &gt; L4  (4 of 4 layers)
L1: A1.4†, A1.5†, A1.6, A1.7† | L2: A2.1†, A2.2†, A2.3†, A2.4†, A2.5 | L3: A3.1, A3.2, A3.3, A3.4, A3.5, A3.6, A3.7 | L4: [A4.7], A4.1, A4.2, A4.3, A4.4, A4.5, A4.6, A4.8
Boundaries to first check A3.4/A3.5: 1 | to ATM A4.6: 2</t>
  </si>
  <si>
    <t>A4.8</t>
  </si>
  <si>
    <t>Mission-operations centre and management network</t>
  </si>
  <si>
    <t>Workstations, remote access, management network and audit logs hosting A4.1-A4.4</t>
  </si>
  <si>
    <t>Record tagged DISPUTED (vendor).</t>
  </si>
  <si>
    <t>T1.15</t>
  </si>
  <si>
    <t>Bound Atlas source and asset</t>
  </si>
  <si>
    <t>T4.06, T4.07, T4.12, T4.15</t>
  </si>
  <si>
    <t>CVE-2014-2942</t>
  </si>
  <si>
    <t>Moderately resourced attacker building a receiver-spoofer</t>
  </si>
  <si>
    <t>Design gap: unauthenticated civil GPS signals</t>
  </si>
  <si>
    <t>GNSS spoofing (signal takeover / carry-off)</t>
  </si>
  <si>
    <t>Cobham / Aviator 700D, 700E SATCOM terminals</t>
  </si>
  <si>
    <t>Test receiver</t>
  </si>
  <si>
    <t>Built a portable spoofer that tracks live signals and smoothly captures a target receiver; simple consistency checks fail to detect it.</t>
  </si>
  <si>
    <t>Humphreys2008GPSSpoofer</t>
  </si>
  <si>
    <t>GNSS</t>
  </si>
  <si>
    <t>2014-09-22</t>
  </si>
  <si>
    <t>Table 1, [29]</t>
  </si>
  <si>
    <t>Weak PIN algorithm lets the superuser code be derived.</t>
  </si>
  <si>
    <t>L1 &gt; L2 &gt; L3 &gt; L4  (4 of 4 layers)
L1: A1.4†, A1.5†, A1.6, A1.7† | L2: A2.1†, A2.2†, A2.3†, A2.4†, A2.5 | L3: A3.1†, A3.2, A3.3, A3.4, A3.5, A3.6 | L4: [A4.8], A4.1, A4.2, A4.3, A4.4, A4.5, A4.6
Boundaries to first check A3.4/A3.5: 1 | to ATM A4.6: 2</t>
  </si>
  <si>
    <t>https://www.ion.org/publications/abstract.cfm?articleID=8132</t>
  </si>
  <si>
    <t>Total / coverage</t>
  </si>
  <si>
    <t>https://www.cve.org/CVERecord?id=CVE-2014-2942</t>
  </si>
  <si>
    <t>Page fetched 13 Oct 2026: title matches</t>
  </si>
  <si>
    <t>Receiver-spoofer that captures a civil GPS receiver's position and time solution.</t>
  </si>
  <si>
    <t>Replaces duplicate CVE-2014-2943.</t>
  </si>
  <si>
    <t>CVE-2014-2964</t>
  </si>
  <si>
    <t>Direct</t>
  </si>
  <si>
    <t>Fixed passwords allow privilege elevation with local serial access.</t>
  </si>
  <si>
    <t>I is the number of catalogue threats acting on the asset (a threat with two assets counts once for each). K and L are the numbers of Atlas sources and CVEs mapped to the asset; in the total row they count assets with at least one.</t>
  </si>
  <si>
    <t>M01; M12; M18; M19; M23</t>
  </si>
  <si>
    <t>Threatens any GNSS-disciplined clock in the sync chain.</t>
  </si>
  <si>
    <t>K counts a source when a threat bound to it acts on the asset (Binding sheet of the Extended Threat Catalogue); sources bound to no threat use their group default (GNSS group: A1.2, A1.5; transponder group: A1.1, A1.3) and are marked as such in Threat Atlas column AM.</t>
  </si>
  <si>
    <t>A1.2, A1.5</t>
  </si>
  <si>
    <t>Bound threats: T1.11</t>
  </si>
  <si>
    <t>L1 &gt; L2 &gt; L3 &gt; L4  (4 of 4 layers)
L1: [A1.2], [A1.5], A1.4, A1.7 | L2: A2.1, A2.2, A2.4 | L3: A3.1, A3.2, A3.3, A3.4, A3.5, A3.6 | L4: A4.5, A4.6
Boundaries to first check A3.4/A3.5: 2 | to ATM A4.6: 3</t>
  </si>
  <si>
    <t>L3 assets A3.1, A3.2, A3.4 and A3.6 have no published source and no CVE: their threats (T3.01, T3.02, T3.03, T3.06, T3.09, T3.10) are postulated in the catalogue. A3.3, A3.5 and A3.7 are reached by sources #5, #6, #20 and #65. No CVE in the register targets an L3 asset (the CPS software is proprietary).</t>
  </si>
  <si>
    <t>Investigation of Multi-device Location Spoofing Attacks on Air Traffic Control and Possible Countermeasures</t>
  </si>
  <si>
    <t>Propagation follows the effect-transfer graph of the paper and is an upper bound on what can be reached; whether an integrity check stops it is what rho_det and the stealth window measure in the catalogue.</t>
  </si>
  <si>
    <t>Moser et al. (2016)</t>
  </si>
  <si>
    <t>ACM MobiCom</t>
  </si>
  <si>
    <t>ICORE: MOBICOM</t>
  </si>
  <si>
    <t>https://www.cve.org/CVERecord?id=CVE-2014-2964</t>
  </si>
  <si>
    <t>Strong attacker with multiple time-synchronised transmitters</t>
  </si>
  <si>
    <t>Architectural weakness: MLAT / TDOA verification assumes a single emitter</t>
  </si>
  <si>
    <t>Multi-device location spoofing defeating multilateration</t>
  </si>
  <si>
    <t>CVE-2025-28380</t>
  </si>
  <si>
    <t>L4 · Ground segment C2, mission control &amp; keys</t>
  </si>
  <si>
    <t>Real COTS SDR hardware; attack launched against the live OpenSky Network (crowdsourced, non-ATC)</t>
  </si>
  <si>
    <t>OpenC3 COSMOS (ground C2)</t>
  </si>
  <si>
    <t>Built a multi-device attack from COTS SDRs and launched it against the OpenSky Network: timing errors of distributed spoofed signals were indistinguishable from a genuine single emitter. Frequency offset and transient phase noise detect multi-source spoofing.</t>
  </si>
  <si>
    <t>&lt; 6.0.2</t>
  </si>
  <si>
    <t>Moser2016MultiDevice</t>
  </si>
  <si>
    <t>CWE-79</t>
  </si>
  <si>
    <t>Table 1, [9]</t>
  </si>
  <si>
    <t>2025-06-13</t>
  </si>
  <si>
    <t>Cross-site scripting via a URL parameter.</t>
  </si>
  <si>
    <t>Industry / NGO report</t>
  </si>
  <si>
    <t>https://doi.org/10.1145/2973750.2973763</t>
  </si>
  <si>
    <t>M24; M10; M13</t>
  </si>
  <si>
    <t>https://www.cve.org/CVERecord?id=CVE-2025-28380</t>
  </si>
  <si>
    <t>Architectural weakness</t>
  </si>
  <si>
    <t>Time-synchronised multi-transmitter spoofing that looks consistent to multilateration.</t>
  </si>
  <si>
    <t>T4.15</t>
  </si>
  <si>
    <t>CVE-2025-28381</t>
  </si>
  <si>
    <t>CWE-526</t>
  </si>
  <si>
    <t>Service secrets exposed through environment variables across containers.</t>
  </si>
  <si>
    <t>M15; M16; M17</t>
  </si>
  <si>
    <t>Directly relevant to MLAT-B: defeats TDOA consistency checks.</t>
  </si>
  <si>
    <t>A1.1, A3.3, A3.5</t>
  </si>
  <si>
    <t>Bound threats: T1.05, T1.06, T3.07, T3.08</t>
  </si>
  <si>
    <t>L1 &gt; L2 &gt; L3 &gt; L4  (4 of 4 layers)
L1: [A1.1], A1.3, A1.4, A1.7 | L2: A2.1, A2.2, A2.4 | L3: [A3.3], [A3.5], A3.1, A3.4, A3.6 | L4: A4.5, A4.6
Boundaries to first check A3.4/A3.5: 0 (an origin is a check) | to ATM A4.6: 1</t>
  </si>
  <si>
    <t>Secure Track Verification</t>
  </si>
  <si>
    <t>Schäfer, Lenders &amp; Schmitt (2015)</t>
  </si>
  <si>
    <t>ADS-B injector including multi-device attackers</t>
  </si>
  <si>
    <t>Protocol flaw: self-reported positions unauthenticated</t>
  </si>
  <si>
    <t>Location spoofing; ghost-track injection</t>
  </si>
  <si>
    <t>https://www.cve.org/CVERecord?id=CVE-2025-28381</t>
  </si>
  <si>
    <t>Attacks modelled on real sensor data</t>
  </si>
  <si>
    <t>Verifying a track over time with few TDOA receivers detects spoofing that single-snapshot MLAT misses; evaluated on real OpenSky data.</t>
  </si>
  <si>
    <t>Schafer2015SecureTrack</t>
  </si>
  <si>
    <t>E1</t>
  </si>
  <si>
    <t>Table 1, [36]</t>
  </si>
  <si>
    <t>https://doi.org/10.1109/SP.2015.20</t>
  </si>
  <si>
    <t>3. Entries, evidence, CVEs and mitigations by PRISM-LEO layer</t>
  </si>
  <si>
    <t>Entry layer</t>
  </si>
  <si>
    <t>Impact layer</t>
  </si>
  <si>
    <t>CVE-2025-28382</t>
  </si>
  <si>
    <t>Impact, E2-E3</t>
  </si>
  <si>
    <t>Impact, E3 only</t>
  </si>
  <si>
    <t>CVEs (component)</t>
  </si>
  <si>
    <t>Mitigations (primary)</t>
  </si>
  <si>
    <t>&lt; 6.1.0</t>
  </si>
  <si>
    <t>CWE-22</t>
  </si>
  <si>
    <t>L1 Physical &amp; Infrastructure</t>
  </si>
  <si>
    <t>Location spoofing that evades single-snapshot MLAT checks; countered by track-level TDOA verification.</t>
  </si>
  <si>
    <t>Path traversal in the tables API.</t>
  </si>
  <si>
    <t>https://www.cve.org/CVERecord?id=CVE-2025-28382</t>
  </si>
  <si>
    <t>M15</t>
  </si>
  <si>
    <t>A1.1, A1.4, A3.3, A3.5</t>
  </si>
  <si>
    <t>Bound threats: T1.03, T1.05, T1.09, T3.07, T3.08</t>
  </si>
  <si>
    <t>L1 &gt; L2 &gt; L3 &gt; L4  (4 of 4 layers)
L1: [A1.1], [A1.4], A1.3, A1.7 | L2: A2.1, A2.2, A2.4 | L3: [A3.3], [A3.5], A3.1, A3.4, A3.6 | L4: A4.5, A4.6
Boundaries to first check A3.4/A3.5: 0 (an origin is a check) | to ATM A4.6: 1</t>
  </si>
  <si>
    <t>Intrusion Detection for Airborne Communication Using PHY-Layer Information</t>
  </si>
  <si>
    <t>Strohmeier, Lenders &amp; Martinovic (2015)</t>
  </si>
  <si>
    <t>DIMVA (LNCS)</t>
  </si>
  <si>
    <t>ICORE: DIMVA</t>
  </si>
  <si>
    <t>Ground-based SDR injector</t>
  </si>
  <si>
    <t>CVE-2025-28384</t>
  </si>
  <si>
    <t>Protocol flaw: unauthenticated broadcast</t>
  </si>
  <si>
    <t>Message injection</t>
  </si>
  <si>
    <t>Emulated attacks on real data</t>
  </si>
  <si>
    <t>Physical-layer features such as signal strength separate injected messages from genuine aircraft with high detection rates.</t>
  </si>
  <si>
    <t>Strohmeier2015PHYIDS</t>
  </si>
  <si>
    <t>Table 1, [35]</t>
  </si>
  <si>
    <t>Path traversal in the script API.</t>
  </si>
  <si>
    <t>https://doi.org/10.1007/978-3-319-20550-2_4</t>
  </si>
  <si>
    <t>L2 Data &amp; Communication</t>
  </si>
  <si>
    <t>https://www.cve.org/CVERecord?id=CVE-2025-28384</t>
  </si>
  <si>
    <t>Ground-based injection of ADS-B messages, flagged using physical-layer features.</t>
  </si>
  <si>
    <t>CVE-2025-28386</t>
  </si>
  <si>
    <t>6.0.0</t>
  </si>
  <si>
    <t>CWE-94</t>
  </si>
  <si>
    <t>Code execution via a crafted file in the plugin manager.</t>
  </si>
  <si>
    <t>M17</t>
  </si>
  <si>
    <t>Bound threats: T1.02</t>
  </si>
  <si>
    <t>Verifying ADS-B Navigation Information Through Doppler Shift Measurements</t>
  </si>
  <si>
    <t>Ghose &amp; Lazos (2015)</t>
  </si>
  <si>
    <t>IEEE/AIAA Digital Avionics Systems Conference (DASC)</t>
  </si>
  <si>
    <t>Avionics DASC not listed (ICORE 'DASC' is a different conference)</t>
  </si>
  <si>
    <t>Single-emitter spoofer</t>
  </si>
  <si>
    <t>Protocol flaw: self-reported position / velocity unverified</t>
  </si>
  <si>
    <t>Position and velocity spoofing</t>
  </si>
  <si>
    <t>Simulation</t>
  </si>
  <si>
    <t>Doppler shifts observed at receivers can verify claimed motion; simulation shows spoofed tracks are detected.</t>
  </si>
  <si>
    <t>Ghose2015Doppler</t>
  </si>
  <si>
    <t>https://www.cve.org/CVERecord?id=CVE-2025-28386</t>
  </si>
  <si>
    <t>Table 1, [37]</t>
  </si>
  <si>
    <t>https://doi.org/10.1109/DASC.2015.7311412</t>
  </si>
  <si>
    <t>CVE-2025-28388</t>
  </si>
  <si>
    <t>Position and velocity spoofing checked against receiver-observed Doppler shift (simulation).</t>
  </si>
  <si>
    <t>CWE-798</t>
  </si>
  <si>
    <t>Built-in credentials for the service account.</t>
  </si>
  <si>
    <t>https://www.cve.org/CVERecord?id=CVE-2025-28388</t>
  </si>
  <si>
    <t>M16</t>
  </si>
  <si>
    <t>FOA-based check, complementary to TDOA.</t>
  </si>
  <si>
    <t>Bound threats: T1.09</t>
  </si>
  <si>
    <t>Secure Motion Verification Using the Doppler Effect</t>
  </si>
  <si>
    <t>Schäfer et al. (2016)</t>
  </si>
  <si>
    <t>ACM WiSec</t>
  </si>
  <si>
    <t>ICORE: ACM_WiSec</t>
  </si>
  <si>
    <t>CVE-2025-28389</t>
  </si>
  <si>
    <t>CWE-521</t>
  </si>
  <si>
    <t>Motion spoofer including stronger attacker models</t>
  </si>
  <si>
    <t>Protocol flaw: self-reported kinematics unauthenticated</t>
  </si>
  <si>
    <t>Weak password requirements allow login by guessing.</t>
  </si>
  <si>
    <t>Simulated attacks</t>
  </si>
  <si>
    <t>Doppler-based verification detects spoofed motion claims, complementing TDOA approaches.</t>
  </si>
  <si>
    <t>Schafer2016Doppler</t>
  </si>
  <si>
    <t>L3 Service &amp; Processing</t>
  </si>
  <si>
    <t>Table 1, [38]</t>
  </si>
  <si>
    <t>https://doi.org/10.1145/2939918.2939920</t>
  </si>
  <si>
    <t>https://www.cve.org/CVERecord?id=CVE-2025-28389</t>
  </si>
  <si>
    <t>Spoofed motion claims checked against Doppler measurements across receivers (simulation).</t>
  </si>
  <si>
    <t>CVE-2023-45277</t>
  </si>
  <si>
    <t>Yamcs (mission control)</t>
  </si>
  <si>
    <t>5.8.6</t>
  </si>
  <si>
    <t>2023-10-19</t>
  </si>
  <si>
    <t>Path traversal in bucket storage allows reading arbitrary files.</t>
  </si>
  <si>
    <t>Crowd-GPS-Sec: Leveraging Crowdsourcing to Detect and Localize GPS Spoofing Attacks</t>
  </si>
  <si>
    <t>Jansen et al. (2018)</t>
  </si>
  <si>
    <t>GPS spoofer affecting aircraft in an area</t>
  </si>
  <si>
    <t>https://www.cve.org/CVERecord?id=CVE-2023-45277</t>
  </si>
  <si>
    <t>Design gap: unauthenticated civil GNSS</t>
  </si>
  <si>
    <t>GPS spoofing</t>
  </si>
  <si>
    <t>L4 Governance &amp; Integration</t>
  </si>
  <si>
    <t>Spoofing simulated on real ADS-B data</t>
  </si>
  <si>
    <t>Crowdsourced ADS-B / MLAT data can detect GPS spoofing within seconds and localise the spoofer.</t>
  </si>
  <si>
    <t>Jansen2018CrowdGPSSec</t>
  </si>
  <si>
    <t>Table 1, [39]</t>
  </si>
  <si>
    <t>https://doi.org/10.1109/SP.2018.00012</t>
  </si>
  <si>
    <t>CVE-2023-45278</t>
  </si>
  <si>
    <t>Path traversal in bucket storage allows deleting arbitrary files.</t>
  </si>
  <si>
    <t>GPS spoofing of aircraft detected and the spoofer localised from crowdsourced ADS-B/MLAT data.</t>
  </si>
  <si>
    <t>https://www.cve.org/CVERecord?id=CVE-2023-45278</t>
  </si>
  <si>
    <t>M18; M01</t>
  </si>
  <si>
    <t>Group default (not bound to a catalogue threat)</t>
  </si>
  <si>
    <t>GNSS-WASP: GNSS Wide Area SPoofing</t>
  </si>
  <si>
    <t>Tibaldo et al. (2025)</t>
  </si>
  <si>
    <t>USENIX Security Symposium</t>
  </si>
  <si>
    <t>ICORE: USENIX-Security</t>
  </si>
  <si>
    <t>CVE-2023-45279</t>
  </si>
  <si>
    <t>Stored XSS through an uploaded display file.</t>
  </si>
  <si>
    <t>Advanced wide-area spoofer targeting multiple receivers</t>
  </si>
  <si>
    <t>Design gap: unauthenticated GNSS; multi-receiver detection assumes spatial inconsistency</t>
  </si>
  <si>
    <t>Coordinated wide-area spoofing evading detection</t>
  </si>
  <si>
    <t>Proof-of-concept evaluation</t>
  </si>
  <si>
    <t>Spoofing can keep receivers' relative positions consistent, undermining crowdsourced and multi-receiver detection.</t>
  </si>
  <si>
    <t>Tibaldo2025GNSSWASP</t>
  </si>
  <si>
    <t>4. Trust-boundary crossings</t>
  </si>
  <si>
    <t>Table 1, [40]</t>
  </si>
  <si>
    <t>https://www.cve.org/CVERecord?id=CVE-2023-45279</t>
  </si>
  <si>
    <t>https://www.usenix.org/conference/usenixsecurity25/presentation/tibaldo</t>
  </si>
  <si>
    <t>Atlas entries crossing</t>
  </si>
  <si>
    <t>of which E2-E3</t>
  </si>
  <si>
    <t>of which E3</t>
  </si>
  <si>
    <t>CVEs exposed at TB</t>
  </si>
  <si>
    <t>Mitigations covering</t>
  </si>
  <si>
    <t>TB1  L1 | L2</t>
  </si>
  <si>
    <t>CVE-2023-45280</t>
  </si>
  <si>
    <t>XSS through uploaded HTML in bucket storage.</t>
  </si>
  <si>
    <t>Wide-area GNSS spoofing that preserves receivers' relative geometry to evade multi-receiver detection.</t>
  </si>
  <si>
    <t>https://www.cve.org/CVERecord?id=CVE-2023-45280</t>
  </si>
  <si>
    <t>M01; M18; M19</t>
  </si>
  <si>
    <t>Limits crowdsourced / multi-receiver detection (M18).</t>
  </si>
  <si>
    <t>Detecting Injection Attacks in ADS-B Devices Using RNN-Based Models</t>
  </si>
  <si>
    <t>Khoei et al. (2024)</t>
  </si>
  <si>
    <t>Integrated Communications, Navigation and Surveillance Conf. (ICNS)</t>
  </si>
  <si>
    <t>SDR injector</t>
  </si>
  <si>
    <t>Synthetic attack data</t>
  </si>
  <si>
    <t>RNN-based models detect injected ADS-B messages on datasets with simulated attacks.</t>
  </si>
  <si>
    <t>CVE-2023-45281</t>
  </si>
  <si>
    <t>Khoei2024RNNADSB</t>
  </si>
  <si>
    <t>Table 1, [41]</t>
  </si>
  <si>
    <t>https://par.nsf.gov/biblio/10564790</t>
  </si>
  <si>
    <t>Session cookie theft via an uploaded HTML file.</t>
  </si>
  <si>
    <t>TB2  L2 | L3</t>
  </si>
  <si>
    <t>Page fetched 13 Oct 2026: title matches (NSF PAR record; no DOI shown)</t>
  </si>
  <si>
    <t>Injected ADS-B messages detected by RNN models on synthetic attack data.</t>
  </si>
  <si>
    <t>https://www.cve.org/CVERecord?id=CVE-2023-45281</t>
  </si>
  <si>
    <t>CVE-2023-46470</t>
  </si>
  <si>
    <t>ICARUS: Attacking Low Earth Orbit Satellite Networks</t>
  </si>
  <si>
    <t>Giuliari et al. (2021)</t>
  </si>
  <si>
    <t>USENIX Annual Technical Conference (ATC)</t>
  </si>
  <si>
    <t>ICORE: USENIX (ATC)</t>
  </si>
  <si>
    <t>2023-11-20</t>
  </si>
  <si>
    <t>Script injection via a telecommand shown in the archive timeline.</t>
  </si>
  <si>
    <t>TB3  L3 | L4</t>
  </si>
  <si>
    <t>Attacker controlling distributed legitimate terminals or a botnet</t>
  </si>
  <si>
    <t>Architectural weakness: predictable LEO topology and shared links</t>
  </si>
  <si>
    <t>Link-flooding DDoS</t>
  </si>
  <si>
    <t>Constellation simulation</t>
  </si>
  <si>
    <t>Predictable LEO topology lets attackers target bottleneck links cheaply; shown on Starlink-like constellation simulations.</t>
  </si>
  <si>
    <t>Giuliari2021ICARUS</t>
  </si>
  <si>
    <t>Table 3, [54]</t>
  </si>
  <si>
    <t>https://www.cve.org/CVERecord?id=CVE-2023-46470</t>
  </si>
  <si>
    <t>https://www.usenix.org/conference/atc21/presentation/giuliari</t>
  </si>
  <si>
    <t>Jamming / denial of service</t>
  </si>
  <si>
    <t>CVE-2023-46471</t>
  </si>
  <si>
    <t>Link-flooding DDoS exploiting predictable LEO topology to congest bottleneck links (simulation).</t>
  </si>
  <si>
    <t>L2 · ISLs &amp; downlinks (observables in transit)</t>
  </si>
  <si>
    <t>XSS in the script viewer.</t>
  </si>
  <si>
    <t>M09; M25</t>
  </si>
  <si>
    <t>Could starve ISL/downlink capacity used for TOA transport.</t>
  </si>
  <si>
    <t>https://www.cve.org/CVERecord?id=CVE-2023-46471</t>
  </si>
  <si>
    <t>A1.1, A1.7, A2.2</t>
  </si>
  <si>
    <t>Bound threats: T1.08, T1.16, T2.04</t>
  </si>
  <si>
    <t>L1 &gt; L2 &gt; L3 &gt; L4  (4 of 4 layers)
L1: [A1.1], [A1.7], A1.3, A1.4 | L2: [A2.2], A2.1, A2.4 | L3: A3.1, A3.3, A3.4, A3.5, A3.6 | L4: A4.5, A4.6
Boundaries to first check A3.4/A3.5: 1 | to ATM A4.6: 2</t>
  </si>
  <si>
    <t>Watch This Space: Securing Satellite Communication through Resilient Transmitter Fingerprinting</t>
  </si>
  <si>
    <t>Smailes et al. (2023)</t>
  </si>
  <si>
    <t>Entries crossing no boundary (within layer)</t>
  </si>
  <si>
    <t>ACM CCS</t>
  </si>
  <si>
    <t>ICORE: CCS</t>
  </si>
  <si>
    <t>Standards, regulation, guidance and verification techniques mapped to the PRISM-LEO layers and trust boundaries. 'Atlas Rows Mapped' and 'CVEs Mapped' are live counts of each ID in the Threat Atlas and CVE Register.</t>
  </si>
  <si>
    <t>CVE-2023-47311</t>
  </si>
  <si>
    <t>5. Timing dependency and propagation direction</t>
  </si>
  <si>
    <t>Timing dependency</t>
  </si>
  <si>
    <t>Clickjacking that can push commands into a command queue.</t>
  </si>
  <si>
    <t>E2-E3</t>
  </si>
  <si>
    <t>Direction</t>
  </si>
  <si>
    <t>SDR attacker impersonating satellite transmissions</t>
  </si>
  <si>
    <t>Protocol flaw: unauthenticated satellite downlinks</t>
  </si>
  <si>
    <t>Spoofing; replay</t>
  </si>
  <si>
    <t>Emulated SDR attacks on real Iridium signals</t>
  </si>
  <si>
    <t>RF fingerprinting on real Iridium signals reliably distinguishes genuine from spoofed transmitters.</t>
  </si>
  <si>
    <t>Smailes2023Fingerprinting</t>
  </si>
  <si>
    <t>Table 3, [55]</t>
  </si>
  <si>
    <t>https://www.cve.org/CVERecord?id=CVE-2023-47311</t>
  </si>
  <si>
    <t>Mitigation / Standard / Defence</t>
  </si>
  <si>
    <t>Type</t>
  </si>
  <si>
    <t>Issuer / Basis</t>
  </si>
  <si>
    <t>Version / Date</t>
  </si>
  <si>
    <t>Layer(s) Addressed</t>
  </si>
  <si>
    <t>Primary Layer</t>
  </si>
  <si>
    <t>Trust Boundaries</t>
  </si>
  <si>
    <t>Maturity</t>
  </si>
  <si>
    <t>https://doi.org/10.1145/3576915.3623135</t>
  </si>
  <si>
    <t>What It Addresses</t>
  </si>
  <si>
    <t>Limitations / Known Bypasses</t>
  </si>
  <si>
    <t>Atlas Rows Mapped</t>
  </si>
  <si>
    <t>CVEs Mapped</t>
  </si>
  <si>
    <t>Assets Covered (via mapped rows and CVEs)</t>
  </si>
  <si>
    <t>Reference Link</t>
  </si>
  <si>
    <t>Upward (observables)</t>
  </si>
  <si>
    <t>M01</t>
  </si>
  <si>
    <t>CVE-2023-45282</t>
  </si>
  <si>
    <t>NASA Open MCT (mission control UI)</t>
  </si>
  <si>
    <t>Galileo OSNMA (navigation message authentication)</t>
  </si>
  <si>
    <t>&lt; 3.1.0</t>
  </si>
  <si>
    <t>CWE-1321</t>
  </si>
  <si>
    <t>Spoofed or replayed satellite downlink transmissions, countered by RF fingerprinting of real Iridium signals.</t>
  </si>
  <si>
    <t>Operational service</t>
  </si>
  <si>
    <t>L1 · Satellite &amp; ground-station RF receivers</t>
  </si>
  <si>
    <t>EU / EUSPA</t>
  </si>
  <si>
    <t>Initial Service declared 24 Jul 2025</t>
  </si>
  <si>
    <t>2023-10-06</t>
  </si>
  <si>
    <t>Prototype pollution through the import action.</t>
  </si>
  <si>
    <t>Operational</t>
  </si>
  <si>
    <t>Forged GNSS navigation data (spoofed message content)</t>
  </si>
  <si>
    <t>Authenticates navigation data, not signal timing; needs loose time sync, which is attackable (Atlas: Wang 2025); Galileo only; no jamming protection.</t>
  </si>
  <si>
    <t>Indirect</t>
  </si>
  <si>
    <t>M24; M10</t>
  </si>
  <si>
    <t>https://www.cve.org/CVERecord?id=CVE-2023-45282</t>
  </si>
  <si>
    <t>M17; M04</t>
  </si>
  <si>
    <t>Bound threats: T2.02</t>
  </si>
  <si>
    <t>Space Odyssey: An Experimental Software Security Analysis of Satellites</t>
  </si>
  <si>
    <t>Willbold et al. (2023)</t>
  </si>
  <si>
    <t>Downward (config / keys / sync)</t>
  </si>
  <si>
    <t>Remote attacker with radio access to the uplink</t>
  </si>
  <si>
    <t>Software bugs and missing protections in on-board firmware</t>
  </si>
  <si>
    <t>Satellite hijack via memory corruption and unprotected telecommand</t>
  </si>
  <si>
    <t>Real flight firmware, emulated environment</t>
  </si>
  <si>
    <t>Analysed firmware of three real satellites, found exploitable flaws enabling takeover, and surveyed practitioners showing security is rarely prioritised.</t>
  </si>
  <si>
    <t>Willbold2023SpaceOdyssey</t>
  </si>
  <si>
    <t>CVE-2023-45884</t>
  </si>
  <si>
    <t>https://www.euspa.europa.eu/newsroom-events/news/testing-operations-galileo-osnma-service-now-available-users</t>
  </si>
  <si>
    <t>Table 3, [52]</t>
  </si>
  <si>
    <t>https://ieeexplore.ieee.org/document/10351029</t>
  </si>
  <si>
    <t>M02</t>
  </si>
  <si>
    <t>RFC 8915 Network Time Security (NTS) for NTP</t>
  </si>
  <si>
    <t>Standard</t>
  </si>
  <si>
    <t>IETF</t>
  </si>
  <si>
    <t>RFC 8915, Sep 2020</t>
  </si>
  <si>
    <t>Within layer</t>
  </si>
  <si>
    <t>Published standard (deployed)</t>
  </si>
  <si>
    <t>Spoofed or modified NTP packets; replay</t>
  </si>
  <si>
    <t>Search index 13 Oct 2026: page title matches, page not fetchable</t>
  </si>
  <si>
    <t>Cannot stop packet-delay attacks (Atlas: Ullmann 2009); protects NTP only.</t>
  </si>
  <si>
    <t>Implementation flaw</t>
  </si>
  <si>
    <t>Software exploitation / takeover</t>
  </si>
  <si>
    <t>Exploitable on-board firmware flaws and unprotected telecommand enabling satellite takeover (emulated).</t>
  </si>
  <si>
    <t>L1 · Satellite platform &amp; flight software</t>
  </si>
  <si>
    <t>L2 · Time-sync network traffic (NTP / PTP); L4 · Time &amp; navigation ground segment (sync, ephemeris)</t>
  </si>
  <si>
    <t>6. CVE Register by severity and layer</t>
  </si>
  <si>
    <t>M24; M04</t>
  </si>
  <si>
    <t>Talk version: Black Hat USA 2023 'Houston, We Have a Problem'.</t>
  </si>
  <si>
    <t>A1.6, A2.5</t>
  </si>
  <si>
    <t>Bound threats: T1.12, T1.13, T1.14, T2.11</t>
  </si>
  <si>
    <t>Severity (from CVE record CVSS)</t>
  </si>
  <si>
    <t>https://www.rfc-editor.org/rfc/rfc8915.html</t>
  </si>
  <si>
    <t>L1 &gt; L2 &gt; L3 &gt; L4  (4 of 4 layers)
L1: [A1.6], A1.4†, A1.5†, A1.7† | L2: [A2.5], A2.1†, A2.2†, A2.4† | L3: A3.1†, A3.2†, A3.3†, A3.4†, A3.5†, A3.6† | L4: A4.5†, A4.6†
Boundaries to first check A3.4/A3.5: 2 | to ATM A4.6: 3</t>
  </si>
  <si>
    <t>Stargaze: A LEO Constellation Emulator for Security Experimentation</t>
  </si>
  <si>
    <t>Critical</t>
  </si>
  <si>
    <t>M03</t>
  </si>
  <si>
    <t>IEEE 1588-2019 PTP optional security (1588d-2023 adds GDOI key management)</t>
  </si>
  <si>
    <t>IEEE</t>
  </si>
  <si>
    <t>1588-2019, published 16 Jun 2020</t>
  </si>
  <si>
    <t>L1; L4</t>
  </si>
  <si>
    <t>Published standard (limited deployment)</t>
  </si>
  <si>
    <t>Forged or modified PTP messages</t>
  </si>
  <si>
    <t>Optional; delay/asymmetry attacks remain (Atlas: Ullmann 2009, Itkin 2020); implementation bugs (linuxptp CVEs).</t>
  </si>
  <si>
    <t>https://standards.ieee.org/ieee/1588/6825/</t>
  </si>
  <si>
    <t>High</t>
  </si>
  <si>
    <t>M04</t>
  </si>
  <si>
    <t>CCSDS 355.0-B-2 Space Data Link Security (SDLS) Protocol</t>
  </si>
  <si>
    <t>CCSDS</t>
  </si>
  <si>
    <t>Blue Book, issue 2 (current on ccsds.org)</t>
  </si>
  <si>
    <t>Published standard</t>
  </si>
  <si>
    <t>Unauthenticated or unencrypted TC/TM/AOS/USLP frames: injection, replay, eavesdropping</t>
  </si>
  <si>
    <t>Implementations have had memory-safety flaws (NASA CryptoLib CVEs); needs SDLS-EP for keys. Your .bib cites issue B-1 (2020).</t>
  </si>
  <si>
    <t>L1 · Satellite &amp; ground-station RF receivers; L1 · Satellite platform &amp; flight software; L2 · ISLs &amp; downlinks (observables in transit); L2 · Space link TC/TM (commanding &amp; file transfer); L4 · Ground segment C2, mission control &amp; keys</t>
  </si>
  <si>
    <t>https://ccsds.org/Pubs/355x0b2.pdf</t>
  </si>
  <si>
    <t>Medium</t>
  </si>
  <si>
    <t>Search index 13 Oct 2026: page title matches, page not fetchable (ccsds.org blocks automated fetch)</t>
  </si>
  <si>
    <t>M05</t>
  </si>
  <si>
    <t>CCSDS 355.1-B-1 SDLS Extended Procedures (key and SA management, OTAR)</t>
  </si>
  <si>
    <t>Blue Book, issue 1</t>
  </si>
  <si>
    <t>Key distribution, security-association management and over-the-air rekeying</t>
  </si>
  <si>
    <t>CryptoLib extended-procedure flaws (CVE-2025-46672 to -46675).</t>
  </si>
  <si>
    <t>L2 · Space link TC/TM (commanding &amp; file transfer); L4 · Ground segment C2, mission control &amp; keys</t>
  </si>
  <si>
    <t>https://ccsds.org/Pubs/355x1b1.pdf</t>
  </si>
  <si>
    <t>Low</t>
  </si>
  <si>
    <t>M06</t>
  </si>
  <si>
    <t>RTCA DO-326A / EUROCAE ED-202A airworthiness security process</t>
  </si>
  <si>
    <t>RTCA / EUROCAE</t>
  </si>
  <si>
    <t>2014; EUROCAE ED-202B published Oct 2024</t>
  </si>
  <si>
    <t>L1; L2; L4</t>
  </si>
  <si>
    <t>Published standard (used in certification guidance)</t>
  </si>
  <si>
    <t>Intentional unauthorised electronic interaction with airborne systems</t>
  </si>
  <si>
    <t>Airborne systems only; no coverage of ground ATM or space segment. Check whether to cite ED-202B.</t>
  </si>
  <si>
    <t>&lt;= 3.1.0</t>
  </si>
  <si>
    <t>Kon, Barradas &amp; Chen (2022)</t>
  </si>
  <si>
    <t>L1 · SATCOM user terminal; L2 · Aeronautical data links (ACARS, CPDLC, ADS-C, LDACS)</t>
  </si>
  <si>
    <t>https://www.eurocae.net/product/ed-202b-airworthiness-security-process-specification/</t>
  </si>
  <si>
    <t>ACM CPSIoTSec Workshop</t>
  </si>
  <si>
    <t>Workshop; not in ICORE2026 list</t>
  </si>
  <si>
    <t>2023-11-09</t>
  </si>
  <si>
    <t>Cross-site request forgery exposing information via a layout plugin.</t>
  </si>
  <si>
    <t>Generic network attacker</t>
  </si>
  <si>
    <t>Not applicable (platform paper)</t>
  </si>
  <si>
    <t>Network attacks on LEO via emulation</t>
  </si>
  <si>
    <t>Emulator platform</t>
  </si>
  <si>
    <t>Provides an emulation platform for reproducible attack experiments on LEO constellations.</t>
  </si>
  <si>
    <t>Kon2022Stargaze</t>
  </si>
  <si>
    <t>Table 3, [76]</t>
  </si>
  <si>
    <t>Not scored</t>
  </si>
  <si>
    <t>Search index 13 Oct 2026: page title matches, page not fetchable (ED-202B product page)</t>
  </si>
  <si>
    <t>https://par.nsf.gov/biblio/10406778</t>
  </si>
  <si>
    <t>M07</t>
  </si>
  <si>
    <t>EUROCAE ED-205A security certification of ATM/ANS ground systems</t>
  </si>
  <si>
    <t>EUROCAE</t>
  </si>
  <si>
    <t>Jul 2022</t>
  </si>
  <si>
    <t>L3; L4</t>
  </si>
  <si>
    <t>TB2; TB3</t>
  </si>
  <si>
    <t>https://www.cve.org/CVERecord?id=CVE-2023-45884</t>
  </si>
  <si>
    <t>Security certification and declaration of ATM/ANS ground systems</t>
  </si>
  <si>
    <t>Process standard; no technical controls for the space segment.</t>
  </si>
  <si>
    <t>Emulation platform for reproducible network attacks on LEO constellations.</t>
  </si>
  <si>
    <t>L4 · ATM integration (flight data, ATM picture)</t>
  </si>
  <si>
    <t>https://www.eurocae.net/product/ed-205a-process-standard-for-security-certification-and-declaration-of-atm-ans-ground-systems</t>
  </si>
  <si>
    <t>CVE-2023-45885</t>
  </si>
  <si>
    <t>M09</t>
  </si>
  <si>
    <t>Platform paper.</t>
  </si>
  <si>
    <t>A1.1, A2.2</t>
  </si>
  <si>
    <t>Bound threats: T1.08, T2.04</t>
  </si>
  <si>
    <t>L1 &gt; L2 &gt; L3 &gt; L4  (4 of 4 layers)
L1: [A1.1], A1.3, A1.4, A1.7 | L2: [A2.2], A2.1, A2.4 | L3: A3.1, A3.3, A3.4, A3.5, A3.6 | L4: A4.5, A4.6
Boundaries to first check A3.4/A3.5: 1 | to ATM A4.6: 2</t>
  </si>
  <si>
    <t>False Data Injection Attacks against State Estimation in Electric Power Grids</t>
  </si>
  <si>
    <t>Liu, Ning &amp; Reiter (2009; extended 2011)</t>
  </si>
  <si>
    <t>ACM CCS (extended in ACM TISSEC)</t>
  </si>
  <si>
    <t>ICORE: CCS (2009 version)</t>
  </si>
  <si>
    <t>XSS via a layout plugin component.</t>
  </si>
  <si>
    <t>Attacker knowing system configuration and controlling some meters</t>
  </si>
  <si>
    <t>Design gap: residual-based bad-data detection</t>
  </si>
  <si>
    <t>M08</t>
  </si>
  <si>
    <t>Stealthy false data injection</t>
  </si>
  <si>
    <t>EU Part-IS: Implementing Reg. (EU) 2023/203 and Delegated Reg. (EU) 2022/1645</t>
  </si>
  <si>
    <t>IEEE test bus systems</t>
  </si>
  <si>
    <t>Regulation</t>
  </si>
  <si>
    <t>Attackers with knowledge of system configuration can inject errors that bypass residual-based detection; strong analogue for MLAT solver integrity attacks.</t>
  </si>
  <si>
    <t>Liu2009FDI / Liu2011FDI</t>
  </si>
  <si>
    <t>European Commission / EASA</t>
  </si>
  <si>
    <t>State estimation</t>
  </si>
  <si>
    <t>Adopted 2022; phased applicability</t>
  </si>
  <si>
    <t>§2.5.2 [72]</t>
  </si>
  <si>
    <t>Regulation in force</t>
  </si>
  <si>
    <t>Organisational information-security risk management with aviation-safety impact</t>
  </si>
  <si>
    <t>Organisational; not a technical control.</t>
  </si>
  <si>
    <t>https://doi.org/10.1145/1653662.1653666</t>
  </si>
  <si>
    <t>DOI metadata checked 13 Oct 2026 (OpenAlex): title matches; TISSEC version doi:10.1145/1952982.1952995 also checked</t>
  </si>
  <si>
    <t>Estimation / verification design limit</t>
  </si>
  <si>
    <t>7. Assets: Atlas evidence and CVEs per asset</t>
  </si>
  <si>
    <t>Estimation / data manipulation</t>
  </si>
  <si>
    <t>Stealthy false-data injection that bypasses residual-based bad-data detection (analogue for MLAT solver integrity).</t>
  </si>
  <si>
    <t>https://www.cve.org/CVERecord?id=CVE-2023-45885</t>
  </si>
  <si>
    <t>L2 · Measurements feeding the estimator</t>
  </si>
  <si>
    <t>Asset (layer prefix)</t>
  </si>
  <si>
    <t>L2 · Aeronautical data links (ACARS, CPDLC, ADS-C, LDACS); L4 · ATM integration (flight data, ATM picture)</t>
  </si>
  <si>
    <t>https://eur-lex.europa.eu/eli/reg_impl/2023/203</t>
  </si>
  <si>
    <t>E2-E3 entries</t>
  </si>
  <si>
    <t>CVEs</t>
  </si>
  <si>
    <t>Medium / Low / not scored</t>
  </si>
  <si>
    <t>M20</t>
  </si>
  <si>
    <t>Analogue domain (power grid).</t>
  </si>
  <si>
    <t>Bound threats: T2.01</t>
  </si>
  <si>
    <t>False Data Injection Attacks in Control Systems</t>
  </si>
  <si>
    <t>Mo &amp; Sinopoli (2010)</t>
  </si>
  <si>
    <t>Workshop on Secure Control Systems (SCS)</t>
  </si>
  <si>
    <t>Attacker compromising a subset of sensors</t>
  </si>
  <si>
    <t>Design gap: Kalman filter with chi-square detector</t>
  </si>
  <si>
    <t>CVE-2025-25371</t>
  </si>
  <si>
    <t>Numerical example</t>
  </si>
  <si>
    <t>Derived conditions under which an attacker can drive estimation error unboundedly without triggering the chi-square detector.</t>
  </si>
  <si>
    <t>NIST IR 8270 Introduction to Cybersecurity for Commercial Satellite Operations</t>
  </si>
  <si>
    <t>Mo2010FDIControl</t>
  </si>
  <si>
    <t>NASA cFS Aquila (flight software)</t>
  </si>
  <si>
    <t>Guidance</t>
  </si>
  <si>
    <t>NIST</t>
  </si>
  <si>
    <t>§2.5.2 [73]</t>
  </si>
  <si>
    <t>Final, Jul 2023</t>
  </si>
  <si>
    <t>L1; L2; L3; L4</t>
  </si>
  <si>
    <t>TB1; TB2; TB3</t>
  </si>
  <si>
    <t>https://ptolemy.berkeley.edu/projects/truststc/conferences/10/CPSWeek/papers/scs1_paper_7.pdf</t>
  </si>
  <si>
    <t>Published guidance</t>
  </si>
  <si>
    <t>Risk management across space, link and ground segments</t>
  </si>
  <si>
    <t>2025-03-25</t>
  </si>
  <si>
    <t>High-level; not system-specific.</t>
  </si>
  <si>
    <t>Directory escape in the OS abstraction layer allows file overwrite.</t>
  </si>
  <si>
    <t>Page fetched 13 Oct 2026: title matches (author PDF on workshop site)</t>
  </si>
  <si>
    <t>L2 · ISLs &amp; downlinks (observables in transit); Multiple assets (survey / SoK)</t>
  </si>
  <si>
    <t>https://csrc.nist.gov/pubs/ir/8270/final</t>
  </si>
  <si>
    <t>Sensor-subset injection that grows Kalman-filter error while evading the chi-square detector.</t>
  </si>
  <si>
    <t>https://www.cve.org/CVERecord?id=CVE-2025-25371</t>
  </si>
  <si>
    <t>L1 · Aircraft avionics &amp; navaid receivers (ILS, TCAS, GPWS)</t>
  </si>
  <si>
    <t>Page fetched 13 Oct 2026: title matches (CSRC announcement links this page)</t>
  </si>
  <si>
    <t>M10</t>
  </si>
  <si>
    <t>NIST IR 8401 Satellite Ground Segment: CSF profile for command and control</t>
  </si>
  <si>
    <t>Analogue for EKF/IMM integrity monitoring.</t>
  </si>
  <si>
    <t>2022</t>
  </si>
  <si>
    <t>Time Synchronization Attack in Smart Grid: Impact and Analysis</t>
  </si>
  <si>
    <t>Zhang et al. (2013)</t>
  </si>
  <si>
    <t>IEEE Transactions on Smart Grid</t>
  </si>
  <si>
    <t>SJR 2025 Q1</t>
  </si>
  <si>
    <t>SCImago: IEEE Trans. Smart Grid</t>
  </si>
  <si>
    <t>Ground-segment command-and-control security</t>
  </si>
  <si>
    <t>T1.13</t>
  </si>
  <si>
    <t>Profile; implementation left to operators.</t>
  </si>
  <si>
    <t>CVE-2025-25372</t>
  </si>
  <si>
    <t>CWE-787</t>
  </si>
  <si>
    <t>Crafted telecommand to the memory-management module crashes the software.</t>
  </si>
  <si>
    <t>L4 · Ground segment C2, mission control &amp; keys; L4 · SATCOM provider ground network</t>
  </si>
  <si>
    <t>https://csrc.nist.gov/news/2023/nist-releases-nist-ir-8401</t>
  </si>
  <si>
    <t>GPS spoofer targeting PMU timing</t>
  </si>
  <si>
    <t>Design gap: timestamps depend on unauthenticated GPS</t>
  </si>
  <si>
    <t>Time synchronisation attack</t>
  </si>
  <si>
    <t>Spoofed GPS time corrupts PMU phase measurements, degrading fault detection / localisation and stability monitoring; analogue for the cross-cutting timing dependency.</t>
  </si>
  <si>
    <t>Zhang2013TSA</t>
  </si>
  <si>
    <t>Timing</t>
  </si>
  <si>
    <t>§2.5.2 [74]</t>
  </si>
  <si>
    <t>https://doi.org/10.1109/TSG.2012.2227342</t>
  </si>
  <si>
    <t>M11</t>
  </si>
  <si>
    <t>NIST IR 8323r1 Foundational PNT Profile</t>
  </si>
  <si>
    <t>Rev. 1, Jan 2023</t>
  </si>
  <si>
    <t>https://www.cve.org/CVERecord?id=CVE-2025-25372</t>
  </si>
  <si>
    <t>TB1; TB3</t>
  </si>
  <si>
    <t>Responsible use of PNT services; detection and recovery from PNT disruption</t>
  </si>
  <si>
    <t>Guidance, not a technical mechanism.</t>
  </si>
  <si>
    <t>Timing &amp; synchronisation attack</t>
  </si>
  <si>
    <t>Spoofed GPS time corrupts PMU phase measurements and downstream estimation.</t>
  </si>
  <si>
    <t>L1 · GNSS receiver / onboard clock; L4 · Time &amp; navigation ground segment (sync, ephemeris)</t>
  </si>
  <si>
    <t>https://nvlpubs.nist.gov/nistpubs/ir/2023/NIST.IR.8323r1.pdf</t>
  </si>
  <si>
    <t>CVE-2025-25373</t>
  </si>
  <si>
    <t>CWE-732</t>
  </si>
  <si>
    <t>Weak access control in the memory-management module enables code execution.</t>
  </si>
  <si>
    <t>M12</t>
  </si>
  <si>
    <t>M01; M11; M23</t>
  </si>
  <si>
    <t>Analogue for the cross-cutting timing dependency.</t>
  </si>
  <si>
    <t>DHS Resilient PNT Conformance Framework</t>
  </si>
  <si>
    <t>US DHS S&amp;T</t>
  </si>
  <si>
    <t>Dec 2020; transitioned to IEEE for standardisation</t>
  </si>
  <si>
    <t>Universal Spoofing of Real-World Aircraft Multilateration</t>
  </si>
  <si>
    <t>Senn et al. (2025)</t>
  </si>
  <si>
    <t>Resilience levels for PNT user equipment</t>
  </si>
  <si>
    <t>Equipment-level; does not address system-level fusion.</t>
  </si>
  <si>
    <t>https://www.cve.org/CVERecord?id=CVE-2025-25373</t>
  </si>
  <si>
    <t>Strong attacker with multiple synchronised SDR transmitters and GDOP-aware placement</t>
  </si>
  <si>
    <t>Architectural weakness: MLAT trusts arrival-time consistency; no emitter authentication</t>
  </si>
  <si>
    <t>Ghost injection; flooding; trajectory manipulation of real aircraft</t>
  </si>
  <si>
    <t>Two commercial MLAT systems (two manufacturers, nine receivers, five university sites) deployed by the authors; live air traffic; not an operational ATC installation</t>
  </si>
  <si>
    <t>Ghost aircraft multilaterated within 5 s with ~80-90% of messages within 200 m; a real aircraft's track diverted by 15 deg and its verification flag removed; theoretical ceiling ~400 concurrent spoofed aircraft. DOI 10.1145/3734477.3734720, pp. 268-273. NOT YET IN mybibliography.bib.</t>
  </si>
  <si>
    <t>Senn2025UniversalMLAT</t>
  </si>
  <si>
    <t>Table 1, [?] (add to .bib)</t>
  </si>
  <si>
    <t>https://doi.org/10.1145/3734477.3734720</t>
  </si>
  <si>
    <t>https://www.dhs.gov/sites/default/files/publications/2020_12_resilient_pnt_conformance_framework.pdf</t>
  </si>
  <si>
    <t>Synchronised multi-transmitter spoofing that injects ghosts and diverts real tracks in commercial MLAT.</t>
  </si>
  <si>
    <t>CVE-2025-25374</t>
  </si>
  <si>
    <t>CWE-400</t>
  </si>
  <si>
    <t>State that blocks launching applications (platform denial of service).</t>
  </si>
  <si>
    <t>Closest terrestrial analogue to MLAT-B; would reach the L4 ATM picture if undetected.</t>
  </si>
  <si>
    <t>CISA/FBI AA22-076A SATCOM provider and customer mitigations</t>
  </si>
  <si>
    <t>Bound threats: T1.05, T1.06, T3.07</t>
  </si>
  <si>
    <t>Advisory</t>
  </si>
  <si>
    <t>CISA &amp; FBI</t>
  </si>
  <si>
    <t>Enhancing the Hypatia Simulator for LEO Satellite Networks with Integrated DoS and DDoS Attack Capabilities</t>
  </si>
  <si>
    <t>Manzanares-López et al. (2026)</t>
  </si>
  <si>
    <t>17 Mar 2022</t>
  </si>
  <si>
    <t>Int. J. Information Security (IJIS)</t>
  </si>
  <si>
    <t>L2; L4</t>
  </si>
  <si>
    <t>SCImago: IJIS</t>
  </si>
  <si>
    <t>https://www.cve.org/CVERecord?id=CVE-2025-25374</t>
  </si>
  <si>
    <t>Published advisory</t>
  </si>
  <si>
    <t>Remote access hardening, MFA, segmentation, monitoring, link encryption</t>
  </si>
  <si>
    <t>General IT controls; no SATCOM-specific technical standard.</t>
  </si>
  <si>
    <t>Network attacker with distributed terminals</t>
  </si>
  <si>
    <t>Architectural weakness: shared, predictable LEO routing</t>
  </si>
  <si>
    <t>DoS; DDoS</t>
  </si>
  <si>
    <t>Network simulation</t>
  </si>
  <si>
    <t>Extends the Hypatia LEO network simulator with DoS / DDoS attack models for reproducible constellation-scale experiments.</t>
  </si>
  <si>
    <t>ManzanaresLopez2026Hypatia</t>
  </si>
  <si>
    <t>Table 3, [77]</t>
  </si>
  <si>
    <t>L1 · SATCOM user terminal; L2 · SATCOM broadband links; L4 · Ground segment C2, mission control &amp; keys; L4 · SATCOM provider ground network</t>
  </si>
  <si>
    <t>https://www.cisa.gov/uscert/ncas/alerts/aa22-076a</t>
  </si>
  <si>
    <t>https://doi.org/10.1007/s10207-025-01191-0</t>
  </si>
  <si>
    <t>CVE-2024-55028</t>
  </si>
  <si>
    <t>NASA F Prime (ground dashboard)</t>
  </si>
  <si>
    <t>v3.4.3</t>
  </si>
  <si>
    <t>Template injection via an uploaded file in the dashboard.</t>
  </si>
  <si>
    <t>DoS/DDoS attack models added to the Hypatia LEO network simulator.</t>
  </si>
  <si>
    <t>M14</t>
  </si>
  <si>
    <t>Operational GNSS-interference procedures (EASA SIB 2022-02R4; FAA SAFO 24002)</t>
  </si>
  <si>
    <t>EASA; FAA</t>
  </si>
  <si>
    <t>2024-2026</t>
  </si>
  <si>
    <t>Operational guidance</t>
  </si>
  <si>
    <t>Crew, operator and ATC handling of GNSS jamming and spoofing</t>
  </si>
  <si>
    <t>Procedural: limits impact, does not prevent interference.</t>
  </si>
  <si>
    <t>https://www.cve.org/CVERecord?id=CVE-2024-55028</t>
  </si>
  <si>
    <t>A1.7, A2.2</t>
  </si>
  <si>
    <t>Bound threats: T1.16, T2.04</t>
  </si>
  <si>
    <t>L1 &gt; L2 &gt; L3 &gt; L4  (4 of 4 layers)
L1: [A1.7] | L2: [A2.2], A2.4 | L3: A3.1, A3.3, A3.4, A3.5, A3.6 | L4: A4.5, A4.6
Boundaries to first check A3.4/A3.5: 1 | to ATM A4.6: 2</t>
  </si>
  <si>
    <t>Towards Privacy-Preserving and Real-Time GNSS Interference Detection in ADS-B Systems Using CNN</t>
  </si>
  <si>
    <t>Yosef et al. (2026)</t>
  </si>
  <si>
    <t>Neural Computing and Applications</t>
  </si>
  <si>
    <t>To check</t>
  </si>
  <si>
    <t>Not yet checked against SCImago</t>
  </si>
  <si>
    <t>GNSS jammer / spoofer affecting aircraft</t>
  </si>
  <si>
    <t>GNSS jamming; spoofing</t>
  </si>
  <si>
    <t>Detector evaluated on recorded ADS-B telemetry (confirm data source)</t>
  </si>
  <si>
    <t>Combines CNN spatial features with GRU temporal learning on ADS-B telemetry to detect GNSS interference in near real time and cluster anomalies into high-risk airspace regions.</t>
  </si>
  <si>
    <t>Yosef2026CNNGRU</t>
  </si>
  <si>
    <t>https://www.easa.europa.eu/en/newsroom-and-events/news/easa-updates-safety-information-bulletin-gnss-interference</t>
  </si>
  <si>
    <t>Table 1, [42]</t>
  </si>
  <si>
    <t>https://link.springer.com/article/10.1007/s00521-026-11946-y</t>
  </si>
  <si>
    <t>CVE-2024-55029</t>
  </si>
  <si>
    <t>Multiple cross-site scripting flaws.</t>
  </si>
  <si>
    <t>MLAT / TDOA position verification and secure track verification</t>
  </si>
  <si>
    <t>Research technique</t>
  </si>
  <si>
    <t>Literature (Schäfer 2015; Strohmeier 2015)</t>
  </si>
  <si>
    <t>-</t>
  </si>
  <si>
    <t>GNSS interference in ADS-B telemetry detected with CNN-GRU models.</t>
  </si>
  <si>
    <t>Operational (MLAT) / research (secure track verification)</t>
  </si>
  <si>
    <t>Self-reported position spoofing; ghost injection</t>
  </si>
  <si>
    <t>Defeated by synchronised multi-transmitter spoofing (Atlas: Moser 2016, Senn 2025); depends on trusted timing.</t>
  </si>
  <si>
    <t>https://www.cve.org/CVERecord?id=CVE-2024-55029</t>
  </si>
  <si>
    <t>L1 · GNSS receiver / onboard clock; L1 · Transponder signals &amp; satellite receivers (ADS-B / Mode S)</t>
  </si>
  <si>
    <t>M18</t>
  </si>
  <si>
    <t>Ranking still 'To check' (from original sheet).</t>
  </si>
  <si>
    <t>Doppler / FOA motion verification</t>
  </si>
  <si>
    <t>Bound threats: T1.10</t>
  </si>
  <si>
    <t>CVE-2024-55030</t>
  </si>
  <si>
    <t>Literature (Ghose 2015; Schäfer 2016)</t>
  </si>
  <si>
    <t>NASA F Prime (command dispatcher)</t>
  </si>
  <si>
    <t>Research (simulation)</t>
  </si>
  <si>
    <t>Spoofed velocity and position claims</t>
  </si>
  <si>
    <t>Multi-transmitter attackers; needs precise frequency references.</t>
  </si>
  <si>
    <t>L2 · Space link TC/TM (commanding &amp; file transfer)</t>
  </si>
  <si>
    <t>On the Security of the Automatic Dependent Surveillance-Broadcast Protocol</t>
  </si>
  <si>
    <t>Command injection in the command dispatcher service.</t>
  </si>
  <si>
    <t>IEEE Communications Surveys &amp; Tutorials (COMST)</t>
  </si>
  <si>
    <t>SCImago: IEEE COMST</t>
  </si>
  <si>
    <t>https://www.cve.org/CVERecord?id=CVE-2024-55030</t>
  </si>
  <si>
    <t>Physical-layer intrusion detection and RF fingerprinting</t>
  </si>
  <si>
    <t>Literature (Strohmeier 2015; Leonardi 2017; Smailes 2023)</t>
  </si>
  <si>
    <t>L1; L2; L3</t>
  </si>
  <si>
    <t>Passive to active RF attackers</t>
  </si>
  <si>
    <t>Research prototype (validated on real signals)</t>
  </si>
  <si>
    <t>Protocol flaw: unauthenticated ADS-B</t>
  </si>
  <si>
    <t>Injected, replayed or impersonated transmissions</t>
  </si>
  <si>
    <t>Eavesdropping; jamming; injection; modification</t>
  </si>
  <si>
    <t>Fingerprints drift with hardware and environment; adaptive attackers.</t>
  </si>
  <si>
    <t>Survey; cites others' PoCs</t>
  </si>
  <si>
    <t>Systematised ADS-B attacks and countermeasures; argued crypto retrofits are impractical near-term and non-cryptographic verification such as MLAT is more viable.</t>
  </si>
  <si>
    <t>Strohmeier2015ADSBSecurity</t>
  </si>
  <si>
    <t>CVE-2024-35056</t>
  </si>
  <si>
    <t>NASA AIT-Core (ground tooling)</t>
  </si>
  <si>
    <t>2.5.2</t>
  </si>
  <si>
    <t>CWE-89</t>
  </si>
  <si>
    <t>L1 · Aircraft avionics &amp; navaid receivers (ILS, TCAS, GPWS); L1 · Satellite &amp; ground-station RF receivers; L1 · Transponder signals &amp; satellite receivers (ADS-B / Mode S); L2 · ISLs &amp; downlinks (observables in transit)</t>
  </si>
  <si>
    <t>E0</t>
  </si>
  <si>
    <t>2024-05-21</t>
  </si>
  <si>
    <t>Table 1, [1]</t>
  </si>
  <si>
    <t>SQL injection in packet query and insert functions.</t>
  </si>
  <si>
    <t>https://doi.org/10.1109/COMST.2014.2365951</t>
  </si>
  <si>
    <t>Crowdsourced / multi-receiver GNSS-interference monitoring from ADS-B</t>
  </si>
  <si>
    <t>Research technique / operational monitoring</t>
  </si>
  <si>
    <t>Literature (Jansen 2018) and operators</t>
  </si>
  <si>
    <t>Operational monitoring + research</t>
  </si>
  <si>
    <t>https://www.cve.org/CVERecord?id=CVE-2024-35056</t>
  </si>
  <si>
    <t>Detection and localisation of GNSS jamming and spoofing</t>
  </si>
  <si>
    <t>Detects but does not prevent; wide-area spoofing can evade it (Atlas: Tibaldo 2025).</t>
  </si>
  <si>
    <t>Survey of ADS-B eavesdropping, jamming, injection and modification attacks.</t>
  </si>
  <si>
    <t>CVE-2024-35057</t>
  </si>
  <si>
    <t>CWE-319</t>
  </si>
  <si>
    <t>Code execution via a crafted packet.</t>
  </si>
  <si>
    <t>M15; M16; M17; M21</t>
  </si>
  <si>
    <t>Bound threats: T1.01, T1.04</t>
  </si>
  <si>
    <t>M19</t>
  </si>
  <si>
    <t>GNSS-independent cross-check using LEO signals of opportunity</t>
  </si>
  <si>
    <t>Literature (Oligeri 2020)</t>
  </si>
  <si>
    <t>Analysis of Vulnerabilities, Attacks, Countermeasures and Overall Risk of the ADS-B System</t>
  </si>
  <si>
    <t>L1; L3</t>
  </si>
  <si>
    <t>Manesh &amp; Kaabouch (2017)</t>
  </si>
  <si>
    <t>Int. J. Critical Infrastructure Protection (IJCIP)</t>
  </si>
  <si>
    <t>SCImago: IJCIP</t>
  </si>
  <si>
    <t>Research</t>
  </si>
  <si>
    <t>GNSS spoofing of position and time</t>
  </si>
  <si>
    <t>LEO signals may themselves be spoofed; coverage limits.</t>
  </si>
  <si>
    <t>https://www.cve.org/CVERecord?id=CVE-2024-35057</t>
  </si>
  <si>
    <t>RF attackers with varying capability</t>
  </si>
  <si>
    <t>Jamming; spoofing; injection; eavesdropping</t>
  </si>
  <si>
    <t>Qualitative risk analysis</t>
  </si>
  <si>
    <t>https://doi.org/10.1145/3395351.3399350</t>
  </si>
  <si>
    <t>Catalogued ADS-B vulnerabilities and attacks, assessed countermeasures, and rated overall risk qualitatively.</t>
  </si>
  <si>
    <t>Manesh2017ADSBRisk</t>
  </si>
  <si>
    <t>Table 1, [31]</t>
  </si>
  <si>
    <t>https://www.sciencedirect.com/science/article/abs/pii/S1874548217300446</t>
  </si>
  <si>
    <t>CVE-2024-35058</t>
  </si>
  <si>
    <t>Attack-resilient state estimation and robust residual detectors</t>
  </si>
  <si>
    <t>Literature (Fawzi 2014; Mo 2010)</t>
  </si>
  <si>
    <t>Code execution via a malicious string to an API routine.</t>
  </si>
  <si>
    <t>Research (theory)</t>
  </si>
  <si>
    <t>L2 · Time-sync network traffic (NTP / PTP)</t>
  </si>
  <si>
    <t>False-data injection into estimators (EKF/IMM)</t>
  </si>
  <si>
    <t>Bounded by the fraction of compromised sensors (Fawzi 2014).</t>
  </si>
  <si>
    <t>Qualitative catalogue and risk rating of ADS-B attacks.</t>
  </si>
  <si>
    <t>https://doi.org/10.1109/TAC.2014.2303233</t>
  </si>
  <si>
    <t>https://www.cve.org/CVERecord?id=CVE-2024-35058</t>
  </si>
  <si>
    <t>M21</t>
  </si>
  <si>
    <t>ADS-B message authentication retrofits (e.g. SOS)</t>
  </si>
  <si>
    <t>Literature (Sciancalepore 2021)</t>
  </si>
  <si>
    <t>L1; L2</t>
  </si>
  <si>
    <t>CVE-2024-35059</t>
  </si>
  <si>
    <t>Research prototype (not standardised)</t>
  </si>
  <si>
    <t>Forged ADS-B messages</t>
  </si>
  <si>
    <t>Key distribution, bandwidth and legacy transponders.</t>
  </si>
  <si>
    <t>Unsafe deserialisation of pickled data.</t>
  </si>
  <si>
    <t>GNSS Spoofing and Detection</t>
  </si>
  <si>
    <t>Psiaki &amp; Humphreys (2016)</t>
  </si>
  <si>
    <t>Proceedings of the IEEE</t>
  </si>
  <si>
    <t>SCImago: Proc. IEEE</t>
  </si>
  <si>
    <t>https://ieeexplore.ieee.org/document/8798875</t>
  </si>
  <si>
    <t>https://www.cve.org/CVERecord?id=CVE-2024-35059</t>
  </si>
  <si>
    <t>Spoofers from simple to sophisticated</t>
  </si>
  <si>
    <t>GNSS spoofing; meaconing</t>
  </si>
  <si>
    <t>Survey; reports others' field demos</t>
  </si>
  <si>
    <t>Surveyed spoofing techniques and cryptographic, signal-processing and geometric defences; concluded layered defences are needed.</t>
  </si>
  <si>
    <t>Psiaki2016GNSSSpoofing</t>
  </si>
  <si>
    <t>Secure aeronautical data links (LDACS security; CPDLC/ADS-C protection)</t>
  </si>
  <si>
    <t>Research / standardisation</t>
  </si>
  <si>
    <t>Table 1, [30]</t>
  </si>
  <si>
    <t>Literature (Mäurer 2022); ICAO/IETF work</t>
  </si>
  <si>
    <t>TB1; TB2</t>
  </si>
  <si>
    <t>In standardisation (LDACS)</t>
  </si>
  <si>
    <t>Impersonation, injection and eavesdropping on data links</t>
  </si>
  <si>
    <t>Legacy ACARS, CPDLC and ADS-C remain unauthenticated.</t>
  </si>
  <si>
    <t>https://doi.org/10.1109/JPROC.2016.2526658</t>
  </si>
  <si>
    <t>CVE-2024-35060</t>
  </si>
  <si>
    <t>Command execution via a crafted YAML file.</t>
  </si>
  <si>
    <t>https://ieeexplore.ieee.org/document/9825724</t>
  </si>
  <si>
    <t>Survey of GNSS spoofing and meaconing techniques and defences.</t>
  </si>
  <si>
    <t>https://www.cve.org/CVERecord?id=CVE-2024-35060</t>
  </si>
  <si>
    <t>M23</t>
  </si>
  <si>
    <t>Clock holdover and multi-source time cross-checking</t>
  </si>
  <si>
    <t>Operational practice</t>
  </si>
  <si>
    <t>Guided by NIST IR 8323r1</t>
  </si>
  <si>
    <t>Loss or corruption of an external time source</t>
  </si>
  <si>
    <t>Holdover bounded by oscillator stability; common-mode faults (Atlas: GPS 2016, Galileo 2019).</t>
  </si>
  <si>
    <t>On the Applicability of Satellite-Based Air Traffic Control Communication for Security</t>
  </si>
  <si>
    <t>Strohmeier et al. (2019)</t>
  </si>
  <si>
    <t>IEEE Communications Magazine</t>
  </si>
  <si>
    <t>SCImago: IEEE Commun. Mag.</t>
  </si>
  <si>
    <t>CVE-2024-35061</t>
  </si>
  <si>
    <t>0 through 2.5.2</t>
  </si>
  <si>
    <t>CWE-311</t>
  </si>
  <si>
    <t>L1 · GNSS receiver / onboard clock; L2 · Time-sync network traffic (NTP / PTP); L4 · Time &amp; navigation ground segment (sync, ephemeris)</t>
  </si>
  <si>
    <t>M24</t>
  </si>
  <si>
    <t>Secure software engineering and timely patching of flight and ground software</t>
  </si>
  <si>
    <t>Unencrypted network data exchange enabling interception.</t>
  </si>
  <si>
    <t>Vendor advisories; Willbold 2023</t>
  </si>
  <si>
    <t>Memory-safety, injection and access-control bugs in flight and ground software</t>
  </si>
  <si>
    <t>Long patch cycles for on-orbit software.</t>
  </si>
  <si>
    <t>Ground-based injector of false ADS-B messages</t>
  </si>
  <si>
    <t>Protocol flaw: unauthenticated ADS-B is unchanged by moving receivers to space</t>
  </si>
  <si>
    <t>Message injection; location spoofing</t>
  </si>
  <si>
    <t>Analysis of 30 days of real flight data (Flightradar24, OpenSky); no attack executed</t>
  </si>
  <si>
    <t>About 11% of aircraft fly beyond terrestrial receiver range; satellite ADS-B closes that gap but adds no security. Space-based TDOA verification covers only about 6% of messages and cannot reliably detect single-satellite attacks.</t>
  </si>
  <si>
    <t>Strohmeier2019SADSB</t>
  </si>
  <si>
    <t>Table 1, [43]</t>
  </si>
  <si>
    <t>L1 · GNSS receiver / onboard clock; L1 · SATCOM user terminal; L1 · Satellite platform &amp; flight software; L2 · Space link TC/TM (commanding &amp; file transfer); L2 · Time-sync network traffic (NTP / PTP); L4 · Ground segment C2, mission control &amp; keys; L4 · Time &amp; navigation ground segment (sync, ephemeris)</t>
  </si>
  <si>
    <t>https://www.cve.org/CVERecord?id=CVE-2024-35061</t>
  </si>
  <si>
    <t>https://doi.org/10.1109/MCOM.001.1900037</t>
  </si>
  <si>
    <t>DOI resolves (doi.org handle API) and Oxford record title matches, 13 Oct 2026</t>
  </si>
  <si>
    <t>Analysis showing space-based ADS-B adds coverage but no authentication, with limited space-based TDOA verification.</t>
  </si>
  <si>
    <t>CVE-2024-44910</t>
  </si>
  <si>
    <t>M25</t>
  </si>
  <si>
    <t>SPARTA countermeasure mapping (threat-informed defence for space)</t>
  </si>
  <si>
    <t>Framework</t>
  </si>
  <si>
    <t>The Aerospace Corporation</t>
  </si>
  <si>
    <t>NASA CryptoLib (SDLS)</t>
  </si>
  <si>
    <t>Living framework</t>
  </si>
  <si>
    <t>1.3.0</t>
  </si>
  <si>
    <t>CWE-125</t>
  </si>
  <si>
    <t>Published framework</t>
  </si>
  <si>
    <t>Mapping of space-system TTPs to countermeasures</t>
  </si>
  <si>
    <t>Framework only; coverage of MLAT-B-specific threats is indirect.</t>
  </si>
  <si>
    <t>2024-09-27</t>
  </si>
  <si>
    <t>Out-of-bounds read in AOS frame processing.</t>
  </si>
  <si>
    <t>M15; M21</t>
  </si>
  <si>
    <t>Space-based verification depends on satellite timing.</t>
  </si>
  <si>
    <t>Bound threats: T1.01</t>
  </si>
  <si>
    <t>https://sparta.aerospace.org/countermeasures/SPARTA</t>
  </si>
  <si>
    <t>SOS: Standard-Compliant and Packet Loss Tolerant Security Framework for ADS-B Communications</t>
  </si>
  <si>
    <t>Sciancalepore &amp; Di Pietro (2021)</t>
  </si>
  <si>
    <t>IEEE Trans. Dependable and Secure Computing (TDSC)</t>
  </si>
  <si>
    <t>SCImago: IEEE TDSC</t>
  </si>
  <si>
    <t>https://www.cve.org/CVERecord?id=CVE-2024-44910</t>
  </si>
  <si>
    <t>Message injectors and forgers</t>
  </si>
  <si>
    <t>Protocol flaw: no authentication</t>
  </si>
  <si>
    <t>Injection; spoofing</t>
  </si>
  <si>
    <t>Defence prototyped; no attack executed</t>
  </si>
  <si>
    <t>Adds message authentication within the existing ADS-B standard, tolerant to packet loss with low overhead.</t>
  </si>
  <si>
    <t>Sciancalepore2021SOS</t>
  </si>
  <si>
    <t>Table 1, [33]</t>
  </si>
  <si>
    <t>L4 · SATCOM provider ground network</t>
  </si>
  <si>
    <t>A2.4, A2.5</t>
  </si>
  <si>
    <t>T2.11, T2.12</t>
  </si>
  <si>
    <t>L1 &gt; L2 &gt; L3 &gt; L4  (4 of 4 layers)
L1: A1.4†, A1.5†, A1.6, A1.7 | L2: [A2.4], [A2.5], A2.1†, A2.2† | L3: A3.1, A3.2†, A3.3, A3.4, A3.5, A3.6 | L4: A4.5, A4.6
Boundaries to first check A3.4/A3.5: 1 | to ATM A4.6: 2</t>
  </si>
  <si>
    <t>CVE-2024-44911</t>
  </si>
  <si>
    <t>Out-of-bounds read in TC frame processing.</t>
  </si>
  <si>
    <t>Message forgery against ADS-B, countered by standard-compliant authentication.</t>
  </si>
  <si>
    <t>https://www.cve.org/CVERecord?id=CVE-2024-44911</t>
  </si>
  <si>
    <t>Multiple assets (survey / SoK)</t>
  </si>
  <si>
    <t>Air Traffic Security: Aircraft Classification Using ADS-B Message's Phase-Pattern</t>
  </si>
  <si>
    <t>Leonardi et al. (2017)</t>
  </si>
  <si>
    <t>Aerospace (MDPI)</t>
  </si>
  <si>
    <t>SJR 2025 Q2</t>
  </si>
  <si>
    <t>SCImago: Aerospace (MDPI)</t>
  </si>
  <si>
    <t>CVE-2024-44912</t>
  </si>
  <si>
    <t>Out-of-bounds read in TM frame processing.</t>
  </si>
  <si>
    <t>Spoofers impersonating aircraft</t>
  </si>
  <si>
    <t>Protocol flaw: no sender authentication</t>
  </si>
  <si>
    <t>Spoofing (motivation)</t>
  </si>
  <si>
    <t>Defence validated on real signals</t>
  </si>
  <si>
    <t>Transponder phase patterns can classify aircraft and flag implausible senders, validated on real ADS-B signals.</t>
  </si>
  <si>
    <t>Leonardi2017RFFingerprint</t>
  </si>
  <si>
    <t>Table 1, [34]</t>
  </si>
  <si>
    <t>https://www.cve.org/CVERecord?id=CVE-2024-44912</t>
  </si>
  <si>
    <t>https://doi.org/10.3390/aerospace4040051</t>
  </si>
  <si>
    <t>Impersonation of aircraft transponders flagged via message phase-pattern fingerprinting.</t>
  </si>
  <si>
    <t>CVE-2025-29909</t>
  </si>
  <si>
    <t>&lt;= 1.3.3</t>
  </si>
  <si>
    <t>CWE-191; CWE-787</t>
  </si>
  <si>
    <t>Filter the CVE Register (column C) or Threat Atlas (column Y) on an asset to list its CVE IDs and sources.</t>
  </si>
  <si>
    <t>CVSS 4.0, CNA (GitHub)</t>
  </si>
  <si>
    <t>2025-03-17</t>
  </si>
  <si>
    <t>Heap overflow from a crafted telecommand frame.</t>
  </si>
  <si>
    <t>7b. L3 assets (SATERA register, added 29 Oct 2026)</t>
  </si>
  <si>
    <t>Asset (L3 layer prefix)</t>
  </si>
  <si>
    <t>L3 · A3.1 Measurement-association module</t>
  </si>
  <si>
    <t>Aviation Attacks Based on ILS and VOR Vulnerabilities</t>
  </si>
  <si>
    <t>Choudhary et al. (2022)</t>
  </si>
  <si>
    <t>Journal of Surveillance, Security and Safety (OAE)</t>
  </si>
  <si>
    <t>Not indexed (Scopus / WoS)</t>
  </si>
  <si>
    <t>Journal's own indexing list names neither Scopus nor Web of Science</t>
  </si>
  <si>
    <t>https://www.cve.org/CVERecord?id=CVE-2025-29909</t>
  </si>
  <si>
    <t>RF attackers targeting navaids</t>
  </si>
  <si>
    <t>Protocol flaw: unauthenticated ILS / VOR signals</t>
  </si>
  <si>
    <t>Spoofing; eavesdropping; landing disruption</t>
  </si>
  <si>
    <t>Survey of prior work</t>
  </si>
  <si>
    <t>Survey of ILS, VOR and DME vulnerabilities, cataloguing SDR-based spoofing, eavesdropping and landing-disruption attacks reported in prior work.</t>
  </si>
  <si>
    <t>Choudhary2022ILSVOR</t>
  </si>
  <si>
    <t>CVE-2025-29910</t>
  </si>
  <si>
    <t>Table 1, [32]</t>
  </si>
  <si>
    <t>CWE-401</t>
  </si>
  <si>
    <t>https://doi.org/10.20517/jsss.2021.17</t>
  </si>
  <si>
    <t>Memory leak enabling resource exhaustion.</t>
  </si>
  <si>
    <t>Page fetched 13 Oct 2026: title matches (publisher page lists this DOI)</t>
  </si>
  <si>
    <t>Survey of ILS/VOR/DME spoofing and landing-disruption attacks.</t>
  </si>
  <si>
    <t>https://www.cve.org/CVERecord?id=CVE-2025-29910</t>
  </si>
  <si>
    <t>—</t>
  </si>
  <si>
    <t>CVE-2025-29911</t>
  </si>
  <si>
    <t>Not mapped (outside register: aircraft avionics)</t>
  </si>
  <si>
    <t>n/a: no register asset (aircraft avionics)</t>
  </si>
  <si>
    <t>Future E-Enabled Aircraft Communications and Security: The Next 20 Years and Beyond</t>
  </si>
  <si>
    <t>L3 · A3.2 Ephemeris and clock-state database</t>
  </si>
  <si>
    <t>Sampigethaya et al. (2011)</t>
  </si>
  <si>
    <t>CWE-122</t>
  </si>
  <si>
    <t>Network and insider attackers on e-enabled aircraft</t>
  </si>
  <si>
    <t>Architectural weakness: growing aircraft connectivity</t>
  </si>
  <si>
    <t>Out-of-bounds heap read from a malformed AOS frame.</t>
  </si>
  <si>
    <t>Data-link and software-distribution attacks</t>
  </si>
  <si>
    <t>Position / roadmap</t>
  </si>
  <si>
    <t>Mapped security challenges of networked aircraft, data links and software distribution.</t>
  </si>
  <si>
    <t>Sampigethaya2011EEnabled</t>
  </si>
  <si>
    <t>Table 2, [45]</t>
  </si>
  <si>
    <t>https://doi.org/10.1109/JPROC.2011.2162209</t>
  </si>
  <si>
    <t>https://www.cve.org/CVERecord?id=CVE-2025-29911</t>
  </si>
  <si>
    <t>Impersonation / MITM</t>
  </si>
  <si>
    <t>Data-link and software-distribution attacks on networked (e-enabled) aircraft.</t>
  </si>
  <si>
    <t>CVE-2025-29912</t>
  </si>
  <si>
    <t>CWE-122; CWE-191</t>
  </si>
  <si>
    <t>M06; M08; M22</t>
  </si>
  <si>
    <t>A4.4, A4.7, A4.8</t>
  </si>
  <si>
    <t>Bound threats: T4.12, T4.13</t>
  </si>
  <si>
    <t>Integer underflow on a zero frame length leading to heap overflow.</t>
  </si>
  <si>
    <t>L1 &gt; L2 &gt; L3 &gt; L4  (4 of 4 layers)
L1: A1.4†, A1.5†, A1.6, A1.7† | L2: A2.1†, A2.2†, A2.3†, A2.4†, A2.5 | L3: A3.1, A3.2, A3.3, A3.4, A3.5, A3.6, A3.7 | L4: [A4.4], [A4.7], [A4.8], A4.1, A4.2, A4.3, A4.5, A4.6
Boundaries to first check A3.4/A3.5: 1 | to ATM A4.6: 2</t>
  </si>
  <si>
    <t>L3 · A3.3 Localisation solver, EKF/IMM tracker and track database</t>
  </si>
  <si>
    <t>Controller-Pilot Data Link Communication Security</t>
  </si>
  <si>
    <t>Gurtov, Polishchuk &amp; Wernberg (2018)</t>
  </si>
  <si>
    <t>Sensors (MDPI)</t>
  </si>
  <si>
    <t>SCImago: Sensors (best category)</t>
  </si>
  <si>
    <t>https://www.cve.org/CVERecord?id=CVE-2025-29912</t>
  </si>
  <si>
    <t>Impersonators; MITM attackers</t>
  </si>
  <si>
    <t>Protocol flaw: CPDLC lacks authentication and integrity</t>
  </si>
  <si>
    <t>Impersonation; MITM; injection</t>
  </si>
  <si>
    <t>Threat analysis + proposed mechanisms</t>
  </si>
  <si>
    <t>Analysed CPDLC threats and proposed security mechanisms; no attacks executed.</t>
  </si>
  <si>
    <t>Gurtov2018CPDLC</t>
  </si>
  <si>
    <t>Table 2, [47]</t>
  </si>
  <si>
    <t>https://doi.org/10.3390/s18051636</t>
  </si>
  <si>
    <t>CVE-2025-29913</t>
  </si>
  <si>
    <t>CWE-125; CWE-191</t>
  </si>
  <si>
    <t>L3 · A3.4 Integrity-monitoring module</t>
  </si>
  <si>
    <t>Impersonation and message injection on unauthenticated CPDLC.</t>
  </si>
  <si>
    <t>Integer underflow while preparing authenticated data, leading to heap overflow.</t>
  </si>
  <si>
    <t>Not mapped (outside register: aeronautical data links)</t>
  </si>
  <si>
    <t>n/a: no register asset (aeronautical data links)</t>
  </si>
  <si>
    <t>Advancing the Security of LDACS</t>
  </si>
  <si>
    <t>Mäurer et al. (2022)</t>
  </si>
  <si>
    <t>IEEE Trans. Network and Service Management (TNSM)</t>
  </si>
  <si>
    <t>SCImago: IEEE TNSM</t>
  </si>
  <si>
    <t>https://www.cve.org/CVERecord?id=CVE-2025-29913</t>
  </si>
  <si>
    <t>L3 · A3.5 E-MLAT/ADS-B cross-check module</t>
  </si>
  <si>
    <t>Data-link attackers</t>
  </si>
  <si>
    <t>Design gap in LDACS security</t>
  </si>
  <si>
    <t>Impersonation; MITM; DoS</t>
  </si>
  <si>
    <t>Defence design; overhead simulated</t>
  </si>
  <si>
    <t>Proposed and evaluated a security architecture for LDACS covering authentication and key establishment.</t>
  </si>
  <si>
    <t>Maurer2022LDACS</t>
  </si>
  <si>
    <t>CVE-2025-30216</t>
  </si>
  <si>
    <t>Table 2, [51]</t>
  </si>
  <si>
    <t>CVSS 3.1, CNA (GitHub)</t>
  </si>
  <si>
    <t>Unchecked header length in TM processing leading to heap overflow.</t>
  </si>
  <si>
    <t>Impersonation, MITM and DoS threats to LDACS, addressed by an authentication and key-establishment design.</t>
  </si>
  <si>
    <t>https://www.cve.org/CVERecord?id=CVE-2025-30216</t>
  </si>
  <si>
    <t>L3 · A3.6 ASTERIX report encoder and gateway</t>
  </si>
  <si>
    <t>CVE-2025-30356</t>
  </si>
  <si>
    <t>Security in Digital Aeronautical Communications: A Comprehensive Gap Analysis</t>
  </si>
  <si>
    <t>Design gaps across aeronautical links</t>
  </si>
  <si>
    <t>Multiple</t>
  </si>
  <si>
    <t>Gap analysis</t>
  </si>
  <si>
    <t>Found most digital aeronautical links lack adequate built-in security.</t>
  </si>
  <si>
    <t>Maurer2022GapAnalysis</t>
  </si>
  <si>
    <t>Table 2, [48]</t>
  </si>
  <si>
    <t>2025-04-01</t>
  </si>
  <si>
    <t>Incomplete frame-length check (follow-up to CVE-2025-29912) leading to heap overflow.</t>
  </si>
  <si>
    <t>https://doi.org/10.1016/j.ijcip.2022.100549</t>
  </si>
  <si>
    <t>L3 · A3.7 Central Processing Station computing platform</t>
  </si>
  <si>
    <t>Page fetched 13 Oct 2026: title matches (DLR elib record lists this DOI)</t>
  </si>
  <si>
    <t>Multiple (survey / SoK)</t>
  </si>
  <si>
    <t>Gap analysis showing most digital aeronautical links lack built-in security.</t>
  </si>
  <si>
    <t>https://www.cve.org/CVERecord?id=CVE-2025-30356</t>
  </si>
  <si>
    <t>Cyber Security in New Space: Analysis of Threats, Key Enabling Technologies and Challenges</t>
  </si>
  <si>
    <t>Manulis et al. (2021)</t>
  </si>
  <si>
    <t>CVE-2025-46672</t>
  </si>
  <si>
    <t>State and non-state actors across space segments</t>
  </si>
  <si>
    <t>Architectural weaknesses from COTS use and rapid deployment</t>
  </si>
  <si>
    <t>NASA CryptoLib (SDLS-EP)</t>
  </si>
  <si>
    <t>&lt; 1.3.2</t>
  </si>
  <si>
    <t>CWE-252</t>
  </si>
  <si>
    <t>Threat analysis</t>
  </si>
  <si>
    <t>Analysed threats across space, ground and link segments and enabling security technologies.</t>
  </si>
  <si>
    <t>Manulis2021NewSpace</t>
  </si>
  <si>
    <t>CVSS 3.1, CNA</t>
  </si>
  <si>
    <t>2025-04-27</t>
  </si>
  <si>
    <t>Table 3, [20]</t>
  </si>
  <si>
    <t>Unchecked return status of the over-the-air rekeying function.</t>
  </si>
  <si>
    <t>https://doi.org/10.1007/s10207-020-00503-w</t>
  </si>
  <si>
    <t>M24; M05</t>
  </si>
  <si>
    <t>https://www.cve.org/CVERecord?id=CVE-2025-46672</t>
  </si>
  <si>
    <t>Cross-reference, not added to the total above. The Atlas has no L3 asset group because no source enters at L3; a source is counted here when a threat bound to it acts on the asset (sheet Asset Register). A3.1, A3.2, A3.4 and A3.6 have no source and no CVE: their threats are postulated in the catalogue (dated reading, 29 Oct 2026).</t>
  </si>
  <si>
    <t>Threat analysis across space, ground and link segments of New Space systems.</t>
  </si>
  <si>
    <t>8. Mitigation coverage</t>
  </si>
  <si>
    <t>T4.04, T4.05</t>
  </si>
  <si>
    <t>Asset match (key-management flaws); source #65 not bound to a key-management threat</t>
  </si>
  <si>
    <t>Measure</t>
  </si>
  <si>
    <t>Count</t>
  </si>
  <si>
    <t>Mitigations defined</t>
  </si>
  <si>
    <t>CVE-2025-46673</t>
  </si>
  <si>
    <t>Online 2020, issue 2021.</t>
  </si>
  <si>
    <t>Bound threats: T4.05</t>
  </si>
  <si>
    <t>CWE-913</t>
  </si>
  <si>
    <t>Cybersecurity Principles for Space Systems</t>
  </si>
  <si>
    <t>Falco (2019)</t>
  </si>
  <si>
    <t>J. Aerospace Information Systems (AIAA)</t>
  </si>
  <si>
    <t>Security association used without confirming it is active.</t>
  </si>
  <si>
    <t>SCImago: J. Aerosp. Inf. Syst.</t>
  </si>
  <si>
    <t>Mitigations mapped to at least one Atlas entry</t>
  </si>
  <si>
    <t>Atlas entries with no mitigation ID</t>
  </si>
  <si>
    <t>Generic space-system adversaries</t>
  </si>
  <si>
    <t>Design gaps</t>
  </si>
  <si>
    <t>https://www.cve.org/CVERecord?id=CVE-2025-46673</t>
  </si>
  <si>
    <t>Design principles</t>
  </si>
  <si>
    <t>Proposed security design principles for space systems.</t>
  </si>
  <si>
    <t>Falco2019SpacePrinciples</t>
  </si>
  <si>
    <t>Standards, regulation, guidance or advisories</t>
  </si>
  <si>
    <t>Table 3, [56]</t>
  </si>
  <si>
    <t>https://doi.org/10.2514/1.I010693</t>
  </si>
  <si>
    <t>CVE-2025-46674</t>
  </si>
  <si>
    <t>Security design principles for space systems.</t>
  </si>
  <si>
    <t>CWE-489</t>
  </si>
  <si>
    <t>Research techniques (incl. research / standardisation)</t>
  </si>
  <si>
    <t>Unfinished extended procedures could expose a keystream oracle.</t>
  </si>
  <si>
    <t>Checks</t>
  </si>
  <si>
    <t>Online 2018, issue 2019.</t>
  </si>
  <si>
    <t>A4.3, A4.4, A4.7</t>
  </si>
  <si>
    <t>Bound threats: T4.05, T4.13</t>
  </si>
  <si>
    <t>L1 &gt; L2 &gt; L3 &gt; L4  (4 of 4 layers)
L1: A1.4†, A1.5†, A1.6, A1.7† | L2: A2.1†, A2.2†, A2.3†, A2.4†, A2.5 | L3: A3.1, A3.2, A3.3, A3.4, A3.5, A3.6, A3.7 | L4: [A4.3], [A4.4], [A4.7], A4.1, A4.2, A4.5, A4.6, A4.8
Boundaries to first check A3.4/A3.5: 1 | to ATM A4.6: 2</t>
  </si>
  <si>
    <t>On the Security of LEO Satellite Communication Systems: Vulnerabilities, Countermeasures, and Future Trends</t>
  </si>
  <si>
    <t>Yue et al. (2022)</t>
  </si>
  <si>
    <t>Science China Information Sciences</t>
  </si>
  <si>
    <t>Status table total = Atlas entries</t>
  </si>
  <si>
    <t>SCImago: Sci. China Inf. Sci.</t>
  </si>
  <si>
    <t>https://www.cve.org/CVERecord?id=CVE-2025-46674</t>
  </si>
  <si>
    <t>Source-type table total = Atlas entries</t>
  </si>
  <si>
    <t>RF and network attackers</t>
  </si>
  <si>
    <t>Architectural and physical-layer weaknesses</t>
  </si>
  <si>
    <t>Eavesdropping; jamming; spoofing</t>
  </si>
  <si>
    <t>CVE-2025-46675</t>
  </si>
  <si>
    <t>Survey</t>
  </si>
  <si>
    <t>Surveyed LEO communication vulnerabilities and countermeasures with emphasis on physical-layer security.</t>
  </si>
  <si>
    <t>Yue2022LEOSecurity</t>
  </si>
  <si>
    <t>Table 3, [11]</t>
  </si>
  <si>
    <t>Entry-layer and impact-layer totals = Atlas entries</t>
  </si>
  <si>
    <t>https://www.semanticscholar.org/paper/On-the-Security-of-LEO-Satellite-Communication-and-Yue-Pan/3e41fbff6c9e3a088be64bff31328c0076e254fb</t>
  </si>
  <si>
    <t>Keys used without checking their state.</t>
  </si>
  <si>
    <t>Timing and direction totals = Atlas entries</t>
  </si>
  <si>
    <t>Peer-reviewed + non-peer-reviewed = Atlas entries</t>
  </si>
  <si>
    <t>Search index 13 Oct 2026: Semantic Scholar record title matches. Publisher (Sci. China Inf. Sci.) page NOT found - confirm venue and DOI</t>
  </si>
  <si>
    <t>Physical-layer susceptibility</t>
  </si>
  <si>
    <t>Survey of LEO communication vulnerabilities with emphasis on physical-layer security.</t>
  </si>
  <si>
    <t>https://www.cve.org/CVERecord?id=CVE-2025-46675</t>
  </si>
  <si>
    <t>CVE severity total = CVEs in register</t>
  </si>
  <si>
    <t>Every CVE row resolves to an Atlas source or is marked 'No Atlas source'</t>
  </si>
  <si>
    <t>Venue unconfirmed online; check .bib entry.</t>
  </si>
  <si>
    <t>Not mapped (survey / SoK spans many assets)</t>
  </si>
  <si>
    <t>n/a: survey or SoK, no single entry asset</t>
  </si>
  <si>
    <t>CVE IDs listed in Atlas = CVEs linked in register</t>
  </si>
  <si>
    <t>SoK: Space Infrastructures Vulnerabilities, Attacks and Defenses</t>
  </si>
  <si>
    <t>Castanon Remy et al. (2025)</t>
  </si>
  <si>
    <t>Systematisation of knowledge</t>
  </si>
  <si>
    <t>Systematises vulnerabilities, attacks and defences across space infrastructure.</t>
  </si>
  <si>
    <t>Remy2025SoKSpace</t>
  </si>
  <si>
    <t>Table 3, [58]</t>
  </si>
  <si>
    <t>Asset table: Atlas entries and CVEs add up</t>
  </si>
  <si>
    <t>https://ieeexplore.ieee.org/document/11023466</t>
  </si>
  <si>
    <t>Gap Matrix totals = Atlas entries</t>
  </si>
  <si>
    <t>Asset Register lists 27 assets, 7 of them at L3</t>
  </si>
  <si>
    <t>Systematisation of vulnerabilities, attacks and defences across space infrastructure.</t>
  </si>
  <si>
    <t>Reading the Atlas (13 Oct 2026)</t>
  </si>
  <si>
    <t>The original review set's observation (Summary sheet) still holds for those 43 papers. The added sources qualify it in three ways:</t>
  </si>
  <si>
    <t>1) In-the-wild GNSS interference against aircraft is now documented in peer-reviewed venues (Felux et al. 2024, NAVIGATION; Felux et al. 2025, CyCon), not only in industry and regulator material.</t>
  </si>
  <si>
    <t>2) L4 (governance &amp; integration) is no longer empty: Viasat KA-SAT (2022) is a real-world L4-to-L1 compromise, and the Black Hat 2025 disclosures add 45 verified CVEs in ground C2, flight software and the SDLS library. No source enters at L3: processing is reached only by propagation from L1/L2 (e.g. MLAT verification bypass, spoofed downlinks).</t>
  </si>
  <si>
    <t>Threat Modeling in Satellite Communications for Maritime Operations</t>
  </si>
  <si>
    <t>Frøseth, Kavallieratos &amp; Katsikas (2024)</t>
  </si>
  <si>
    <t>ESORICS Workshops (CyberICPS)</t>
  </si>
  <si>
    <t>3) Top-down timing failures are real (GPS UTC error 2016, Galileo outage 2019): the cross-cutting timing dependency can fail from L4 without any attacker.</t>
  </si>
  <si>
    <t>ESORICS workshop; workshops not ranked</t>
  </si>
  <si>
    <t>Counts above are live; these notes are a dated reading and are not recomputed.</t>
  </si>
  <si>
    <t>Maritime satcom adversaries</t>
  </si>
  <si>
    <t>Architectural weaknesses</t>
  </si>
  <si>
    <t>Threat model</t>
  </si>
  <si>
    <t>Applied a structured threat-modelling process to maritime satcom.</t>
  </si>
  <si>
    <t>Froseth2024MaritimeTM</t>
  </si>
  <si>
    <t>Table 4, [23]</t>
  </si>
  <si>
    <t>https://conferences.ds.unipi.gr/cybericps2024/assets/papers/3.pdf</t>
  </si>
  <si>
    <t>Page fetched 13 Oct 2026: title matches (workshop-hosted PDF)</t>
  </si>
  <si>
    <t>Structured threat model for maritime satcom operations.</t>
  </si>
  <si>
    <t>Not in Paper Alignment; layers coded here.</t>
  </si>
  <si>
    <t>Secure Estimation and Control for Cyber-Physical Systems under Adversarial Attacks</t>
  </si>
  <si>
    <t>Fawzi, Tabuada &amp; Diggavi (2014)</t>
  </si>
  <si>
    <t>IEEE Transactions on Automatic Control</t>
  </si>
  <si>
    <t>SCImago: IEEE TAC</t>
  </si>
  <si>
    <t>Attacker arbitrarily corrupting a subset of sensors</t>
  </si>
  <si>
    <t>Design limit of state estimation</t>
  </si>
  <si>
    <t>Sensor data manipulation</t>
  </si>
  <si>
    <t>Formal proof + resilient estimator</t>
  </si>
  <si>
    <t>Proved the state cannot be recovered once roughly half or more of sensors are compromised; gave a resilient estimator below that bound.</t>
  </si>
  <si>
    <t>Fawzi2014SecureEstimation</t>
  </si>
  <si>
    <t>Not cited yet; suggested for §2.5.2</t>
  </si>
  <si>
    <t>Bound on sensor compromise beyond which the state cannot be recovered; resilient estimator below it.</t>
  </si>
  <si>
    <t>Delay Attacks - Implication on NTP and PTP Time Synchronization</t>
  </si>
  <si>
    <t>Ullmann &amp; Vögeler (2009)</t>
  </si>
  <si>
    <t>IEEE ISPCS</t>
  </si>
  <si>
    <t>On-path attacker able to delay packets</t>
  </si>
  <si>
    <t>Inherent protocol limitation of time synchronisation</t>
  </si>
  <si>
    <t>Delay attack</t>
  </si>
  <si>
    <t>Protocol analysis</t>
  </si>
  <si>
    <t>Showed cryptographic protection of NTP / PTP cannot prevent delay attacks from skewing synchronisation.</t>
  </si>
  <si>
    <t>Ullmann2009Delay</t>
  </si>
  <si>
    <t>§2.5.2 [75]</t>
  </si>
  <si>
    <t>https://ieeexplore.ieee.org/abstract/document/5340224</t>
  </si>
  <si>
    <t>Packet-delay attack that skews NTP/PTP synchronisation despite cryptographic protection.</t>
  </si>
  <si>
    <t>M02; M03; M23</t>
  </si>
  <si>
    <t>Not in Paper Alignment; layers coded here. Propagates down to L1 clocks.</t>
  </si>
  <si>
    <t>A2.1, A2.3</t>
  </si>
  <si>
    <t>Bound threats: T2.03, T2.06</t>
  </si>
  <si>
    <t>L1 &gt; L2 &gt; L3 &gt; L4  (4 of 4 layers)
L1: A1.4, A1.5, A1.7 | L2: [A2.1], [A2.3], A2.2, A2.4 | L3: A3.1, A3.2, A3.3, A3.4, A3.5, A3.6 | L4: A4.5, A4.6
Boundaries to first check A3.4/A3.5: 1 | to ATM A4.6: 2</t>
  </si>
  <si>
    <t>Design of a Resilient Multi-Layered Security Framework for Satellite Communications</t>
  </si>
  <si>
    <t>Belali et al. (2026)</t>
  </si>
  <si>
    <t>Link-level attackers on CCSDS file transfer</t>
  </si>
  <si>
    <t>Design gap: confidentiality and integrity of CFDP file transfer</t>
  </si>
  <si>
    <t>Eavesdropping; tampering; replay</t>
  </si>
  <si>
    <t>Architecture design with STRIDE analysis; no attack executed</t>
  </si>
  <si>
    <t>Hybrid AES/ECC protection for the CCSDS File Delivery Protocol, validated through STRIDE; its resilience mechanism relies on GPS-based time synchronisation.</t>
  </si>
  <si>
    <t>Belali2026Resilient</t>
  </si>
  <si>
    <t>Table 3, [24]</t>
  </si>
  <si>
    <t>https://link.springer.com/article/10.1007/s10207-025-01184-z</t>
  </si>
  <si>
    <t>Eavesdropping, tampering and replay on CCSDS file transfer, addressed by hybrid AES/ECC protection.</t>
  </si>
  <si>
    <t>M04; M05</t>
  </si>
  <si>
    <t>Its resilience mechanism relies on GPS-based time synchronisation.</t>
  </si>
  <si>
    <t>Bound threats: T2.10</t>
  </si>
  <si>
    <t>Contained: disclosure only, no downstream state change.
Exposure at L2: [A2.5]</t>
  </si>
  <si>
    <t>Cyber Attacks on Space Information Networks: Vulnerabilities, Threats, and Countermeasures for Satellite Security</t>
  </si>
  <si>
    <t>Sharmin et al. (2025)</t>
  </si>
  <si>
    <t>J. Cybersecurity and Privacy (MDPI)</t>
  </si>
  <si>
    <t>Architectural weaknesses: complexity, COTS adoption, no standard security framework</t>
  </si>
  <si>
    <t>Structured review</t>
  </si>
  <si>
    <t>Attributes the exposure of Space Information Networks to system complexity, pervasive COTS adoption and the absence of standardised security frameworks.</t>
  </si>
  <si>
    <t>Sharmin2025SIN</t>
  </si>
  <si>
    <t>Table 3, [57]</t>
  </si>
  <si>
    <t>https://doi.org/10.3390/jcp5030076</t>
  </si>
  <si>
    <t>Page fetched 13 Oct 2026: title matches (DOAJ record lists this DOI)</t>
  </si>
  <si>
    <t>Review attributing space information network exposure to complexity, COTS use and missing standards.</t>
  </si>
  <si>
    <t>A Comprehensive Literature Review of Cybersecurity in Satellite Networks</t>
  </si>
  <si>
    <t>Wang et al. (2026)</t>
  </si>
  <si>
    <t>Multiple, across physical, network and user layers</t>
  </si>
  <si>
    <t>Multiple (attack chains)</t>
  </si>
  <si>
    <t>Literature review; knowledge matrix</t>
  </si>
  <si>
    <t>Proposes a Sat-ATT&amp;CK matrix modelling satellite attack chains across physical, network and user layers and maps defences to NIST CSF.</t>
  </si>
  <si>
    <t>Wang2026SatReview</t>
  </si>
  <si>
    <t>Table 3, [59]</t>
  </si>
  <si>
    <t>https://doi.org/10.3390/aerospace13030249</t>
  </si>
  <si>
    <t>Sat-ATT&amp;CK matrix of satellite attack chains across physical, network and user layers.</t>
  </si>
  <si>
    <t>Wireless Attacks on Aircraft Instrument Landing Systems</t>
  </si>
  <si>
    <t>Sathaye, Schepers, Ranganathan &amp; Noubir (2019)</t>
  </si>
  <si>
    <t>SDR attacker near the approach path</t>
  </si>
  <si>
    <t>Protocol flaw: unauthenticated ILS signals</t>
  </si>
  <si>
    <t>ILS signal spoofing / overshadowing</t>
  </si>
  <si>
    <t>Aviation-grade ILS receivers (real hardware) plus flight-simulator closed loop</t>
  </si>
  <si>
    <t>Spoofed ILS signals from COTS SDRs controlled aviation-grade receivers in real time; simulated autoland runs produced offset touchdowns.</t>
  </si>
  <si>
    <t>Sathaye2019ILS</t>
  </si>
  <si>
    <t>Not in draft; candidate for Table 1</t>
  </si>
  <si>
    <t>https://www.usenix.org/conference/usenixsecurity19/presentation/sathaye</t>
  </si>
  <si>
    <t>Overshadowing ILS guidance signals to deflect an approach.</t>
  </si>
  <si>
    <t>Navaid, outside MLAT-B scope; shows RF-overshadowing feasibility.</t>
  </si>
  <si>
    <t>Added 13 Oct 2026</t>
  </si>
  <si>
    <t>Bound threats: T1.07</t>
  </si>
  <si>
    <t>A View from the Cockpit: Exploring Pilot Reactions to Attacks on Avionic Systems</t>
  </si>
  <si>
    <t>Smith, Strohmeier, Harman, Lenders &amp; Martinovic (2020)</t>
  </si>
  <si>
    <t>Network and Distributed System Security Symposium (NDSS)</t>
  </si>
  <si>
    <t>ICORE portal not reachable 13 Oct 2026</t>
  </si>
  <si>
    <t>Wireless attacker targeting TCAS, GPWS and ILS</t>
  </si>
  <si>
    <t>Protocol flaw: unauthenticated avionic signals</t>
  </si>
  <si>
    <t>Spoofed alerts and approach guidance</t>
  </si>
  <si>
    <t>Flight-simulator study with 30 A320 type-rated pilots</t>
  </si>
  <si>
    <t>Simulated wireless attacks on TCAS, GPWS and ILS caused crew disruption and workload in simulator trials with type-rated pilots.</t>
  </si>
  <si>
    <t>Smith2020Cockpit</t>
  </si>
  <si>
    <t>Not in draft</t>
  </si>
  <si>
    <t>https://ndss-symposium.org/ndss-paper/a-view-from-the-cockpit-exploring-pilot-reactions-to-attacks-on-avionic-systems</t>
  </si>
  <si>
    <t>Page fetched 13 Oct 2026: title matches (year from paper PDF path)</t>
  </si>
  <si>
    <t>Spoofed TCAS/GPWS/ILS inputs to disrupt crew decision-making.</t>
  </si>
  <si>
    <t>Human-in-the-loop impact.</t>
  </si>
  <si>
    <t>Understanding Realistic Attacks on Airborne Collision Avoidance Systems</t>
  </si>
  <si>
    <t>Smith, Strohmeier, Lenders &amp; Martinovic (2022)</t>
  </si>
  <si>
    <t>Journal of Transportation Security</t>
  </si>
  <si>
    <t>SCImago: J. Transportation Security</t>
  </si>
  <si>
    <t>SDR attacker injecting transponder replies</t>
  </si>
  <si>
    <t>Protocol flaw: unauthenticated TCAS / Mode S replies</t>
  </si>
  <si>
    <t>False collision-avoidance advisories</t>
  </si>
  <si>
    <t>Simulation-based analysis</t>
  </si>
  <si>
    <t>Analysed and simulated realistic injection attacks that could trigger false TCAS advisories, and the attacker capability they require.</t>
  </si>
  <si>
    <t>Smith2022TCAS</t>
  </si>
  <si>
    <t>https://doi.org/10.1007/s12198-021-00238-2</t>
  </si>
  <si>
    <t>Search index 13 Oct 2026: page title matches, page not fetchable (Springer and RePEc records)</t>
  </si>
  <si>
    <t>Injected transponder replies to trigger false collision-avoidance advisories.</t>
  </si>
  <si>
    <t>On the Requirements for Successful GPS Spoofing Attacks</t>
  </si>
  <si>
    <t>Tippenhauer, Pöpper, Rasmussen &amp; Čapkun (2011)</t>
  </si>
  <si>
    <t>Spoofer with one or more transmitters</t>
  </si>
  <si>
    <t>GPS spoofing of single and multiple receivers</t>
  </si>
  <si>
    <t>Analysis plus lab experiments (GPS signal simulator cabled to a COTS receiver)</t>
  </si>
  <si>
    <t>Derived the conditions for spoofing one or several receivers and showed that preserving a formation of multiple receivers is highly constrained.</t>
  </si>
  <si>
    <t>Tippenhauer2011GPSSpoofing</t>
  </si>
  <si>
    <t>https://www.cs.ox.ac.uk/publications/publication7160-abstract.html</t>
  </si>
  <si>
    <t>Page fetched 13 Oct 2026: title matches (Oxford record; no DOI shown)</t>
  </si>
  <si>
    <t>Spoofing GPS receivers while respecting multi-receiver geometry constraints.</t>
  </si>
  <si>
    <t>M01; M12; M18; M19</t>
  </si>
  <si>
    <t>Basis for multi-receiver spoofing detection.</t>
  </si>
  <si>
    <t>Attacking the Network Time Protocol</t>
  </si>
  <si>
    <t>Malhotra, Cohen, Brakke &amp; Goldberg (2016)</t>
  </si>
  <si>
    <t>On-path and off-path network attackers</t>
  </si>
  <si>
    <t>Protocol and implementation flaws in ntpd</t>
  </si>
  <si>
    <t>Time shifting; off-path denial of synchronisation</t>
  </si>
  <si>
    <t>Attacks on real ntpd under the authors' control; internet-wide exposure measurement</t>
  </si>
  <si>
    <t>Showed on- and off-path attacks that shift client time or deny synchronisation; ntpd CVEs were assigned.</t>
  </si>
  <si>
    <t>Malhotra2016NTP</t>
  </si>
  <si>
    <t>Not in draft; candidate for §2.5.2</t>
  </si>
  <si>
    <t>https://www.ndss-symposium.org/wp-content/uploads/2017/09/attacking-network-time-protocol.pdf</t>
  </si>
  <si>
    <t>Search index 13 Oct 2026: page title matches, page not fetchable; BU project page fetched lists CVEs</t>
  </si>
  <si>
    <t>Shifting or denying NTP time to clients from on- or off-path positions.</t>
  </si>
  <si>
    <t>CVE-2015-7704; CVE-2015-7705; CVE-2015-5300; CVE-2015-8138; CVE-2016-1547</t>
  </si>
  <si>
    <t>Ground timing distribution (L4 sync) propagates to L1 clocks.</t>
  </si>
  <si>
    <t>Bound threats: T2.06, T2.07</t>
  </si>
  <si>
    <t>A Security Analysis and Revised Security Extension for the Precision Time Protocol</t>
  </si>
  <si>
    <t>Itkin &amp; Wool (2020)</t>
  </si>
  <si>
    <t>Network attacker on PTP paths</t>
  </si>
  <si>
    <t>Design gaps in the PTP security extension</t>
  </si>
  <si>
    <t>PTP message manipulation; delay</t>
  </si>
  <si>
    <t>Protocol analysis and revised design; no attack on a deployed system</t>
  </si>
  <si>
    <t>Found weaknesses in the PTP security extension and proposed a revised extension.</t>
  </si>
  <si>
    <t>Itkin2020PTP</t>
  </si>
  <si>
    <t>https://doi.org/10.1109/TDSC.2017.2748583</t>
  </si>
  <si>
    <t>Page fetched 13 Oct 2026: title matches (TAU research record lists this DOI)</t>
  </si>
  <si>
    <t>Manipulating PTP exchanges to corrupt clock synchronisation.</t>
  </si>
  <si>
    <t>CVE-2021-3570; CVE-2021-3571</t>
  </si>
  <si>
    <t>M03; M23; M24</t>
  </si>
  <si>
    <t>CVEs are related implementation flaws (linuxptp), not from this paper.</t>
  </si>
  <si>
    <t>Satellite Spoofing from A to Z: On the Requirements of Satellite Downlink Overshadowing Attacks</t>
  </si>
  <si>
    <t>Salkield et al. (2023)</t>
  </si>
  <si>
    <t>Ground-based SDR attacker overshadowing downlinks</t>
  </si>
  <si>
    <t>Downlink overshadowing / spoofing</t>
  </si>
  <si>
    <t>Real-world experiments plus channel simulations</t>
  </si>
  <si>
    <t>Nearly all evaluated satellite systems could be overshadowed at 1 km in the worst case for about USD 2,000 or less.</t>
  </si>
  <si>
    <t>Salkield2023AtoZ</t>
  </si>
  <si>
    <t>Not in draft; candidate for Table 3</t>
  </si>
  <si>
    <t>https://doi.org/10.1145/3558482.3590190</t>
  </si>
  <si>
    <t>Page fetched 13 Oct 2026: title matches (Oxford record lists this DOI)</t>
  </si>
  <si>
    <t>Overshadowing a satellite downlink so the ground accepts attacker data.</t>
  </si>
  <si>
    <t>M04; M17</t>
  </si>
  <si>
    <t>Directly relevant to downlinked TOA/FOA observables.</t>
  </si>
  <si>
    <t>A2.1, A2.4</t>
  </si>
  <si>
    <t>Bound threats: T2.02, T2.09</t>
  </si>
  <si>
    <t>L1 &gt; L2 &gt; L3 &gt; L4  (4 of 4 layers)
L1: A1.7 | L2: [A2.1], [A2.4], A2.2 | L3: A3.1, A3.3, A3.4, A3.5, A3.6 | L4: A4.5, A4.6
Boundaries to first check A3.4/A3.5: 1 | to ATM A4.6: 2</t>
  </si>
  <si>
    <t>Firefly: Spoofing Earth Observation Satellite Data through Radio Overshadowing</t>
  </si>
  <si>
    <t>Workshop on the Security of Space and Satellite Systems (SpaceSec)</t>
  </si>
  <si>
    <t>Workshop; workshops not ranked</t>
  </si>
  <si>
    <t>Ground-based SDR attacker</t>
  </si>
  <si>
    <t>Data spoofing via overshadowing</t>
  </si>
  <si>
    <t>Crafted data fed to a lab replica of the ground decoding pipeline; no over-the-air attack</t>
  </si>
  <si>
    <t>Spoofed Earth-observation data built from archived files was accepted by a lab replica of an open-source ground decoding pipeline.</t>
  </si>
  <si>
    <t>Salkield2023Firefly</t>
  </si>
  <si>
    <t>https://www.ndss-symposium.org/wp-content/uploads/2023/06/spacesec2023-231879-paper.pdf</t>
  </si>
  <si>
    <t>Page fetched 13 Oct 2026: title matches (paper PDF; DOI 10.14722/spacesec.2023.231879)</t>
  </si>
  <si>
    <t>Spoofed downlink data accepted by ground processing.</t>
  </si>
  <si>
    <t>Bound threats: T2.02, T2.03</t>
  </si>
  <si>
    <t>On the Security of Satellite-Based Air Traffic Control (ADS-C)</t>
  </si>
  <si>
    <t>Lüscher, Strohmeier &amp; Lenders (2024)</t>
  </si>
  <si>
    <t>Passive listener; active RF attacker (lab only)</t>
  </si>
  <si>
    <t>Protocol flaw: unauthenticated ADS-C over satellite data links</t>
  </si>
  <si>
    <t>Eavesdropping and tracking; fake position injection; contract manipulation</t>
  </si>
  <si>
    <t>Passive collection of over 120,000 live messages; active attacks only in lab tests</t>
  </si>
  <si>
    <t>Passively collected over 120,000 live ADS-C messages and showed in lab tests that downlink and uplink injection and contract manipulation are feasible.</t>
  </si>
  <si>
    <t>Luscher2024ADSC</t>
  </si>
  <si>
    <t>Not in draft; candidate for Table 2</t>
  </si>
  <si>
    <t>https://doi.org/10.14722/spacesec.2024.23022</t>
  </si>
  <si>
    <t>Page fetched 13 Oct 2026: title matches (DOI printed on paper PDF; Oxford record title matches)</t>
  </si>
  <si>
    <t>Passive tracking via satellite ADS-C; injection and contract manipulation shown in the lab.</t>
  </si>
  <si>
    <t>E3 rests on passive collection only.</t>
  </si>
  <si>
    <t>Bound threats: T2.09</t>
  </si>
  <si>
    <t>GNSS Spoofing Detection via Opportunistic IRIDIUM Signals</t>
  </si>
  <si>
    <t>Oligeri, Sciancalepore &amp; Di Pietro (2020)</t>
  </si>
  <si>
    <t>GNSS spoofer</t>
  </si>
  <si>
    <t>GNSS spoofing</t>
  </si>
  <si>
    <t>Real Iridium signal measurements; spoofing evaluated on collected data</t>
  </si>
  <si>
    <t>Uses received Iridium LEO signals as a GNSS-independent reference to detect GNSS spoofing.</t>
  </si>
  <si>
    <t>Oligeri2020Iridium</t>
  </si>
  <si>
    <t>Not in draft; candidate for mitigation discussion</t>
  </si>
  <si>
    <t>Page fetched 13 Oct 2026: title matches (TU/e record lists this DOI)</t>
  </si>
  <si>
    <t>GNSS spoofing detected by cross-checking against LEO signals of opportunity.</t>
  </si>
  <si>
    <t>LEO-based cross-check, close to PRISM-LEO's GNSS-independence goal.</t>
  </si>
  <si>
    <t>Impacts of Global Navigation Satellite System Jamming on Aviation</t>
  </si>
  <si>
    <t>Felux, Fol, Figuet, Waltert &amp; Olive (2024)</t>
  </si>
  <si>
    <t>NAVIGATION: Journal of the Institute of Navigation (ION)</t>
  </si>
  <si>
    <t>SCImago: NAVIGATION (checked 13 Oct 2026)</t>
  </si>
  <si>
    <t>State-level GNSS jammers</t>
  </si>
  <si>
    <t>Low-power, unauthenticated GNSS signals</t>
  </si>
  <si>
    <t>GNSS jamming</t>
  </si>
  <si>
    <t>Crowdsourced ADS-B data from live flights, Feb-Dec 2022</t>
  </si>
  <si>
    <t>Quantified GNSS jamming in three European regions (over 70% of flights affected at peak near Cyprus) and its ADS-B outage effects on flights.</t>
  </si>
  <si>
    <t>Felux2024Jamming</t>
  </si>
  <si>
    <t>Not in draft; peer-reviewed in-the-wild evidence for Table 1</t>
  </si>
  <si>
    <t>https://doi.org/10.33012/navi.657</t>
  </si>
  <si>
    <t>Page fetched 13 Oct 2026: title matches (navi.ion.org article page)</t>
  </si>
  <si>
    <t>Wide-area GNSS jamming degrading aircraft navigation and ADS-B surveillance.</t>
  </si>
  <si>
    <t>M14; M18; M23</t>
  </si>
  <si>
    <t>Peer-reviewed operational evidence.</t>
  </si>
  <si>
    <t>Navigating Turbulence: Understanding New GNSS Risks in Conflict Zones</t>
  </si>
  <si>
    <t>Felux, Lenders, Strohmeier, Figuet &amp; Monstein (2025)</t>
  </si>
  <si>
    <t>Int. Conf. on Cyber Conflict (CyCon), NATO CCDCOE</t>
  </si>
  <si>
    <t>Not yet checked against ICORE</t>
  </si>
  <si>
    <t>State-level jammers and spoofers</t>
  </si>
  <si>
    <t>GNSS jamming and spoofing</t>
  </si>
  <si>
    <t>Crowdsourced OpenSky ADS-B data, 2024</t>
  </si>
  <si>
    <t>Mapped 2024 GNSS jamming and spoofing hotspots from ADS-B; affected flights peaked near 1,500 per day before falling to about 500 by late 2024.</t>
  </si>
  <si>
    <t>Felux2025CyCon</t>
  </si>
  <si>
    <t>https://www.lenders.ch/publications/conferences/cycon25_2.pdf</t>
  </si>
  <si>
    <t>Page fetched 13 Oct 2026: title matches (author-hosted paper PDF)</t>
  </si>
  <si>
    <t>GNSS spoofing and jamming of aircraft observed in conflict-zone airspace.</t>
  </si>
  <si>
    <t>M14; M18</t>
  </si>
  <si>
    <t>Global Incidents of Aviation Spoofing in 2024-2025 Detected with Automatic Dependent Surveillance Broadcast</t>
  </si>
  <si>
    <t>Lo, Liu, Ibrahim, Chen, Akos &amp; Walter (2026)</t>
  </si>
  <si>
    <t>ION ITM 2026 per author-hosted file name (ION record not confirmed)</t>
  </si>
  <si>
    <t>Venue not confirmed</t>
  </si>
  <si>
    <t>State-level GNSS spoofers</t>
  </si>
  <si>
    <t>GNSS spoofing of aircraft</t>
  </si>
  <si>
    <t>Operational ADS-B data (rfi.stanford.edu), MLAT and AIS</t>
  </si>
  <si>
    <t>Shows GNSS spoofing of aircraft is widespread and persistent (e.g. Russia, Myanmar, India-Pakistan border), using ADS-B, MLAT and AIS.</t>
  </si>
  <si>
    <t>Lo2026SpoofingADSB</t>
  </si>
  <si>
    <t>https://web.stanford.edu/group/scpnt/gpslab/pubs/papers/Lo_ION_ITM_2026_Observations_of_Spoofing.pdf</t>
  </si>
  <si>
    <t>Page fetched 13 Oct 2026: title matches (author-hosted PDF)</t>
  </si>
  <si>
    <t>GNSS spoofing of aircraft detected globally from ADS-B and MLAT data.</t>
  </si>
  <si>
    <t>M18; M15</t>
  </si>
  <si>
    <t>Uses MLAT as an independent position check.</t>
  </si>
  <si>
    <t>Bound threats: T1.03</t>
  </si>
  <si>
    <t>Practical Spoofing Attacks on Galileo Open Service Navigation Message Authentication</t>
  </si>
  <si>
    <t>Wang et al. (2025)</t>
  </si>
  <si>
    <t>arXiv preprint 2501.09246 (extends an ION GNSS+ 2023 paper)</t>
  </si>
  <si>
    <t>n/a (preprint)</t>
  </si>
  <si>
    <t>Preprint; not ranked</t>
  </si>
  <si>
    <t>Attacker able to manipulate receiver time synchronisation</t>
  </si>
  <si>
    <t>OSNMA relies on loose receiver time synchronisation</t>
  </si>
  <si>
    <t>Replay / forgery via time-synchronisation manipulation</t>
  </si>
  <si>
    <t>Over-the-air tests with a commercial receiver and SDRs in a controlled setting</t>
  </si>
  <si>
    <t>Showed OSNMA-enabled receivers can be spoofed when their time synchronisation is manipulated, using a commercial receiver and SDRs.</t>
  </si>
  <si>
    <t>Wang2025OSNMASpoof</t>
  </si>
  <si>
    <t>https://arxiv.org/abs/2501.09246</t>
  </si>
  <si>
    <t>Page fetched 13 Oct 2026: title matches (arXiv HTML v1)</t>
  </si>
  <si>
    <t>Defeating navigation-message authentication by manipulating receiver time.</t>
  </si>
  <si>
    <t>M01; M23</t>
  </si>
  <si>
    <t>Known limitation of M01 (OSNMA).</t>
  </si>
  <si>
    <t>Satellite Cybersecurity Across Orbital Altitudes: Analyzing Ground-Based Threats to LEO, MEO, and GEO</t>
  </si>
  <si>
    <t>Ballard, Song &amp; Zhu (2025)</t>
  </si>
  <si>
    <t>arXiv preprint 2512.21367</t>
  </si>
  <si>
    <t>Ground-based attackers</t>
  </si>
  <si>
    <t>Multiple, across orbital regimes</t>
  </si>
  <si>
    <t>Analysis of 60 documented incidents; no attack executed</t>
  </si>
  <si>
    <t>Compares cyber threats across LEO, MEO and GEO using 60 documented incidents and vulnerability indicators such as TT&amp;C anomalies and weak encryption.</t>
  </si>
  <si>
    <t>BallardSong2025Orbital</t>
  </si>
  <si>
    <t>Table 3, [60] (Paper Alignment)</t>
  </si>
  <si>
    <t>https://arxiv.org/abs/2512.21367</t>
  </si>
  <si>
    <t>Incident-based comparison of ground-originated threats across orbits.</t>
  </si>
  <si>
    <t>Was on Excluded Entries (not peer-reviewed).</t>
  </si>
  <si>
    <t>Ghost in the Air(Traffic): On Insecurity of ADS-B Protocol and Practical Attacks on ADS-B Devices</t>
  </si>
  <si>
    <t>Costin &amp; Francillon (2012)</t>
  </si>
  <si>
    <t>Black Hat USA 2012 (talk + white paper)</t>
  </si>
  <si>
    <t>n/a (not peer-reviewed)</t>
  </si>
  <si>
    <t>Conference talk; not ranked</t>
  </si>
  <si>
    <t>Low-cost SDR attacker</t>
  </si>
  <si>
    <t>Protocol flaw: unauthenticated ADS-B broadcast</t>
  </si>
  <si>
    <t>Ghost injection; eavesdropping</t>
  </si>
  <si>
    <t>Attacks on COTS ADS-B devices in a controlled setting</t>
  </si>
  <si>
    <t>Showed practical ghost-aircraft injection against commercial ADS-B receivers with commodity SDR.</t>
  </si>
  <si>
    <t>Costin2012ADSB</t>
  </si>
  <si>
    <t>Table 1, [5] (Paper Alignment)</t>
  </si>
  <si>
    <t>https://www.eurecom.fr/publication/3788</t>
  </si>
  <si>
    <t>Search index 13 Oct 2026: page title matches, page not fetchable (EURECOM record)</t>
  </si>
  <si>
    <t>Ghost-aircraft injection into COTS ADS-B receivers using commodity SDR.</t>
  </si>
  <si>
    <t>Bound threats: T1.01, T1.02</t>
  </si>
  <si>
    <t>Aircraft Hacking: Practical Aero Series</t>
  </si>
  <si>
    <t>Teso (2013)</t>
  </si>
  <si>
    <t>HITBSecConf 2013 Amsterdam (talk)</t>
  </si>
  <si>
    <t>Remote attacker with data-link access</t>
  </si>
  <si>
    <t>Unauthenticated data link; on-board software flaws (claimed)</t>
  </si>
  <si>
    <t>Data-link-borne exploitation of on-board systems</t>
  </si>
  <si>
    <t>Lab setup attacking virtual (simulated) aircraft systems; not shown on certified avionics</t>
  </si>
  <si>
    <t>Claimed data-link-delivered exploitation of on-board flight-management software, demonstrated only against simulated aircraft systems in a lab.</t>
  </si>
  <si>
    <t>Teso2013AeroHacking</t>
  </si>
  <si>
    <t>https://archive.conference.hitb.org/hitbsecconf2013ams/index.html_p=2991.html</t>
  </si>
  <si>
    <t>Page fetched 13 Oct 2026: title matches (HITB archive talk page)</t>
  </si>
  <si>
    <t>Exploiting on-board software through an unauthenticated data link (simulated systems only).</t>
  </si>
  <si>
    <t>M22; M06</t>
  </si>
  <si>
    <t>Contested applicability to certified avionics.</t>
  </si>
  <si>
    <t>Bound threats: T1.12, T2.11</t>
  </si>
  <si>
    <t>SATCOM Terminals: Hacking by Air, Sea, and Land</t>
  </si>
  <si>
    <t>Santamarta (2014)</t>
  </si>
  <si>
    <t>Black Hat USA 2014 (talk + white paper)</t>
  </si>
  <si>
    <t>Attacker with network, serial or RF access to terminals</t>
  </si>
  <si>
    <t>Software bugs: hard-coded credentials, backdoors, weak algorithms</t>
  </si>
  <si>
    <t>Terminal compromise; privilege escalation</t>
  </si>
  <si>
    <t>Firmware reverse engineering of commercial terminals; issues coordinated via CERT/CC (VU#882207, VU#269991)</t>
  </si>
  <si>
    <t>Found backdoors, hard-coded credentials and weak algorithms in aviation and maritime SATCOM terminal firmware.</t>
  </si>
  <si>
    <t>Santamarta2014SATCOM</t>
  </si>
  <si>
    <t>https://www.blackhat.com/docs/us-14/materials/us-14-Santamarta-SATCOM-Terminals-Hacking-By-Air-Sea-And-Land-WP.pdf</t>
  </si>
  <si>
    <t>Search index 13 Oct 2026: page title matches, page not fetchable (Black Hat white paper)</t>
  </si>
  <si>
    <t>Configuration, key &amp; access abuse</t>
  </si>
  <si>
    <t>Abuse of hard-coded credentials and weak PIN algorithms in SATCOM terminals.</t>
  </si>
  <si>
    <t>CVE-2014-2941; CVE-2014-2942; CVE-2014-2964</t>
  </si>
  <si>
    <t>CVE-2014-2941 is disputed by the vendor.</t>
  </si>
  <si>
    <t>A1.7, A2.4, A4.3</t>
  </si>
  <si>
    <t>Bound threats: T1.15, T2.12, T4.04</t>
  </si>
  <si>
    <t>L1 &gt; L2 &gt; L3 &gt; L4  (4 of 4 layers)
L1: [A1.7] | L2: [A2.4] | L3: A3.1, A3.3, A3.4, A3.5, A3.6 | L4: A4.5, A4.6
Boundaries to first check A3.4/A3.5: 1 | to ATM A4.6: 2</t>
  </si>
  <si>
    <t>Last Call for SATCOM Security</t>
  </si>
  <si>
    <t>Santamarta (2018)</t>
  </si>
  <si>
    <t>Black Hat USA 2018 (talk + white paper)</t>
  </si>
  <si>
    <t>Remote internet attacker</t>
  </si>
  <si>
    <t>Software bugs and insecure configuration in in-service SATCOM terminals</t>
  </si>
  <si>
    <t>Remote terminal compromise; exposure of in-flight terminals</t>
  </si>
  <si>
    <t>Internet-exposed in-service terminals identified on live systems (coded E3 on Paper Alignment)</t>
  </si>
  <si>
    <t>Reported that SATCOM terminals on in-service aircraft, vessels and military sites were remotely reachable and exploitable.</t>
  </si>
  <si>
    <t>Santamarta2018SATCOM</t>
  </si>
  <si>
    <t>Table 2, [49] (Paper Alignment)</t>
  </si>
  <si>
    <t>https://i.blackhat.com/us-18/Thu-August-9/us-18-Santamarta-Last-Call-For-Satcom-Security.pdf</t>
  </si>
  <si>
    <t>Search index 13 Oct 2026: page title matches, page not fetchable (Black Hat slides)</t>
  </si>
  <si>
    <t>Configuration / access-control weakness</t>
  </si>
  <si>
    <t>Remote compromise of internet-exposed in-service SATCOM terminals.</t>
  </si>
  <si>
    <t>M13; M24; M06</t>
  </si>
  <si>
    <t>Bound threats: T1.15</t>
  </si>
  <si>
    <t>Whispers Among the Stars: Perpetrating (and Preventing) Satellite Eavesdropping Attacks</t>
  </si>
  <si>
    <t>Pavur (2020)</t>
  </si>
  <si>
    <t>Black Hat USA 2020 (talk)</t>
  </si>
  <si>
    <t>Unencrypted satellite broadband links</t>
  </si>
  <si>
    <t>Eavesdropping</t>
  </si>
  <si>
    <t>Passive interception of live third-party satellite broadband traffic, incl. in-flight connectivity</t>
  </si>
  <si>
    <t>Showed that a few hundred dollars of equipment can passively intercept live satellite broadband traffic, including aviation in-flight connectivity.</t>
  </si>
  <si>
    <t>Pavur2020Whispers</t>
  </si>
  <si>
    <t>Not in draft; companion to Table 2, [50]</t>
  </si>
  <si>
    <t>https://i.blackhat.com/USA-20/Wednesday/us-20-Pavur-Whispers-Among-The-Stars-Perpetrating-And-Preventing-Satellite-Eavesdropping-Attacks.pdf</t>
  </si>
  <si>
    <t>Passive interception of unencrypted satellite broadband downlinks.</t>
  </si>
  <si>
    <t>Glitched on Earth by Humans: A Black-Box Security Evaluation of the SpaceX Starlink User Terminal</t>
  </si>
  <si>
    <t>Wouters (2022)</t>
  </si>
  <si>
    <t>Black Hat USA 2022 (talk)</t>
  </si>
  <si>
    <t>Attacker with physical access to a user terminal</t>
  </si>
  <si>
    <t>Hardware fault-injection susceptibility in secure boot</t>
  </si>
  <si>
    <t>Fault injection; terminal takeover</t>
  </si>
  <si>
    <t>Attack on the researcher's own Starlink terminal (real hardware)</t>
  </si>
  <si>
    <t>Voltage fault injection on a real Starlink user terminal bypassed secure boot and gave root access on the researcher's own device.</t>
  </si>
  <si>
    <t>Wouters2022Starlink</t>
  </si>
  <si>
    <t>Table 3, [53] (Paper Alignment)</t>
  </si>
  <si>
    <t>https://infocondb.org/con/black-hat/black-hat-usa-2022/glitched-on-earth-by-humans-a-black-box-security-evaluation-of-the-spacex-starlink-user-terminal</t>
  </si>
  <si>
    <t>Search index 13 Oct 2026: page title matches, page not fetchable (InfoconDB talk record; official Black Hat page not located)</t>
  </si>
  <si>
    <t>Fault injection on a user terminal to bypass secure boot.</t>
  </si>
  <si>
    <t>Bound threats: T1.14</t>
  </si>
  <si>
    <t>Burning, Trashing, Spacecraft Crashing: A Collection of Vulnerabilities that will End your Space Mission</t>
  </si>
  <si>
    <t>Olchawa, Starcik, Fradique &amp; Boulaich (2025)</t>
  </si>
  <si>
    <t>Black Hat USA 2025 (talk)</t>
  </si>
  <si>
    <t>Network attacker reaching ground-segment or flight-software interfaces</t>
  </si>
  <si>
    <t>Software bugs in open-source mission control, flight software and an SDLS library</t>
  </si>
  <si>
    <t>RCE, path traversal, XSS, memory corruption, DoS</t>
  </si>
  <si>
    <t>Testing of real open-source space software in the researchers' lab; coordinated disclosure with CVEs</t>
  </si>
  <si>
    <t>Lists 45 CVEs across Yamcs, OpenC3 COSMOS, NASA Open MCT, cFS, CryptoLib, F Prime and AIT-Core, including remote code execution on ground C2 and flight software.</t>
  </si>
  <si>
    <t>Olchawa2025SpacecraftCrashing</t>
  </si>
  <si>
    <t>Not in draft; first L4 (governance) attack evidence in the set</t>
  </si>
  <si>
    <t>https://i.blackhat.com/BH-USA-25/Presentations/USA-25-OlchawaStarcik-Burning-Trashing-Spacecraft-Crashing.pdf</t>
  </si>
  <si>
    <t>Page fetched 13 Oct 2026: title matches (slides; CVE list read from 'Public Disclosures')</t>
  </si>
  <si>
    <t>Exploiting mission-control, flight-software and SDLS-library bugs to disrupt or seize a mission.</t>
  </si>
  <si>
    <t>CVE-2025-28380; CVE-2025-28381; CVE-2025-28382; CVE-2025-28384; CVE-2025-28386; CVE-2025-28388; CVE-2025-28389; CVE-2023-45277; CVE-2023-45278; CVE-2023-45279; CVE-2023-45280; CVE-2023-45281; CVE-2023-46470; CVE-2023-46471; CVE-2023-47311; CVE-2023-45282; CVE-2023-45884; CVE-2023-45885; CVE-2025-25371; CVE-2025-25372; CVE-2025-25373; CVE-2025-25374; CVE-2024-44910; CVE-2024-44911; CVE-2024-44912; CVE-2024-55028; CVE-2024-55029; CVE-2024-55030; CVE-2024-35056; CVE-2024-35057; CVE-2024-35058; CVE-2024-35059; CVE-2024-35060; CVE-2024-35061; CVE-2025-29909; CVE-2025-29910; CVE-2025-29911; CVE-2025-29912; CVE-2025-29913; CVE-2025-30216; CVE-2025-30356; CVE-2025-46672; CVE-2025-46673; CVE-2025-46674; CVE-2025-46675</t>
  </si>
  <si>
    <t>M24; M04; M05; M10; M13</t>
  </si>
  <si>
    <t>Ground C2 (L4) to spacecraft (L1): crosses TB3, TB2, TB1 downward.</t>
  </si>
  <si>
    <t>A1.6, A2.4, A3.3, A3.7, A4.8</t>
  </si>
  <si>
    <t>Bound threats: T1.13, T2.12, T3.05, T3.11, T3.12, T4.15</t>
  </si>
  <si>
    <t>L1 &gt; L2 &gt; L3 &gt; L4  (4 of 4 layers)
L1: [A1.6], A1.4†, A1.5†, A1.7 | L2: [A2.4], A2.1†, A2.2†, A2.3†, A2.5 | L3: [A3.3], [A3.7], A3.1, A3.2, A3.4, A3.5, A3.6 | L4: [A4.8], A4.1, A4.2, A4.3, A4.4, A4.5, A4.6
Boundaries to first check A3.4/A3.5: 0 (an origin is a check) | to ATM A4.6: 1</t>
  </si>
  <si>
    <t>Investigating the Iridium Satellite Network</t>
  </si>
  <si>
    <t>Sec &amp; schneider (2024)</t>
  </si>
  <si>
    <t>38th Chaos Communication Congress (38C3) (talk)</t>
  </si>
  <si>
    <t>Passive SDR listener</t>
  </si>
  <si>
    <t>Unencrypted satellite signalling and service frames</t>
  </si>
  <si>
    <t>Eavesdropping; location tracking</t>
  </si>
  <si>
    <t>Reception of live Iridium signals with new antennas and SDR tools</t>
  </si>
  <si>
    <t>Received live Iridium signals and analysed metadata incl. beam patterns, Time and Location service frames and handset location updates.</t>
  </si>
  <si>
    <t>Sec2024Iridium38C3</t>
  </si>
  <si>
    <t>https://media.ccc.de/v/7586d408-8e63-5734-889c-acf80bec8760</t>
  </si>
  <si>
    <t>Page fetched 13 Oct 2026: title matches (media.ccc.de talk page)</t>
  </si>
  <si>
    <t>Passive reception and analysis of LEO satellite signalling and timing-service frames.</t>
  </si>
  <si>
    <t>LEO timing-service frames are observable to third parties.</t>
  </si>
  <si>
    <t>Bound threats: T2.08, T2.10</t>
  </si>
  <si>
    <t>Contained: disclosure only, no downstream state change.
Exposure at L2: [A2.4], [A2.5]</t>
  </si>
  <si>
    <t>Moonlighter on-orbit hacking sandbox (Hack-A-Sat 4 finals, DEF CON 31)</t>
  </si>
  <si>
    <t>AFRL / US Space Force &amp; Aerospace Corp. (2023)</t>
  </si>
  <si>
    <t>DEF CON 31 Hack-A-Sat 4 (competition event)</t>
  </si>
  <si>
    <t>Event; not ranked</t>
  </si>
  <si>
    <t>Competition teams with authorised uplink access</t>
  </si>
  <si>
    <t>Deliberately exposed on-board software sandbox</t>
  </si>
  <si>
    <t>On-orbit software exploitation (authorised CTF)</t>
  </si>
  <si>
    <t>Real satellite in orbit; attacks confined to a sandbox under organisers' control</t>
  </si>
  <si>
    <t>First on-orbit capture-the-flag: teams attacked the software sandbox of a purpose-built 3U CubeSat in orbit.</t>
  </si>
  <si>
    <t>Aerospace2023Moonlighter</t>
  </si>
  <si>
    <t>https://afresearchlab.com/news/hack-a-sats-moonlighter-satellite-deploys-to-low-earth-orbit-after-last-months-successful-launch/</t>
  </si>
  <si>
    <t>Page fetched 13 Oct 2026: title matches (AFRL news page)</t>
  </si>
  <si>
    <t>Authorised exploitation of an on-orbit software sandbox via uplink.</t>
  </si>
  <si>
    <t>A1.6, A2.5, A4.4, A4.7, A4.8</t>
  </si>
  <si>
    <t>Bound threats: T1.12, T2.11, T4.06, T4.12</t>
  </si>
  <si>
    <t>L1 &gt; L2 &gt; L3 &gt; L4  (4 of 4 layers)
L1: [A1.6], A1.4†, A1.5†, A1.7† | L2: [A2.5], A2.1†, A2.2†, A2.3†, A2.4† | L3: A3.1, A3.2, A3.3, A3.4, A3.5, A3.6, A3.7 | L4: [A4.4], [A4.7], [A4.8], A4.1, A4.2, A4.3, A4.5, A4.6
Boundaries to first check A3.4/A3.5: 1 | to ATM A4.6: 2</t>
  </si>
  <si>
    <t>Strengthening Cybersecurity of SATCOM Network Providers and Customers (AA22-076A)</t>
  </si>
  <si>
    <t>CISA &amp; FBI (2022)</t>
  </si>
  <si>
    <t>CISA Cybersecurity Advisory (17 Mar 2022)</t>
  </si>
  <si>
    <t>Government advisory</t>
  </si>
  <si>
    <t>State-linked actors targeting SATCOM providers</t>
  </si>
  <si>
    <t>Weak remote access and segmentation at SATCOM providers and customers</t>
  </si>
  <si>
    <t>Ground-network intrusion; service disruption</t>
  </si>
  <si>
    <t>Government advisory; no incident detail</t>
  </si>
  <si>
    <t>Warned of possible threats to SATCOM networks and listed mitigations such as MFA, segmentation, monitoring and encryption.</t>
  </si>
  <si>
    <t>CISA2022AA22076A</t>
  </si>
  <si>
    <t>Not in draft; mitigation source (M13)</t>
  </si>
  <si>
    <t>Search index 13 Oct 2026: page title matches, page not fetchable (CISA advisory page)</t>
  </si>
  <si>
    <t>Intrusion into SATCOM provider or customer ground networks to disrupt service.</t>
  </si>
  <si>
    <t>A2.4, A4.8</t>
  </si>
  <si>
    <t>Bound threats: T2.12, T4.15</t>
  </si>
  <si>
    <t>L1 &gt; L2 &gt; L3 &gt; L4  (4 of 4 layers)
L1: A1.4†, A1.5†, A1.6, A1.7 | L2: [A2.4], A2.1†, A2.2†, A2.3†, A2.5 | L3: A3.1, A3.2, A3.3, A3.4, A3.5, A3.6 | L4: [A4.8], A4.1, A4.2, A4.3, A4.4, A4.5, A4.6
Boundaries to first check A3.4/A3.5: 1 | to ATM A4.6: 2</t>
  </si>
  <si>
    <t>Global Navigation Satellite System Outage and Alterations Leading to Navigation / Surveillance Degradation (SIB 2022-02R4)</t>
  </si>
  <si>
    <t>EASA (2026)</t>
  </si>
  <si>
    <t>EASA Safety Information Bulletin, revision 4 (3 Jul 2026)</t>
  </si>
  <si>
    <t>Regulator bulletin</t>
  </si>
  <si>
    <t>State-level jammers and spoofers near conflict zones</t>
  </si>
  <si>
    <t>Regulator bulletin on observed operational interference</t>
  </si>
  <si>
    <t>Updates operator, ATC and crew measures for persistent GNSS outages and alterations that degrade navigation and surveillance.</t>
  </si>
  <si>
    <t>EASA2026SIB202202R4</t>
  </si>
  <si>
    <t>Not in draft; mitigation source (M14)</t>
  </si>
  <si>
    <t>Page fetched 13 Oct 2026: title matches (EASA news on R4; previous R3 on 5 Jul 2024)</t>
  </si>
  <si>
    <t>Wide-area GNSS jamming and spoofing degrading aircraft navigation and ADS-B surveillance.</t>
  </si>
  <si>
    <t>M14; M23; M01</t>
  </si>
  <si>
    <t>Recognizing and Mitigating GPS / GNSS Disruptions (SAFO 24002)</t>
  </si>
  <si>
    <t>FAA (2024)</t>
  </si>
  <si>
    <t>FAA Safety Alert for Operators (2 Feb 2024)</t>
  </si>
  <si>
    <t>Regulator alert</t>
  </si>
  <si>
    <t>Regulator alert citing operational disruptions near conflict zones</t>
  </si>
  <si>
    <t>Guidance for operators and manufacturers on recognising and handling GPS/GNSS jamming and spoofing in flight.</t>
  </si>
  <si>
    <t>FAA2024SAFO24002</t>
  </si>
  <si>
    <t>https://www.FAASafety.gov/SPANS/noticeView.aspx?nid=13415</t>
  </si>
  <si>
    <t>Page fetched 13 Oct 2026: title matches (FAASafety notice NOTC3415)</t>
  </si>
  <si>
    <t>GNSS spoofing and jamming of aircraft near conflict zones and counter-UAS areas.</t>
  </si>
  <si>
    <t>M14; M23</t>
  </si>
  <si>
    <t>Final Report of the GPS Spoofing WorkGroup</t>
  </si>
  <si>
    <t>OPSGROUP (2024)</t>
  </si>
  <si>
    <t>OPSGROUP industry report (6 Sep 2024)</t>
  </si>
  <si>
    <t>Industry report</t>
  </si>
  <si>
    <t>GNSS spoofing of airliners</t>
  </si>
  <si>
    <t>Industry working group (950 participants) on operational events</t>
  </si>
  <si>
    <t>Rated spoofing impact on flight safety, operations and ATC as extremely significant; reported a ~500% rise with about 1,500 flights per day affected.</t>
  </si>
  <si>
    <t>OPSGROUP2024Spoofing</t>
  </si>
  <si>
    <t>https://ops.group/blog/gps-spoofing-final-report/</t>
  </si>
  <si>
    <t>GNSS spoofing of airliners in flight with knock-on effects on avionics and ATC.</t>
  </si>
  <si>
    <t>GNSS Spoofing Detection in Aviation Using ADS-B Data</t>
  </si>
  <si>
    <t>Aireon (2026)</t>
  </si>
  <si>
    <t>Aireon white paper</t>
  </si>
  <si>
    <t>Industry white paper</t>
  </si>
  <si>
    <t>GNSS spoofers affecting aircraft</t>
  </si>
  <si>
    <t>Operational space-based ADS-B data</t>
  </si>
  <si>
    <t>Detects GNSS spoofing of aircraft from operational space-based ADS-B data.</t>
  </si>
  <si>
    <t>Aireon2026Spoofing</t>
  </si>
  <si>
    <t>Table 1, [44] (Paper Alignment)</t>
  </si>
  <si>
    <t>https://aireon.com/wp-content/uploads/2026/04/White-Paper-GNSS-Spoofing-Detection-in-Aviation-1.0-1-1.pdf</t>
  </si>
  <si>
    <t>Search index 13 Oct 2026: page title matches, page not fetchable (Aireon-hosted PDF)</t>
  </si>
  <si>
    <t>GNSS spoofing of aircraft observed in space-based ADS-B.</t>
  </si>
  <si>
    <t>Above Us Only Stars</t>
  </si>
  <si>
    <t>C4ADS (2019)</t>
  </si>
  <si>
    <t>C4ADS report (26 Mar 2019)</t>
  </si>
  <si>
    <t>NGO report</t>
  </si>
  <si>
    <t>State-linked GNSS spoofing</t>
  </si>
  <si>
    <t>Wide-area GNSS spoofing (maritime)</t>
  </si>
  <si>
    <t>Public AIS data, commercial tools and an ISS-mounted sensor</t>
  </si>
  <si>
    <t>Identified 9,883 suspected GNSS spoofing instances affecting 1,311 civilian vessels since February 2016.</t>
  </si>
  <si>
    <t>C4ADS2019AboveUsOnlyStars</t>
  </si>
  <si>
    <t>https://c4ads.org/reports/above-us-only-stars/</t>
  </si>
  <si>
    <t>Wide-area GNSS spoofing displacing civilian vessels' reported positions.</t>
  </si>
  <si>
    <t>Maritime analogue; AIS plays the role of ADS-B.</t>
  </si>
  <si>
    <t>KA-SAT Network cyber attack overview</t>
  </si>
  <si>
    <t>Viasat (2022)</t>
  </si>
  <si>
    <t>Viasat incident statement (30 Mar 2022)</t>
  </si>
  <si>
    <t>Operator incident report</t>
  </si>
  <si>
    <t>State-linked intruder</t>
  </si>
  <si>
    <t>Misconfigured VPN appliance exposing the ground management network</t>
  </si>
  <si>
    <t>Ground-segment intrusion; destructive commands to user modems</t>
  </si>
  <si>
    <t>Operational incident, 24 Feb 2022</t>
  </si>
  <si>
    <t>An intruder used a misconfigured VPN to reach KA-SAT's management network and sent destructive commands that took tens of thousands of modems offline; the satellite was not affected.</t>
  </si>
  <si>
    <t>Viasat2022KASAT</t>
  </si>
  <si>
    <t>Not in draft; real-world L4 compromise</t>
  </si>
  <si>
    <t>https://www.viasat.com/perspectives/corporate/2022/ka-sat-network-cyber-attack-overview/</t>
  </si>
  <si>
    <t>Ground management network compromise used to push destructive commands to user terminals.</t>
  </si>
  <si>
    <t>Gap Matrix: PRISM-LEO layer x attack category</t>
  </si>
  <si>
    <t>M13; M10</t>
  </si>
  <si>
    <t>Real-world downward (configuration) propagation L4 to L1.</t>
  </si>
  <si>
    <t>A4.4, A4.8</t>
  </si>
  <si>
    <t>Bound threats: T4.06, T4.07, T4.15</t>
  </si>
  <si>
    <t>L1 &gt; L2 &gt; L3 &gt; L4  (4 of 4 layers)
L1: A1.4†, A1.5†, A1.6, A1.7† | L2: A2.1†, A2.2†, A2.3†, A2.4†, A2.5 | L3: A3.1†, A3.2, A3.3, A3.4, A3.5, A3.6 | L4: [A4.4], [A4.8], A4.1, A4.2, A4.3, A4.5, A4.6
Boundaries to first check A3.4/A3.5: 1 | to ATM A4.6: 2</t>
  </si>
  <si>
    <t>Live counts of Threat Atlas entries. Red cells (0) are gaps: no source of any kind covers that layer and attack category. Matrix C keeps only practical evidence (E2 real hardware/field, E3 operational), so a non-red cell in A or B can still be red in C.</t>
  </si>
  <si>
    <t>Finnair suspends flights to Tartu for 1 month to seek GPS jamming solution</t>
  </si>
  <si>
    <t>ERR News (2024)</t>
  </si>
  <si>
    <t>Documented incident (news report, 29 Apr 2024)</t>
  </si>
  <si>
    <t>News report</t>
  </si>
  <si>
    <t>A. By entry layer (where the attacker's input first acts)</t>
  </si>
  <si>
    <t>State-level GNSS jamming</t>
  </si>
  <si>
    <t>GNSS-dependent approach procedures</t>
  </si>
  <si>
    <t>Operational incident: two diversions, route suspended</t>
  </si>
  <si>
    <t>GNSS interference forced two Helsinki-Tartu flights to divert and the route was suspended because Tartu approaches relied on GNSS.</t>
  </si>
  <si>
    <t>ERR2024Tartu</t>
  </si>
  <si>
    <t>Layer \ attack category</t>
  </si>
  <si>
    <t>https://news.err.ee/1609328058/finnair-suspends-flights-to-tartu-for-1-month-to-seek-gps-jamming-solution</t>
  </si>
  <si>
    <t>Non-malicious failure</t>
  </si>
  <si>
    <t>GNSS jamming denying GNSS-based approaches and halting a route.</t>
  </si>
  <si>
    <t>GPS Anomaly - Official USAF Statement (26 Jan 2016 UTC timing error)</t>
  </si>
  <si>
    <t>US Air Force, via RNT Foundation (2016)</t>
  </si>
  <si>
    <t>Documented incident (official statement, 28 Jan 2016)</t>
  </si>
  <si>
    <t>Operator statement</t>
  </si>
  <si>
    <t>None (non-malicious)</t>
  </si>
  <si>
    <t>Ground-segment software flaw triggered by satellite decommissioning</t>
  </si>
  <si>
    <t>Erroneous UTC timing data broadcast</t>
  </si>
  <si>
    <t>Operational incident affecting global timing users</t>
  </si>
  <si>
    <t>A ground-system software flaw, triggered when SVN 23 was removed, shifted broadcast UTC timing by about 13 microseconds for several hours.</t>
  </si>
  <si>
    <t>USAF2016GPSAnomaly</t>
  </si>
  <si>
    <t>Not in draft; real-world L4-to-L1 timing propagation</t>
  </si>
  <si>
    <t>https://rntfnd.org/?p=4536</t>
  </si>
  <si>
    <t>Page fetched 13 Oct 2026: title matches (statement reproduced by RNT Foundation)</t>
  </si>
  <si>
    <t>Ground-segment upload error propagating a timing offset to all users (non-malicious).</t>
  </si>
  <si>
    <t>M23; M11</t>
  </si>
  <si>
    <t>Shows the timing dependency failing from the top down.</t>
  </si>
  <si>
    <t>A1.2, A1.5, A4.1, A4.2</t>
  </si>
  <si>
    <t>Bound threats: T1.11, T4.01, T4.02</t>
  </si>
  <si>
    <t>L1 &gt; L2 &gt; L3 &gt; L4  (4 of 4 layers)
L1: [A1.2], [A1.5], A1.4, A1.6, A1.7 | L2: A2.1, A2.2, A2.3†, A2.4, A2.5 | L3: A3.1, A3.2, A3.3, A3.4, A3.5, A3.6 | L4: [A4.1], [A4.2], A4.5, A4.6
Boundaries to first check A3.4/A3.5: 1 | to ATM A4.6: 2</t>
  </si>
  <si>
    <t>Galileo performance assessment (July 2019 service outage)</t>
  </si>
  <si>
    <t>EUSPA (2020)</t>
  </si>
  <si>
    <t>Documented incident (EUSPA performance report, 31 Jan 2020)</t>
  </si>
  <si>
    <t>Operator report</t>
  </si>
  <si>
    <t>Ground-segment equipment malfunction</t>
  </si>
  <si>
    <t>Navigation and timing service outage</t>
  </si>
  <si>
    <t>Operational incident lasting about six days</t>
  </si>
  <si>
    <t>An equipment malfunction in July 2019 interrupted Galileo navigation and timing services for six days; an independent Inquiry Board was set up.</t>
  </si>
  <si>
    <t>EUSPA2020GalileoOutage</t>
  </si>
  <si>
    <t>https://www.euspa.europa.eu/newsroom-events/news/galileo-performance-assessment</t>
  </si>
  <si>
    <t>Process / operational failure</t>
  </si>
  <si>
    <t>Ground-segment malfunction stopping navigation-message updates (non-malicious).</t>
  </si>
  <si>
    <t>A4.1, A4.2</t>
  </si>
  <si>
    <t>Bound threats: T4.01, T4.03</t>
  </si>
  <si>
    <t>L1 &gt; L2 &gt; L3 &gt; L4  (4 of 4 layers)
L1: A1.4†, A1.5†, A1.6, A1.7† | L2: A2.1†, A2.2†, A2.3†, A2.4†, A2.5 | L3: A3.1†, A3.2, A3.3, A3.4, A3.5, A3.6 | L4: [A4.1], [A4.2], A4.5, A4.6
Boundaries to first check A3.4/A3.5: 1 | to ATM A4.6: 2</t>
  </si>
  <si>
    <t>Independent Review into August 2023 NATS Flight Planning System Failure</t>
  </si>
  <si>
    <t>UK CAA (2024)</t>
  </si>
  <si>
    <t>Documented incident (regulator review, 14 Nov 2024)</t>
  </si>
  <si>
    <t>Regulator review</t>
  </si>
  <si>
    <t>Flight-data processing fault without graceful degradation</t>
  </si>
  <si>
    <t>ATM system failure</t>
  </si>
  <si>
    <t>Operational incident, 28 Aug 2023</t>
  </si>
  <si>
    <t>A failure in the UK flight-planning system forced manual processing; the CAA estimates over 700,000 passengers were affected.</t>
  </si>
  <si>
    <t>CAA2024NATSReview</t>
  </si>
  <si>
    <t>ATM ground systems</t>
  </si>
  <si>
    <t>Not in draft; integration-layer (L4) failure</t>
  </si>
  <si>
    <t>https://www.caa.co.uk/newsroom/news/aviation-regulator-publishes-independent-review-into-august-2023-nats-flight-planning-system-failure/</t>
  </si>
  <si>
    <t>Integration-layer processing failure degrading the ATM picture (non-malicious).</t>
  </si>
  <si>
    <t>M07; M08</t>
  </si>
  <si>
    <t>Bound threats: T4.08, T4.09</t>
  </si>
  <si>
    <t>Paper Alignment — Tables 1–3 and Fig. 3 of the TDSC Draft</t>
  </si>
  <si>
    <t>One row per row of Tables 1–3 (41 security studies, the set counted in Fig. 3 and §2.6.2). Layer coding: A = analysed, P = partial, blank = not addressed. Evidence level rates each study's own attack evidence; the exploitation status is derived from it. Includes non-peer-reviewed sources, unlike the original review set on Threat Atlas rows 6-48.</t>
  </si>
  <si>
    <t>Paper Table</t>
  </si>
  <si>
    <t>Fig. 3 Group</t>
  </si>
  <si>
    <t>Ref.</t>
  </si>
  <si>
    <t>Study (Fig. 3 label)</t>
  </si>
  <si>
    <t>BibTeX Key(s)</t>
  </si>
  <si>
    <t>Evidence Level</t>
  </si>
  <si>
    <t>Exploitation Status (derived)</t>
  </si>
  <si>
    <t>Table 1</t>
  </si>
  <si>
    <t>(a) RF / PHY</t>
  </si>
  <si>
    <t>[5]</t>
  </si>
  <si>
    <t>Costin '12</t>
  </si>
  <si>
    <t>A</t>
  </si>
  <si>
    <t>Attacks implemented on USRP and COTS receivers in a controlled setting</t>
  </si>
  <si>
    <t>[4]</t>
  </si>
  <si>
    <t>Schäfer '13</t>
  </si>
  <si>
    <t>Real SDR hardware against real receivers, controlled setting</t>
  </si>
  <si>
    <t>[1]</t>
  </si>
  <si>
    <t>Strohmeier '15</t>
  </si>
  <si>
    <t>[31]</t>
  </si>
  <si>
    <t>Manesh '17</t>
  </si>
  <si>
    <t>[33]</t>
  </si>
  <si>
    <t>Sciancalepore '21</t>
  </si>
  <si>
    <t>P</t>
  </si>
  <si>
    <t>[34]</t>
  </si>
  <si>
    <t>Leonardi '17</t>
  </si>
  <si>
    <t>Defence validated on real signals; no attack executed</t>
  </si>
  <si>
    <t>[35]</t>
  </si>
  <si>
    <t>Strohmeier '15b</t>
  </si>
  <si>
    <t>Emulated attacks on recorded real data</t>
  </si>
  <si>
    <t>[36]</t>
  </si>
  <si>
    <t>Schäfer '15</t>
  </si>
  <si>
    <t>Attacks modelled on recorded OpenSky data</t>
  </si>
  <si>
    <t>[37],[38]</t>
  </si>
  <si>
    <t>Ghose / Schäfer '16</t>
  </si>
  <si>
    <t>Ghose2015Doppler; Schafer2016Doppler</t>
  </si>
  <si>
    <t>[9]</t>
  </si>
  <si>
    <t>Moser '16</t>
  </si>
  <si>
    <t>Multi-SDR attack launched against the live OpenSky Network (non-ATC)</t>
  </si>
  <si>
    <t>[?] Senn</t>
  </si>
  <si>
    <t>Senn '25</t>
  </si>
  <si>
    <t>Two commercial MLAT systems deployed by the authors at five university sites; live traffic</t>
  </si>
  <si>
    <t>[39]</t>
  </si>
  <si>
    <t>Jansen '18</t>
  </si>
  <si>
    <t>B. By impact layer (furthest layer the source shows the attack reaching)</t>
  </si>
  <si>
    <t>Spoofing simulated on recorded ADS-B data</t>
  </si>
  <si>
    <t>[29],[30]</t>
  </si>
  <si>
    <t>Humphreys / Psiaki</t>
  </si>
  <si>
    <t>Humphreys2008GPSSpoofer; Psiaki2016GNSSSpoofing</t>
  </si>
  <si>
    <t>Portable spoofer built and tested against a receiver [29]; survey [30]</t>
  </si>
  <si>
    <t>[40]</t>
  </si>
  <si>
    <t>Tibaldo '25</t>
  </si>
  <si>
    <t>Proof-of-concept evaluation (check whether hardware was used)</t>
  </si>
  <si>
    <t>[41]</t>
  </si>
  <si>
    <t>Khoei '24</t>
  </si>
  <si>
    <t>[42]</t>
  </si>
  <si>
    <t>Yosef '26</t>
  </si>
  <si>
    <t>Detector trained on recorded telemetry (check data source)</t>
  </si>
  <si>
    <t>[32]</t>
  </si>
  <si>
    <t>Choudhary '22</t>
  </si>
  <si>
    <t>Survey of prior work; no own experiment</t>
  </si>
  <si>
    <t>[43]</t>
  </si>
  <si>
    <t>Strohmeier '19</t>
  </si>
  <si>
    <t>Analysis of 30 days of real flight data; no attack executed</t>
  </si>
  <si>
    <t>[44]</t>
  </si>
  <si>
    <t>Aireon '26</t>
  </si>
  <si>
    <t>GNSS spoofing observed in the wild in operational space-based ADS-B data</t>
  </si>
  <si>
    <t>Table 2</t>
  </si>
  <si>
    <t>(b) Data links</t>
  </si>
  <si>
    <t>[45]</t>
  </si>
  <si>
    <t>Sampigethaya '11</t>
  </si>
  <si>
    <t>[46]</t>
  </si>
  <si>
    <t>Smith '18</t>
  </si>
  <si>
    <t>Passive interception of live operational ACARS traffic</t>
  </si>
  <si>
    <t>[47]</t>
  </si>
  <si>
    <t>Gurtov '18</t>
  </si>
  <si>
    <t>Threat analysis and proposed mechanisms</t>
  </si>
  <si>
    <t>[49]</t>
  </si>
  <si>
    <t>Santamarta '18</t>
  </si>
  <si>
    <t>Findings validated against in-service terminals</t>
  </si>
  <si>
    <t>[50]</t>
  </si>
  <si>
    <t>Pavur '20</t>
  </si>
  <si>
    <t>Passive interception of live traffic; TCP hijack executed on the authors' own connection over a live network</t>
  </si>
  <si>
    <t>[51]</t>
  </si>
  <si>
    <t>Mäurer '22a</t>
  </si>
  <si>
    <t>[48]</t>
  </si>
  <si>
    <t>Mäurer '22b</t>
  </si>
  <si>
    <t>Table 3</t>
  </si>
  <si>
    <t>(c) LEO / space</t>
  </si>
  <si>
    <t>[52]</t>
  </si>
  <si>
    <t>Willbold '23</t>
  </si>
  <si>
    <t>Real flight firmware exploited in emulation</t>
  </si>
  <si>
    <t>[53]</t>
  </si>
  <si>
    <t>Wouters '22</t>
  </si>
  <si>
    <t>Fault injection on a real Starlink user terminal</t>
  </si>
  <si>
    <t>[54]</t>
  </si>
  <si>
    <t>Giuliari '21</t>
  </si>
  <si>
    <t>[55]</t>
  </si>
  <si>
    <t>Smailes '23</t>
  </si>
  <si>
    <t>Emulated SDR attacks on recorded Iridium signals</t>
  </si>
  <si>
    <t>[20]</t>
  </si>
  <si>
    <t>Manulis '21</t>
  </si>
  <si>
    <t>[56]</t>
  </si>
  <si>
    <t>Falco '19</t>
  </si>
  <si>
    <t>[11]</t>
  </si>
  <si>
    <t>Yue '22</t>
  </si>
  <si>
    <t>[57]</t>
  </si>
  <si>
    <t>Sharmin '25</t>
  </si>
  <si>
    <t>[58]</t>
  </si>
  <si>
    <t>Remy '25</t>
  </si>
  <si>
    <t>[59]</t>
  </si>
  <si>
    <t>Wang '26</t>
  </si>
  <si>
    <t>Literature review; ATT&amp;CK-style matrix</t>
  </si>
  <si>
    <t>[60]</t>
  </si>
  <si>
    <t>Ballard '25</t>
  </si>
  <si>
    <t>Secondary analysis of 60 reported incidents</t>
  </si>
  <si>
    <t>[24]</t>
  </si>
  <si>
    <t>Belali '26</t>
  </si>
  <si>
    <t>Architecture design with STRIDE analysis</t>
  </si>
  <si>
    <t>[79]</t>
  </si>
  <si>
    <t>Burks '26</t>
  </si>
  <si>
    <t>Burks2026Testbed</t>
  </si>
  <si>
    <t>F' flight-software testbed</t>
  </si>
  <si>
    <t>[80],[81]</t>
  </si>
  <si>
    <t>PWNSAT '26</t>
  </si>
  <si>
    <t>PWNSAT2026FlatSat; Marin2026LoweringOrbit</t>
  </si>
  <si>
    <t>Hardware-in-the-loop flatsat; SDR attack scripts</t>
  </si>
  <si>
    <t>[76],[77]</t>
  </si>
  <si>
    <t>Kon '22 / Hypatia</t>
  </si>
  <si>
    <t>Kon2022Stargaze; ManzanaresLopez2026Hypatia</t>
  </si>
  <si>
    <t>Network emulation / simulation</t>
  </si>
  <si>
    <t>Layer coverage (Fig. 3 bars, §2.6.2)</t>
  </si>
  <si>
    <t>Analysed</t>
  </si>
  <si>
    <t>Partial</t>
  </si>
  <si>
    <t>Evidence level by body of work (Table 7)</t>
  </si>
  <si>
    <t>Body of work</t>
  </si>
  <si>
    <t>All 41 studies</t>
  </si>
  <si>
    <t>… of which peer-reviewed</t>
  </si>
  <si>
    <t>Check: total equals 41 →</t>
  </si>
  <si>
    <t>C. By impact layer, practical evidence only (E2 + E3)</t>
  </si>
  <si>
    <t>Legend:</t>
  </si>
  <si>
    <t>0 = gap</t>
  </si>
  <si>
    <t>1 source</t>
  </si>
  <si>
    <t>2-4</t>
  </si>
  <si>
    <t>5 or more</t>
  </si>
  <si>
    <t>Note (29 Oct 2026): the L3 rows above are empty by design, since no published source enters at L3 or targets a CVE-listed L3 component. The seven L3 assets (A3.1 to A3.7) are listed in the Asset Register sheet and in Overview section 7b, with the sources whose bound attacks reach them.</t>
  </si>
  <si>
    <t>Exploitation Status at a Glance</t>
  </si>
  <si>
    <t>Live formulas over the original 43-paper review set (Threat Atlas rows 6-48). Whole-Atlas counts, incl. non-peer-reviewed sources, are on the Overview sheet.</t>
  </si>
  <si>
    <t>Papers reviewed</t>
  </si>
  <si>
    <t>Real-World</t>
  </si>
  <si>
    <t>Simulated / PoC</t>
  </si>
  <si>
    <t>Theoretical</t>
  </si>
  <si>
    <t>peer-reviewed papers</t>
  </si>
  <si>
    <t>Papers by domain and exploitation status</t>
  </si>
  <si>
    <t>Check: matrix total equals papers reviewed →</t>
  </si>
  <si>
    <t>Venue tier of the reviewed papers</t>
  </si>
  <si>
    <t>Tier</t>
  </si>
  <si>
    <t>Papers</t>
  </si>
  <si>
    <t>Not ranked / not indexed</t>
  </si>
  <si>
    <t>Key observation: in this set the only peer-reviewed real-world exploits are passive confidentiality attacks (ACARS, maritime VSAT; the VSAT hijack was run only on the authors' own connection). Active integrity attacks on multilateration have reached real hardware, against the live OpenSky Network (Moser 2016) and against commercial MLAT systems the researchers deployed in the field (Senn 2025), but never an operational ATC installation. GNSS spoofing in the wild and SATCOM terminal exposure are documented only in non-peer-reviewed sources (Aireon, Black Hat). No study at any evidence level attacks a processing (L3) or governance (L4) asset: see Paper Alignment.</t>
  </si>
  <si>
    <t>How each column was classified</t>
  </si>
  <si>
    <t>Attack executed against an operational, deployed system or live traffic outside a lab.</t>
  </si>
  <si>
    <t>Attack executed in simulation or emulation, on real hardware in a controlled setting, or injected into recorded real data. Feasibility shown, but not against a live operational system.</t>
  </si>
  <si>
    <t>Vulnerability identified or reasoned about analytically (surveys, threat models, risk analyses, proofs), or a defence paper in which no attack was actually run. Surveys may cite others' PoCs; the status reflects this paper's own evidence.</t>
  </si>
  <si>
    <t>The adversary: capability, position and motive (e.g. low-cost SDR attacker within RF range).</t>
  </si>
  <si>
    <t>Root cause: inherent protocol flaw, architectural weakness, software bug, or design gap.</t>
  </si>
  <si>
    <t>The concrete attack type: spoofing, jamming, injection, DoS, MITM, eavesdropping, delay.</t>
  </si>
  <si>
    <t>What the status rests on, e.g. 'Real hardware, controlled setting' or 'Survey; cites others' PoCs'.</t>
  </si>
  <si>
    <t>Checked 4 Oct 2026. Conferences: ICORE2026, the current CORE edition (replaces CORE2023), from the official ICORE2026 export. Journals: SCImago Journal Rank (SJR) 2025 quartile in the journal's best subject category, read from scimagojr.com. Clarivate JCR quartiles were not used because JCR is subscription-only. Workshops and venues absent from ICORE2026 are marked 'Not ICORE-ranked'. Each row links to its source in the Ranking Source column.</t>
  </si>
  <si>
    <t>Filter aid mapping each paper to the area of your threat model it informs.</t>
  </si>
  <si>
    <t>Scope (rows 6-48)</t>
  </si>
  <si>
    <t>Rows 6-48: peer-reviewed papers from mybibliography.bib that address vulnerabilities, threats or attacks (the original review set). Rows 49 onward: newer peer-reviewed and non-peer-reviewed sources added to form the Threat Atlas. Bibliography entries not used are on Excluded Entries.</t>
  </si>
  <si>
    <t>Evidence level (E0–E3)</t>
  </si>
  <si>
    <t>E3  Operational / in the wild</t>
  </si>
  <si>
    <t>Attack executed against, or observed on, an operational system or live third-party traffic. Maps to Demonstrated in Real-World.</t>
  </si>
  <si>
    <t>E2  Real hardware or field</t>
  </si>
  <si>
    <t>Attack executed with real RF hardware against real receivers, commercial systems or a live non-safety network under the experimenters' control. Maps to Simulated / Proof-of-Concept.</t>
  </si>
  <si>
    <t>E1  Simulation or recorded data</t>
  </si>
  <si>
    <t>Attack run in simulation or emulation, or injected into recorded real data. Maps to Simulated / Proof-of-Concept.</t>
  </si>
  <si>
    <t>E0  Analytical only</t>
  </si>
  <si>
    <t>Argued, surveyed, proven or modelled; no attack executed by the authors. Maps to Theoretical / Unexploited.</t>
  </si>
  <si>
    <t>Paper Alignment</t>
  </si>
  <si>
    <t>Sheet mirroring Tables 1–3 and Fig. 3 of the TDSC draft row by row, with layer codings and evidence levels; its count blocks are the numbers quoted in §2.6.2, the Fig. 3 bars and Table 7.</t>
  </si>
  <si>
    <t>Where each reviewed paper appears in the draft (table and reference number, or section).</t>
  </si>
  <si>
    <t>Threat Atlas extension (columns Q onward, added 13 Oct 2026)</t>
  </si>
  <si>
    <t>Peer-reviewed journal / conference / workshop; Preprint / unconfirmed venue; Conference talk / event (non-peer-reviewed); Government / regulator advisory; Documented incident report; Industry / NGO report.</t>
  </si>
  <si>
    <t>Peer-reviewed (derived)</t>
  </si>
  <si>
    <t>Formula: Yes when Source Type starts with 'Peer-reviewed'.</t>
  </si>
  <si>
    <t>Citation (derived)</t>
  </si>
  <si>
    <t>Formula built from Authors &amp; Year, Title and Venue (columns C, B, D).</t>
  </si>
  <si>
    <t>Verified Link / Link Check</t>
  </si>
  <si>
    <t>Every link was checked on 13 Oct 2026. 'Page fetched' = page opened and title matched. 'DOI metadata' = DOI resolved in OpenAlex with matching title. 'Search index' = the site blocks automated fetching, so the exact URL was confirmed from a search result carrying the matching title.</t>
  </si>
  <si>
    <t>Normalised root cause (controlled list below); the original free-text Vulnerability Category (col H) is kept.</t>
  </si>
  <si>
    <t>Normalised attack type used by the Gap Matrix; the original free-text Attack Category (col I) is kept. Surveys and SoKs are coded 'Multiple'.</t>
  </si>
  <si>
    <t>Attack (one line)</t>
  </si>
  <si>
    <t>One high-level sentence. No parameters, procedures or tooling: this is a defensive research dataset.</t>
  </si>
  <si>
    <t>The PRISM-LEO asset the attack acts on first, prefixed with its layer (the prefix equals the Entry Layer). Asset names follow the layer diagram (transponder, satellite receivers, onboard clock; ISLs, downlinks; sync, ephemeris, keys, config, ATM picture), extended with a few assets the sources target (SATCOM terminals, aeronautical data links, ground C2). Surveys and SoKs are 'Multiple assets'. Filter on Asset to see each asset's evidence, CVEs and mitigations. Added 16 Oct 2026.</t>
  </si>
  <si>
    <t>Entry Layer / Impact Layer</t>
  </si>
  <si>
    <t>PRISM-LEO layer where the attacker's input first acts, and the furthest layer the source shows it reaching. For rows on Paper Alignment: entry = lowest layer coded A or P, impact = highest. Other rows coded on 13 Oct 2026.</t>
  </si>
  <si>
    <t>Transponder, satellite receivers, onboard clock.</t>
  </si>
  <si>
    <t>ISLs, downlinks, TOA/FOA/AOA observables in transit.</t>
  </si>
  <si>
    <t>Association, EKF/IMM, integrity, cross-check.</t>
  </si>
  <si>
    <t>Sync, ephemeris, keys, configuration, ATM picture.</t>
  </si>
  <si>
    <t>TB1 / TB2 / TB3 (derived)</t>
  </si>
  <si>
    <t>Formula: TBk is ticked when the path between entry and impact layer crosses the boundary between Lk and Lk+1 (TB1 = L1|L2, TB2 = L2|L3, TB3 = L3|L4). A within-layer threat crosses none.</t>
  </si>
  <si>
    <t>Upward = observables flowing up (L1 to L4). Downward = configuration, ephemeris, keys or sync policy flowing down.</t>
  </si>
  <si>
    <t>Direct = the attack targets or rides on time/synchronisation (GNSS time, NTP/PTP, TOA). Indirect = relies on, or degrades, timing-derived data. None.</t>
  </si>
  <si>
    <t>Related CVEs / CVEs in Register</t>
  </si>
  <si>
    <t>IDs verified PUBLISHED in the official CVE record (CVE Services API, 13 Oct 2026). The count is a live formula over the CVE Register.</t>
  </si>
  <si>
    <t>IDs from the Mitigations sheet (M01-M25).</t>
  </si>
  <si>
    <t>'Original review set' = rows 6-48 (the 43 papers the Summary and Paper Alignment sheets describe). 'Added 13 Oct 2026' = rows 49 onward.</t>
  </si>
  <si>
    <t>Controlled vocabularies (drop-down sources)</t>
  </si>
  <si>
    <t>Cryptographic weakness</t>
  </si>
  <si>
    <t>Bibliography entries not in the review table</t>
  </si>
  <si>
    <t>Red rows are the strongest real-world exploitation evidence in your bibliography, but they are not peer-reviewed. Entries that were waiting for an abstract are now classified: five moved to the review set (Threat Atlas rows 6-48), Burks2026Testbed is listed here as a dissertation. Since 13 Oct 2026, column G shows entries now carried on the Threat Atlas as non-peer-reviewed rows, and column H links standards to the Mitigations sheet.</t>
  </si>
  <si>
    <t>Title</t>
  </si>
  <si>
    <t>Year</t>
  </si>
  <si>
    <t>Reason excluded</t>
  </si>
  <si>
    <t>Relevance note</t>
  </si>
  <si>
    <t>In Threat Atlas (live lookup)</t>
  </si>
  <si>
    <t>Atlas / Mitigations note (13 Oct 2026)</t>
  </si>
  <si>
    <t>Aireon2025Trends</t>
  </si>
  <si>
    <t>Observations of Trends in GPS Anomalies Affecting Aviation</t>
  </si>
  <si>
    <t>2025</t>
  </si>
  <si>
    <t>Exploitation evidence — not peer-reviewed</t>
  </si>
  <si>
    <t>Operational observations of GPS anomalies affecting aviation (industry white paper)</t>
  </si>
  <si>
    <t>Not added: no stable public link verified 13 Oct 2026.</t>
  </si>
  <si>
    <t>2026</t>
  </si>
  <si>
    <t>GNSS spoofing detection from operational space-based ADS-B data (industry white paper)</t>
  </si>
  <si>
    <t>2012</t>
  </si>
  <si>
    <t>Practical attacks on ADS-B devices (conference talk)</t>
  </si>
  <si>
    <t>Marin2026LoweringOrbit</t>
  </si>
  <si>
    <t>Lowering the Orbit: Exploiting Satellite Protocols and Communications via Software-Defined Radio and Ground Stations</t>
  </si>
  <si>
    <t>Satellite protocol exploitation via SDR (conference talk)</t>
  </si>
  <si>
    <t>Not added: no public record found 13 Oct 2026.</t>
  </si>
  <si>
    <t>2018</t>
  </si>
  <si>
    <t>Reported exposure of in-service aircraft SATCOM terminals (conference talk)</t>
  </si>
  <si>
    <t>Fault-injection attack on a real Starlink user terminal (conference talk)</t>
  </si>
  <si>
    <t>Moonlighter: A Hacking Sandbox in Space</t>
  </si>
  <si>
    <t>2023</t>
  </si>
  <si>
    <t>Not peer-reviewed</t>
  </si>
  <si>
    <t>Annessi2018SecureTime</t>
  </si>
  <si>
    <t>Encryption is Futile: Delay Attacks on High-Precision Clock Synchronization</t>
  </si>
  <si>
    <t>Huang2025CPSModelling</t>
  </si>
  <si>
    <t>Security Modelling for Cyber-Physical Systems: A Systematic Literature Review</t>
  </si>
  <si>
    <t>Jamil2021TMPractice</t>
  </si>
  <si>
    <t>Threat Modeling of Cyber-Physical Systems in Practice</t>
  </si>
  <si>
    <t>2021</t>
  </si>
  <si>
    <t>Nandiya2026BRIDGICS</t>
  </si>
  <si>
    <t>BRIDG-ICS: AI-Grounded Knowledge Graphs for Intelligent Threat Analytics in Industry 5.0 Cyber–Physical Systems</t>
  </si>
  <si>
    <t>PWNSAT2026FlatSat</t>
  </si>
  <si>
    <t>FlatSat v1.0: An Open-Source Vulnerable-by-Design Aerospace Cybersecurity Platform</t>
  </si>
  <si>
    <t>Not added: no matching public record confirmed 13 Oct 2026.</t>
  </si>
  <si>
    <t>SATERA2025D61</t>
  </si>
  <si>
    <t>SATERA Deliverable D6.1 –- Security Analysis and Threat Register for Space-Based Enhanced Multilateration</t>
  </si>
  <si>
    <t>A Reproducible Satellite Constellation Testbed for Cyber Attack Experimentation, Dataset Generation, and Machine Learning Based Detection</t>
  </si>
  <si>
    <t>Not peer-reviewed (doctoral dissertation)</t>
  </si>
  <si>
    <t>Coded E1 on the Paper Alignment sheet (Table 3, [79]).</t>
  </si>
  <si>
    <t>alavedra2026satellite</t>
  </si>
  <si>
    <t>Satellite Infrastructures, Earth-Space Sustainability, and the Evolution of Global Space Partnerships</t>
  </si>
  <si>
    <t>Not attack-focused (architecture / localisation)</t>
  </si>
  <si>
    <t>Bezousek2008MLAT</t>
  </si>
  <si>
    <t>Bistatic and Multistatic Radar Systems</t>
  </si>
  <si>
    <t>2008</t>
  </si>
  <si>
    <t>Celikbilek2022LEO</t>
  </si>
  <si>
    <t>Survey on Optimization Methods for LEO-Satellite-Based Networks with Applications in Future Autonomous Transportation</t>
  </si>
  <si>
    <t>Chen2026MultiLayerLEO</t>
  </si>
  <si>
    <t>Optimized Design of Multi-Layer LEO Satellite Constellations for Integrated Communication and Signal-of-Opportunity Doppler Positioning</t>
  </si>
  <si>
    <t>Garcia2015SpaceADSB</t>
  </si>
  <si>
    <t>Aireon Space Based ADS-B Performance Model</t>
  </si>
  <si>
    <t>2015</t>
  </si>
  <si>
    <t>Leonardi2026SpaceMLAT</t>
  </si>
  <si>
    <t>Space-based Multilateration for a GNSS-Independent Aircraft Localisation</t>
  </si>
  <si>
    <t>Leonardi2026SyncIntegrity</t>
  </si>
  <si>
    <t>Robust GNSS–ISL Synchronization in LEO Constellations for Space-Based Aircraft Multilateration: Assessment Using Real Data</t>
  </si>
  <si>
    <t>Mantilla2015MLAT</t>
  </si>
  <si>
    <t>Localization Algorithms for Multilateration (MLAT) Systems in Airport Surface Surveillance</t>
  </si>
  <si>
    <t>Sonnleitner2025WAMTDOA</t>
  </si>
  <si>
    <t>Wide-Area Multilateration Airspace Surveillance with Unsynchronized Low-Cost ADS-B Receivers Using TDOA Observations</t>
  </si>
  <si>
    <t>Stock2025LEOPNT</t>
  </si>
  <si>
    <t>Survey on Opportunistic PNT with Signals from LEO Communication Satellites</t>
  </si>
  <si>
    <t>Werner2014SpaceADSB</t>
  </si>
  <si>
    <t>ADS-B over Satellite: Global Air Traffic Surveillance from Space</t>
  </si>
  <si>
    <t>2014</t>
  </si>
  <si>
    <t>Hernan2006STRIDE</t>
  </si>
  <si>
    <t>Threat Modeling –- Uncover Security Design Flaws Using the STRIDE Approach</t>
  </si>
  <si>
    <t>2006</t>
  </si>
  <si>
    <t>Methodology / book</t>
  </si>
  <si>
    <t>Howard2003SecureCode</t>
  </si>
  <si>
    <t>Writing Secure Code</t>
  </si>
  <si>
    <t>2003</t>
  </si>
  <si>
    <t>Kordy2014DAG</t>
  </si>
  <si>
    <t>DAG-Based Attack and Defense Modeling: Don't Miss the Forest for the Attack Trees</t>
  </si>
  <si>
    <t>Leveson2011SaferWorld</t>
  </si>
  <si>
    <t>Engineering a Safer World: Systems Thinking Applied to Safety</t>
  </si>
  <si>
    <t>2011</t>
  </si>
  <si>
    <t>Microsoft2006STRIDE</t>
  </si>
  <si>
    <t>The STRIDE Threat Model</t>
  </si>
  <si>
    <t>OWASP2013RiskRating</t>
  </si>
  <si>
    <t>OWASP Risk Rating Methodology</t>
  </si>
  <si>
    <t>2013</t>
  </si>
  <si>
    <t>Sheyner2002AttackGraphs</t>
  </si>
  <si>
    <t>Automated Generation and Analysis of Attack Graphs</t>
  </si>
  <si>
    <t>2002</t>
  </si>
  <si>
    <t>Shostack2014ThreatModeling</t>
  </si>
  <si>
    <t>Threat Modeling: Designing for Security</t>
  </si>
  <si>
    <t>UcedaVelez2015PASTA</t>
  </si>
  <si>
    <t>Risk Centric Threat Modeling: Process for Attack Simulation and Threat Analysis</t>
  </si>
  <si>
    <t>Young2013STPASec</t>
  </si>
  <si>
    <t>Systems-Theoretic Process Analysis for Security (STPA-Sec)</t>
  </si>
  <si>
    <t>Aerospace2022SPARTA</t>
  </si>
  <si>
    <t>Space Attack Research and Tactic Analysis (SPARTA) Matrix</t>
  </si>
  <si>
    <t>Standard / regulation / catalogue</t>
  </si>
  <si>
    <t>Mitigations M25.</t>
  </si>
  <si>
    <t>CCSDS2020Security</t>
  </si>
  <si>
    <t>Spacecraft Onboard Interface Services –- Security (CCSDS 355.0-B-1)</t>
  </si>
  <si>
    <t>2020</t>
  </si>
  <si>
    <t>Mitigations M04. Current issue on ccsds.org is 355.0-B-2.</t>
  </si>
  <si>
    <t>EASA2023DSGE</t>
  </si>
  <si>
    <t>Detailed Specifications for ATM/ANS Ground Equipment (DS GE.SoC), Issue 1, Annex II to ED Decision 2023/015/R</t>
  </si>
  <si>
    <t>EASA2025EAR</t>
  </si>
  <si>
    <t>Easy Access Rules for Information Security (Part-IS)</t>
  </si>
  <si>
    <t>Companion to M08.</t>
  </si>
  <si>
    <t>ECSS2018Safety</t>
  </si>
  <si>
    <t>ECSS-Q-ST-40C: Space Product Assurance –- Safety</t>
  </si>
  <si>
    <t>ENISA2025ETL</t>
  </si>
  <si>
    <t>ENISA Threat Landscape 2025</t>
  </si>
  <si>
    <t>EU2022IS</t>
  </si>
  <si>
    <t>Commission Delegated Regulation (EU) 2022/1645 Laying Down Rules for the Application of Regulation (EU) 2018/1139 as Regards Requirements for the Management of Information Security Risks with a Potential Impact on Aviation Safety</t>
  </si>
  <si>
    <t>Mitigations M08.</t>
  </si>
  <si>
    <t>EU2023IS</t>
  </si>
  <si>
    <t>Commission Implementing Regulation (EU) 2023/203 of 27 October 2022 laying down rules for the application of Regulation (EU) 2018/1139 as regards requirements for the management of information security risks with a potential impact on aviation safety</t>
  </si>
  <si>
    <t>EUROCAE2010ED142</t>
  </si>
  <si>
    <t>ED-142: Technical Specification for Wide Area Multilateration (WAM) Systems</t>
  </si>
  <si>
    <t>2010</t>
  </si>
  <si>
    <t>EUROCAE2018ED203A</t>
  </si>
  <si>
    <t>ED-203A/DO-356A: Airworthiness Security Methods and Considerations</t>
  </si>
  <si>
    <t>Companion to M06.</t>
  </si>
  <si>
    <t>EUROCAE_ED205A</t>
  </si>
  <si>
    <t>ED-205A: Process Standard for Security Certification and Declaration of ATM ANS Ground Systems</t>
  </si>
  <si>
    <t>2024</t>
  </si>
  <si>
    <t>Mitigations M07.</t>
  </si>
  <si>
    <t>EUROCONTROLASTERIX</t>
  </si>
  <si>
    <t>EUROCONTROL Specification for Surveillance Data Exchange (ASTERIX), Part~14 Category~020 and Part~12 Category~021</t>
  </si>
  <si>
    <t>GSC2025OSNMA</t>
  </si>
  <si>
    <t>Galileo Open Service Navigation Message Authentication (OSNMA): Initial Service Declaration</t>
  </si>
  <si>
    <t>Mitigations M01 (Initial Service declared 24 Jul 2025).</t>
  </si>
  <si>
    <t>IEC62443</t>
  </si>
  <si>
    <t>IEC 62443: Security for Industrial Automation and Control Systems</t>
  </si>
  <si>
    <t>MITRE2023ATTACKSpace</t>
  </si>
  <si>
    <t>MITRE ATT&amp;CK for Space (Beta)</t>
  </si>
  <si>
    <t>Companion to M25.</t>
  </si>
  <si>
    <t>Mizrahi2014RFC7384</t>
  </si>
  <si>
    <t>Security Requirements of Time Protocols in Packet Switched Networks</t>
  </si>
  <si>
    <t>Requirements behind M02 / M03.</t>
  </si>
  <si>
    <t>NASA2022CyberHandbook</t>
  </si>
  <si>
    <t>NASA Spacecraft Cybersecurity Handbook (NASA-HDBK-1006)</t>
  </si>
  <si>
    <t>NISTIR8401</t>
  </si>
  <si>
    <t>Satellite Ground Segment: Applying the Cybersecurity Framework to Satellite Command and Control</t>
  </si>
  <si>
    <t>Mitigations M10.</t>
  </si>
  <si>
    <t>RTCA2014DO326A</t>
  </si>
  <si>
    <t>DO-326A/ED-202A: Airworthiness Security Process Specification</t>
  </si>
  <si>
    <t>Mitigations M06. EUROCAE ED-202B published Oct 2024.</t>
  </si>
  <si>
    <t>SESAR2017SecRAM</t>
  </si>
  <si>
    <t>SESAR Security Risk Assessment Methodology (SecRAM)</t>
  </si>
  <si>
    <t>2017</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</si>
</sst>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quot; of papers&quot;"/>
  </numFmts>
  <fonts count="55">
    <font>
      <sz val="11.0"/>
      <color theme="1"/>
      <name val="Calibri"/>
      <scheme val="minor"/>
    </font>
    <font>
      <sz val="11.0"/>
      <color theme="1"/>
      <name val="Calibri"/>
    </font>
    <font>
      <b/>
      <sz val="18.0"/>
      <color rgb="FF1F2A44"/>
      <name val="Arial"/>
    </font>
    <font>
      <b/>
      <sz val="18.0"/>
      <color rgb="FFFFFFFF"/>
      <name val="Arial"/>
    </font>
    <font/>
    <font>
      <sz val="9.0"/>
      <color rgb="FF5B6574"/>
      <name val="Arial"/>
    </font>
    <font>
      <sz val="10.0"/>
      <color rgb="FFD9E2F1"/>
      <name val="Arial"/>
    </font>
    <font>
      <b/>
      <sz val="9.0"/>
      <color rgb="FF1F2A44"/>
      <name val="Arial"/>
    </font>
    <font>
      <i/>
      <sz val="10.0"/>
      <color rgb="FFD9E2F1"/>
      <name val="Arial"/>
    </font>
    <font>
      <b/>
      <sz val="10.0"/>
      <color rgb="FFFFFFFF"/>
      <name val="Arial"/>
    </font>
    <font>
      <i/>
      <sz val="9.0"/>
      <color rgb="FF5B6574"/>
      <name val="Arial"/>
    </font>
    <font>
      <b/>
      <sz val="10.0"/>
      <color rgb="FF1F2933"/>
      <name val="Arial"/>
    </font>
    <font>
      <b/>
      <sz val="11.0"/>
      <color rgb="FFFFFFFF"/>
      <name val="Arial"/>
    </font>
    <font>
      <b/>
      <sz val="24.0"/>
      <color rgb="FF1F2A44"/>
      <name val="Arial"/>
    </font>
    <font>
      <sz val="10.0"/>
      <color rgb="FF1F2933"/>
      <name val="Arial"/>
    </font>
    <font>
      <sz val="9.0"/>
      <color rgb="FF1F2933"/>
      <name val="Arial"/>
    </font>
    <font>
      <b/>
      <sz val="24.0"/>
      <color rgb="FF2F6FA6"/>
      <name val="Arial"/>
    </font>
    <font>
      <b/>
      <sz val="10.0"/>
      <color rgb="FF1F2933"/>
      <name val="Consolas"/>
    </font>
    <font>
      <b/>
      <sz val="24.0"/>
      <color rgb="FFC77C0E"/>
      <name val="Arial"/>
    </font>
    <font>
      <b/>
      <sz val="24.0"/>
      <color rgb="FFB03A2E"/>
      <name val="Arial"/>
    </font>
    <font>
      <b/>
      <sz val="8.0"/>
      <color rgb="FF5B6574"/>
      <name val="Arial"/>
    </font>
    <font>
      <b/>
      <sz val="12.0"/>
      <color rgb="FF1F2A44"/>
      <name val="Arial"/>
    </font>
    <font>
      <b/>
      <sz val="8.0"/>
      <color rgb="FFC77C0E"/>
      <name val="Arial"/>
    </font>
    <font>
      <b/>
      <sz val="10.0"/>
      <color rgb="FFB03A2E"/>
      <name val="Arial"/>
    </font>
    <font>
      <u/>
      <sz val="9.0"/>
      <color rgb="FF2F6FA6"/>
      <name val="Arial"/>
    </font>
    <font>
      <u/>
      <sz val="9.0"/>
      <color rgb="FF2F6FA6"/>
      <name val="Arial"/>
    </font>
    <font>
      <b/>
      <sz val="10.0"/>
      <color rgb="FFC77C0E"/>
      <name val="Arial"/>
    </font>
    <font>
      <sz val="9.0"/>
      <color rgb="FF5B6574"/>
      <name val="Consolas"/>
    </font>
    <font>
      <u/>
      <sz val="9.0"/>
      <color rgb="FF2F6FA6"/>
      <name val="Arial"/>
    </font>
    <font>
      <b/>
      <sz val="10.0"/>
      <color rgb="FF2F6FA6"/>
      <name val="Arial"/>
    </font>
    <font>
      <u/>
      <sz val="9.0"/>
      <color rgb="FF2F6FA6"/>
      <name val="Arial"/>
    </font>
    <font>
      <u/>
      <sz val="9.0"/>
      <color rgb="FF2F6FA6"/>
      <name val="Arial"/>
    </font>
    <font>
      <u/>
      <sz val="9.0"/>
      <color rgb="FF2F6FA6"/>
      <name val="Arial"/>
    </font>
    <font>
      <b/>
      <sz val="9.0"/>
      <color rgb="FF1F2933"/>
      <name val="Arial"/>
    </font>
    <font>
      <u/>
      <sz val="9.0"/>
      <color rgb="FF2F6FA6"/>
      <name val="Arial"/>
    </font>
    <font>
      <u/>
      <sz val="9.0"/>
      <color rgb="FF2F6FA6"/>
      <name val="Arial"/>
    </font>
    <font>
      <b/>
      <sz val="9.0"/>
      <color rgb="FFFFFFFF"/>
      <name val="Arial"/>
    </font>
    <font>
      <b/>
      <sz val="11.0"/>
      <color rgb="FF1F2933"/>
      <name val="Arial"/>
    </font>
    <font>
      <b/>
      <sz val="11.0"/>
      <color rgb="FF1F2A44"/>
      <name val="Arial"/>
    </font>
    <font>
      <b/>
      <sz val="10.0"/>
      <color theme="1"/>
      <name val="Arial"/>
    </font>
    <font>
      <sz val="10.0"/>
      <color theme="1"/>
      <name val="Arial"/>
    </font>
    <font>
      <b/>
      <sz val="10.0"/>
      <color rgb="FF5B6574"/>
      <name val="Arial"/>
    </font>
    <font>
      <b/>
      <sz val="9.0"/>
      <color rgb="FF5B6574"/>
      <name val="Arial"/>
    </font>
    <font>
      <b/>
      <sz val="9.0"/>
      <color rgb="FFB03A2E"/>
      <name val="Arial"/>
    </font>
    <font>
      <b/>
      <sz val="9.0"/>
      <color rgb="FFC77C0E"/>
      <name val="Arial"/>
    </font>
    <font>
      <b/>
      <sz val="9.0"/>
      <color rgb="FF2F6FA6"/>
      <name val="Arial"/>
    </font>
    <font>
      <b/>
      <sz val="26.0"/>
      <color rgb="FF1F2A44"/>
      <name val="Arial"/>
    </font>
    <font>
      <b/>
      <sz val="26.0"/>
      <color rgb="FFB03A2E"/>
      <name val="Arial"/>
    </font>
    <font>
      <b/>
      <sz val="26.0"/>
      <color rgb="FFC77C0E"/>
      <name val="Arial"/>
    </font>
    <font>
      <b/>
      <sz val="26.0"/>
      <color rgb="FF2F6FA6"/>
      <name val="Arial"/>
    </font>
    <font>
      <i/>
      <sz val="8.0"/>
      <color rgb="FF5B6574"/>
      <name val="Arial"/>
    </font>
    <font>
      <b/>
      <sz val="16.0"/>
      <color rgb="FF1F2A44"/>
      <name val="Arial"/>
    </font>
    <font>
      <b/>
      <sz val="10.0"/>
      <color rgb="FF1F2A44"/>
      <name val="Arial"/>
    </font>
    <font>
      <b/>
      <sz val="9.0"/>
      <color rgb="FF7A5C99"/>
      <name val="Arial"/>
    </font>
    <font>
      <b/>
      <sz val="9.0"/>
      <color rgb="FF3D7A5F"/>
      <name val="Arial"/>
    </font>
  </fonts>
  <fills count="19">
    <fill>
      <patternFill patternType="none"/>
    </fill>
    <fill>
      <patternFill patternType="lightGray"/>
    </fill>
    <fill>
      <patternFill patternType="solid">
        <fgColor rgb="FF1F2A44"/>
        <bgColor rgb="FF1F2A44"/>
      </patternFill>
    </fill>
    <fill>
      <patternFill patternType="solid">
        <fgColor rgb="FFEEF1F6"/>
        <bgColor rgb="FFEEF1F6"/>
      </patternFill>
    </fill>
    <fill>
      <patternFill patternType="solid">
        <fgColor rgb="FFE8F1F9"/>
        <bgColor rgb="FFE8F1F9"/>
      </patternFill>
    </fill>
    <fill>
      <patternFill patternType="solid">
        <fgColor rgb="FFFEF4E2"/>
        <bgColor rgb="FFFEF4E2"/>
      </patternFill>
    </fill>
    <fill>
      <patternFill patternType="solid">
        <fgColor rgb="FFFBE9E7"/>
        <bgColor rgb="FFFBE9E7"/>
      </patternFill>
    </fill>
    <fill>
      <patternFill patternType="solid">
        <fgColor rgb="FF2C3E64"/>
        <bgColor rgb="FF2C3E64"/>
      </patternFill>
    </fill>
    <fill>
      <patternFill patternType="solid">
        <fgColor rgb="FFFFFFFF"/>
        <bgColor rgb="FFFFFFFF"/>
      </patternFill>
    </fill>
    <fill>
      <patternFill patternType="solid">
        <fgColor rgb="FFF4F6F9"/>
        <bgColor rgb="FFF4F6F9"/>
      </patternFill>
    </fill>
    <fill>
      <patternFill patternType="solid">
        <fgColor rgb="FFC77C0E"/>
        <bgColor rgb="FFC77C0E"/>
      </patternFill>
    </fill>
    <fill>
      <patternFill patternType="solid">
        <fgColor rgb="FFB03A2E"/>
        <bgColor rgb="FFB03A2E"/>
      </patternFill>
    </fill>
    <fill>
      <patternFill patternType="solid">
        <fgColor rgb="FF2F6FA6"/>
        <bgColor rgb="FF2F6FA6"/>
      </patternFill>
    </fill>
    <fill>
      <patternFill patternType="solid">
        <fgColor rgb="FFF6D5D1"/>
        <bgColor rgb="FFF6D5D1"/>
      </patternFill>
    </fill>
    <fill>
      <patternFill patternType="solid">
        <fgColor rgb="FFC9DDF0"/>
        <bgColor rgb="FFC9DDF0"/>
      </patternFill>
    </fill>
    <fill>
      <patternFill patternType="solid">
        <fgColor rgb="FF8DB5DC"/>
        <bgColor rgb="FF8DB5DC"/>
      </patternFill>
    </fill>
    <fill>
      <patternFill patternType="solid">
        <fgColor rgb="FFF2EDF7"/>
        <bgColor rgb="FFF2EDF7"/>
      </patternFill>
    </fill>
    <fill>
      <patternFill patternType="solid">
        <fgColor rgb="FFEAF4EE"/>
        <bgColor rgb="FFEAF4EE"/>
      </patternFill>
    </fill>
    <fill>
      <patternFill patternType="solid">
        <fgColor rgb="FFF1F3F5"/>
        <bgColor rgb="FFF1F3F5"/>
      </patternFill>
    </fill>
  </fills>
  <borders count="29">
    <border/>
    <border>
      <left/>
      <top/>
      <bottom/>
    </border>
    <border>
      <top/>
      <bottom/>
    </border>
    <border>
      <right/>
      <top/>
      <bottom/>
    </border>
    <border>
      <left/>
      <right/>
      <top/>
      <bottom/>
    </border>
    <border>
      <left style="thin">
        <color rgb="FF2C3E64"/>
      </left>
      <right style="thin">
        <color rgb="FF4A5A80"/>
      </right>
      <top style="thin">
        <color rgb="FF2C3E64"/>
      </top>
      <bottom style="medium">
        <color rgb="FF1F2A44"/>
      </bottom>
    </border>
    <border>
      <left style="thin">
        <color rgb="FFD5DAE1"/>
      </left>
      <right style="thin">
        <color rgb="FFD5DAE1"/>
      </right>
      <top style="thin">
        <color rgb="FFD5DAE1"/>
      </top>
      <bottom style="thin">
        <color rgb="FFD5DAE1"/>
      </bottom>
    </border>
    <border>
      <left style="thick">
        <color rgb="FFB03A2E"/>
      </left>
      <right style="thin">
        <color rgb="FFD5DAE1"/>
      </right>
      <top style="thin">
        <color rgb="FFD5DAE1"/>
      </top>
      <bottom style="thin">
        <color rgb="FFD5DAE1"/>
      </bottom>
    </border>
    <border>
      <left style="thick">
        <color rgb="FFC77C0E"/>
      </left>
      <right style="thin">
        <color rgb="FFD5DAE1"/>
      </right>
      <top style="thin">
        <color rgb="FFD5DAE1"/>
      </top>
      <bottom style="thin">
        <color rgb="FFD5DAE1"/>
      </bottom>
    </border>
    <border>
      <left style="thin">
        <color rgb="FFD5DAE1"/>
      </left>
      <top style="thin">
        <color rgb="FFD5DAE1"/>
      </top>
      <bottom style="thin">
        <color rgb="FFD5DAE1"/>
      </bottom>
    </border>
    <border>
      <top style="thin">
        <color rgb="FFD5DAE1"/>
      </top>
      <bottom style="thin">
        <color rgb="FFD5DAE1"/>
      </bottom>
    </border>
    <border>
      <right style="thin">
        <color rgb="FFD5DAE1"/>
      </right>
      <top style="thin">
        <color rgb="FFD5DAE1"/>
      </top>
      <bottom style="thin">
        <color rgb="FFD5DAE1"/>
      </bottom>
    </border>
    <border>
      <left style="thick">
        <color rgb="FF2F6FA6"/>
      </left>
      <right style="thin">
        <color rgb="FFD5DAE1"/>
      </right>
      <top style="thin">
        <color rgb="FFD5DAE1"/>
      </top>
      <bottom style="thin">
        <color rgb="FFD5DAE1"/>
      </bottom>
    </border>
    <border>
      <left/>
      <right/>
      <top style="thick">
        <color rgb="FF1F2A44"/>
      </top>
      <bottom/>
    </border>
    <border>
      <left/>
      <right/>
      <top style="thick">
        <color rgb="FFB03A2E"/>
      </top>
      <bottom/>
    </border>
    <border>
      <left/>
      <right/>
      <top style="thick">
        <color rgb="FFC77C0E"/>
      </top>
      <bottom/>
    </border>
    <border>
      <left/>
      <right/>
      <top style="thick">
        <color rgb="FF2F6FA6"/>
      </top>
      <bottom/>
    </border>
    <border>
      <left style="thick">
        <color rgb="FF1F2A44"/>
      </left>
      <top/>
    </border>
    <border>
      <top/>
    </border>
    <border>
      <right/>
      <top/>
    </border>
    <border>
      <left style="thick">
        <color rgb="FF1F2A44"/>
      </left>
    </border>
    <border>
      <right/>
    </border>
    <border>
      <left style="thick">
        <color rgb="FF1F2A44"/>
      </left>
      <bottom/>
    </border>
    <border>
      <bottom/>
    </border>
    <border>
      <right/>
      <bottom/>
    </border>
    <border>
      <bottom style="thin">
        <color rgb="FFD5DAE1"/>
      </bottom>
    </border>
    <border>
      <left style="thick">
        <color rgb="FF7A5C99"/>
      </left>
      <right style="thin">
        <color rgb="FFD5DAE1"/>
      </right>
      <top style="thin">
        <color rgb="FFD5DAE1"/>
      </top>
      <bottom style="thin">
        <color rgb="FFD5DAE1"/>
      </bottom>
    </border>
    <border>
      <left style="thick">
        <color rgb="FF3D7A5F"/>
      </left>
      <right style="thin">
        <color rgb="FFD5DAE1"/>
      </right>
      <top style="thin">
        <color rgb="FFD5DAE1"/>
      </top>
      <bottom style="thin">
        <color rgb="FFD5DAE1"/>
      </bottom>
    </border>
    <border>
      <left style="thick">
        <color rgb="FF5B6574"/>
      </left>
      <right style="thin">
        <color rgb="FFD5DAE1"/>
      </right>
      <top style="thin">
        <color rgb="FFD5DAE1"/>
      </top>
      <bottom style="thin">
        <color rgb="FFD5DAE1"/>
      </bottom>
    </border>
  </borders>
  <cellStyleXfs count="1">
    <xf borderId="0" fillId="0" fontId="0" numFmtId="0" applyAlignment="1" applyFont="1"/>
  </cellStyleXfs>
  <cellXfs count="21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1" fillId="2" fontId="3" numFmtId="0" xfId="0" applyAlignment="1" applyBorder="1" applyFill="1" applyFont="1">
      <alignment horizontal="left" shrinkToFit="0" vertical="center" wrapText="0"/>
    </xf>
    <xf borderId="1" fillId="2" fontId="3" numFmtId="0" xfId="0" applyAlignment="1" applyBorder="1" applyFill="1" applyFont="1">
      <alignment shrinkToFit="0" vertical="center" wrapText="0"/>
    </xf>
    <xf borderId="2" fillId="0" fontId="4" numFmtId="0" xfId="0" applyBorder="1" applyFont="1"/>
    <xf borderId="0" fillId="0" fontId="5" numFmtId="0" xfId="0" applyAlignment="1" applyFont="1">
      <alignment horizontal="left" shrinkToFit="0" vertical="top" wrapText="1"/>
    </xf>
    <xf borderId="3" fillId="0" fontId="4" numFmtId="0" xfId="0" applyBorder="1" applyFont="1"/>
    <xf borderId="1" fillId="2" fontId="6" numFmtId="0" xfId="0" applyAlignment="1" applyBorder="1" applyFill="1" applyFont="1">
      <alignment horizontal="left" shrinkToFit="0" vertical="center" wrapText="1"/>
    </xf>
    <xf borderId="4" fillId="3" fontId="7" numFmtId="0" xfId="0" applyAlignment="1" applyBorder="1" applyFill="1" applyFont="1">
      <alignment horizontal="left" shrinkToFit="0" vertical="center" wrapText="1"/>
    </xf>
    <xf borderId="4" fillId="4" fontId="7" numFmtId="0" xfId="0" applyAlignment="1" applyBorder="1" applyFill="1" applyFont="1">
      <alignment horizontal="left" shrinkToFit="0" vertical="center" wrapText="1"/>
    </xf>
    <xf borderId="0" fillId="0" fontId="5" numFmtId="0" xfId="0" applyAlignment="1" applyFont="1">
      <alignment shrinkToFit="0" vertical="top" wrapText="1"/>
    </xf>
    <xf borderId="4" fillId="5" fontId="7" numFmtId="0" xfId="0" applyAlignment="1" applyBorder="1" applyFill="1" applyFont="1">
      <alignment horizontal="left" shrinkToFit="0" vertical="center" wrapText="1"/>
    </xf>
    <xf borderId="4" fillId="6" fontId="7" numFmtId="0" xfId="0" applyAlignment="1" applyBorder="1" applyFill="1" applyFont="1">
      <alignment horizontal="left" shrinkToFit="0" vertical="center" wrapText="1"/>
    </xf>
    <xf borderId="1" fillId="2" fontId="8" numFmtId="0" xfId="0" applyAlignment="1" applyBorder="1" applyFill="1" applyFont="1">
      <alignment horizontal="left" shrinkToFit="0" vertical="center" wrapText="1"/>
    </xf>
    <xf borderId="5" fillId="7" fontId="9" numFmtId="0" xfId="0" applyAlignment="1" applyBorder="1" applyFill="1" applyFont="1">
      <alignment horizontal="center" shrinkToFit="0" vertical="center" wrapText="1"/>
    </xf>
    <xf borderId="0" fillId="0" fontId="10" numFmtId="0" xfId="0" applyAlignment="1" applyFont="1">
      <alignment shrinkToFit="0" vertical="bottom" wrapText="0"/>
    </xf>
    <xf borderId="6" fillId="8" fontId="11" numFmtId="0" xfId="0" applyAlignment="1" applyBorder="1" applyFill="1" applyFont="1">
      <alignment horizontal="center" shrinkToFit="0" vertical="top" wrapText="1"/>
    </xf>
    <xf borderId="4" fillId="9" fontId="1" numFmtId="0" xfId="0" applyAlignment="1" applyBorder="1" applyFill="1" applyFont="1">
      <alignment shrinkToFit="0" vertical="bottom" wrapText="0"/>
    </xf>
    <xf borderId="5" fillId="10" fontId="12" numFmtId="0" xfId="0" applyAlignment="1" applyBorder="1" applyFill="1" applyFont="1">
      <alignment horizontal="center" shrinkToFit="0" vertical="center" wrapText="1"/>
    </xf>
    <xf borderId="4" fillId="3" fontId="13" numFmtId="0" xfId="0" applyAlignment="1" applyBorder="1" applyFill="1" applyFont="1">
      <alignment horizontal="left" shrinkToFit="0" vertical="center" wrapText="0"/>
    </xf>
    <xf borderId="6" fillId="8" fontId="14" numFmtId="0" xfId="0" applyAlignment="1" applyBorder="1" applyFill="1" applyFont="1">
      <alignment horizontal="left" shrinkToFit="0" vertical="top" wrapText="1"/>
    </xf>
    <xf borderId="6" fillId="8" fontId="14" numFmtId="0" xfId="0" applyAlignment="1" applyBorder="1" applyFill="1" applyFont="1">
      <alignment horizontal="center" shrinkToFit="0" vertical="top" wrapText="1"/>
    </xf>
    <xf borderId="6" fillId="8" fontId="15" numFmtId="0" xfId="0" applyAlignment="1" applyBorder="1" applyFill="1" applyFont="1">
      <alignment horizontal="left" shrinkToFit="0" vertical="top" wrapText="1"/>
    </xf>
    <xf borderId="1" fillId="11" fontId="9" numFmtId="0" xfId="0" applyAlignment="1" applyBorder="1" applyFill="1" applyFont="1">
      <alignment horizontal="center" shrinkToFit="0" vertical="center" wrapText="1"/>
    </xf>
    <xf borderId="1" fillId="10" fontId="9" numFmtId="0" xfId="0" applyAlignment="1" applyBorder="1" applyFill="1" applyFont="1">
      <alignment horizontal="center" shrinkToFit="0" vertical="center" wrapText="1"/>
    </xf>
    <xf borderId="4" fillId="4" fontId="16" numFmtId="0" xfId="0" applyAlignment="1" applyBorder="1" applyFill="1" applyFont="1">
      <alignment horizontal="left" shrinkToFit="0" vertical="center" wrapText="0"/>
    </xf>
    <xf borderId="1" fillId="12" fontId="9" numFmtId="0" xfId="0" applyAlignment="1" applyBorder="1" applyFill="1" applyFont="1">
      <alignment horizontal="center" shrinkToFit="0" vertical="center" wrapText="1"/>
    </xf>
    <xf borderId="6" fillId="8" fontId="5" numFmtId="0" xfId="0" applyAlignment="1" applyBorder="1" applyFill="1" applyFont="1">
      <alignment horizontal="left" shrinkToFit="0" vertical="top" wrapText="1"/>
    </xf>
    <xf borderId="6" fillId="8" fontId="17" numFmtId="0" xfId="0" applyAlignment="1" applyBorder="1" applyFill="1" applyFont="1">
      <alignment horizontal="left" shrinkToFit="0" vertical="top" wrapText="1"/>
    </xf>
    <xf borderId="4" fillId="5" fontId="18" numFmtId="0" xfId="0" applyAlignment="1" applyBorder="1" applyFill="1" applyFont="1">
      <alignment horizontal="left" shrinkToFit="0" vertical="center" wrapText="0"/>
    </xf>
    <xf borderId="1" fillId="9" fontId="10" numFmtId="0" xfId="0" applyAlignment="1" applyBorder="1" applyFill="1" applyFont="1">
      <alignment shrinkToFit="0" vertical="center" wrapText="1"/>
    </xf>
    <xf borderId="4" fillId="6" fontId="19" numFmtId="0" xfId="0" applyAlignment="1" applyBorder="1" applyFill="1" applyFont="1">
      <alignment horizontal="left" shrinkToFit="0" vertical="center" wrapText="0"/>
    </xf>
    <xf borderId="0" fillId="0" fontId="20" numFmtId="0" xfId="0" applyAlignment="1" applyFont="1">
      <alignment shrinkToFit="0" vertical="bottom" wrapText="0"/>
    </xf>
    <xf borderId="6" fillId="8" fontId="11" numFmtId="0" xfId="0" applyAlignment="1" applyBorder="1" applyFill="1" applyFont="1">
      <alignment horizontal="left" shrinkToFit="0" vertical="top" wrapText="1"/>
    </xf>
    <xf borderId="6" fillId="8" fontId="14" numFmtId="164" xfId="0" applyAlignment="1" applyBorder="1" applyFill="1" applyFont="1" applyNumberFormat="1">
      <alignment horizontal="center" shrinkToFit="0" vertical="top" wrapText="1"/>
    </xf>
    <xf borderId="0" fillId="0" fontId="21" numFmtId="0" xfId="0" applyAlignment="1" applyFont="1">
      <alignment shrinkToFit="0" vertical="bottom" wrapText="0"/>
    </xf>
    <xf borderId="0" fillId="0" fontId="22" numFmtId="0" xfId="0" applyAlignment="1" applyFont="1">
      <alignment shrinkToFit="0" vertical="bottom" wrapText="0"/>
    </xf>
    <xf borderId="6" fillId="7" fontId="9" numFmtId="0" xfId="0" applyAlignment="1" applyBorder="1" applyFill="1" applyFont="1">
      <alignment horizontal="left" shrinkToFit="0" vertical="center" wrapText="1"/>
    </xf>
    <xf borderId="6" fillId="7" fontId="9" numFmtId="0" xfId="0" applyAlignment="1" applyBorder="1" applyFill="1" applyFont="1">
      <alignment horizontal="center" shrinkToFit="0" vertical="center" wrapText="1"/>
    </xf>
    <xf borderId="6" fillId="0" fontId="23" numFmtId="0" xfId="0" applyAlignment="1" applyBorder="1" applyFont="1">
      <alignment horizontal="left" shrinkToFit="0" vertical="center" wrapText="0"/>
    </xf>
    <xf borderId="6" fillId="0" fontId="14" numFmtId="0" xfId="0" applyAlignment="1" applyBorder="1" applyFont="1">
      <alignment horizontal="center" shrinkToFit="0" vertical="center" wrapText="0"/>
    </xf>
    <xf borderId="7" fillId="6" fontId="5" numFmtId="0" xfId="0" applyAlignment="1" applyBorder="1" applyFill="1" applyFont="1">
      <alignment horizontal="center" shrinkToFit="0" vertical="top" wrapText="1"/>
    </xf>
    <xf borderId="6" fillId="6" fontId="11" numFmtId="0" xfId="0" applyAlignment="1" applyBorder="1" applyFill="1" applyFont="1">
      <alignment shrinkToFit="0" vertical="top" wrapText="1"/>
    </xf>
    <xf borderId="6" fillId="0" fontId="11" numFmtId="0" xfId="0" applyAlignment="1" applyBorder="1" applyFont="1">
      <alignment horizontal="center" shrinkToFit="0" vertical="center" wrapText="0"/>
    </xf>
    <xf borderId="6" fillId="6" fontId="14" numFmtId="0" xfId="0" applyAlignment="1" applyBorder="1" applyFill="1" applyFont="1">
      <alignment shrinkToFit="0" vertical="top" wrapText="1"/>
    </xf>
    <xf borderId="6" fillId="6" fontId="14" numFmtId="0" xfId="0" applyAlignment="1" applyBorder="1" applyFill="1" applyFont="1">
      <alignment horizontal="center" shrinkToFit="0" vertical="top" wrapText="1"/>
    </xf>
    <xf borderId="6" fillId="0" fontId="14" numFmtId="9" xfId="0" applyAlignment="1" applyBorder="1" applyFont="1" applyNumberFormat="1">
      <alignment horizontal="center" shrinkToFit="0" vertical="center" wrapText="0"/>
    </xf>
    <xf borderId="6" fillId="8" fontId="24" numFmtId="0" xfId="0" applyAlignment="1" applyBorder="1" applyFill="1" applyFont="1">
      <alignment horizontal="left" shrinkToFit="0" vertical="top" wrapText="1"/>
    </xf>
    <xf borderId="6" fillId="6" fontId="25" numFmtId="0" xfId="0" applyAlignment="1" applyBorder="1" applyFill="1" applyFont="1">
      <alignment shrinkToFit="0" vertical="top" wrapText="1"/>
    </xf>
    <xf borderId="6" fillId="9" fontId="5" numFmtId="0" xfId="0" applyAlignment="1" applyBorder="1" applyFill="1" applyFont="1">
      <alignment horizontal="left" shrinkToFit="0" vertical="top" wrapText="1"/>
    </xf>
    <xf borderId="6" fillId="11" fontId="9" numFmtId="0" xfId="0" applyAlignment="1" applyBorder="1" applyFill="1" applyFont="1">
      <alignment horizontal="center" shrinkToFit="0" vertical="center" wrapText="1"/>
    </xf>
    <xf borderId="6" fillId="9" fontId="17" numFmtId="0" xfId="0" applyAlignment="1" applyBorder="1" applyFill="1" applyFont="1">
      <alignment horizontal="left" shrinkToFit="0" vertical="top" wrapText="1"/>
    </xf>
    <xf borderId="6" fillId="6" fontId="10" numFmtId="0" xfId="0" applyAlignment="1" applyBorder="1" applyFill="1" applyFont="1">
      <alignment shrinkToFit="0" vertical="top" wrapText="1"/>
    </xf>
    <xf borderId="6" fillId="9" fontId="26" numFmtId="0" xfId="0" applyAlignment="1" applyBorder="1" applyFill="1" applyFont="1">
      <alignment horizontal="left" shrinkToFit="0" vertical="center" wrapText="0"/>
    </xf>
    <xf borderId="6" fillId="9" fontId="11" numFmtId="0" xfId="0" applyAlignment="1" applyBorder="1" applyFill="1" applyFont="1">
      <alignment horizontal="left" shrinkToFit="0" vertical="top" wrapText="1"/>
    </xf>
    <xf borderId="6" fillId="6" fontId="27" numFmtId="0" xfId="0" applyAlignment="1" applyBorder="1" applyFill="1" applyFont="1">
      <alignment shrinkToFit="0" vertical="top" wrapText="1"/>
    </xf>
    <xf borderId="6" fillId="9" fontId="14" numFmtId="0" xfId="0" applyAlignment="1" applyBorder="1" applyFill="1" applyFont="1">
      <alignment horizontal="left" shrinkToFit="0" vertical="top" wrapText="1"/>
    </xf>
    <xf borderId="6" fillId="9" fontId="14" numFmtId="164" xfId="0" applyAlignment="1" applyBorder="1" applyFill="1" applyFont="1" applyNumberFormat="1">
      <alignment horizontal="center" shrinkToFit="0" vertical="top" wrapText="1"/>
    </xf>
    <xf borderId="6" fillId="6" fontId="11" numFmtId="0" xfId="0" applyAlignment="1" applyBorder="1" applyFill="1" applyFont="1">
      <alignment horizontal="center" shrinkToFit="0" vertical="center" wrapText="1"/>
    </xf>
    <xf borderId="6" fillId="9" fontId="14" numFmtId="0" xfId="0" applyAlignment="1" applyBorder="1" applyFill="1" applyFont="1">
      <alignment horizontal="center" shrinkToFit="0" vertical="center" wrapText="0"/>
    </xf>
    <xf borderId="6" fillId="9" fontId="14" numFmtId="0" xfId="0" applyAlignment="1" applyBorder="1" applyFill="1" applyFont="1">
      <alignment horizontal="center" shrinkToFit="0" vertical="top" wrapText="1"/>
    </xf>
    <xf borderId="6" fillId="6" fontId="14" numFmtId="0" xfId="0" applyAlignment="1" applyBorder="1" applyFill="1" applyFont="1">
      <alignment horizontal="left" shrinkToFit="0" vertical="top" wrapText="1"/>
    </xf>
    <xf borderId="6" fillId="9" fontId="11" numFmtId="0" xfId="0" applyAlignment="1" applyBorder="1" applyFill="1" applyFont="1">
      <alignment horizontal="center" shrinkToFit="0" vertical="center" wrapText="0"/>
    </xf>
    <xf borderId="6" fillId="9" fontId="14" numFmtId="9" xfId="0" applyAlignment="1" applyBorder="1" applyFill="1" applyFont="1" applyNumberFormat="1">
      <alignment horizontal="center" shrinkToFit="0" vertical="center" wrapText="0"/>
    </xf>
    <xf borderId="6" fillId="6" fontId="14" numFmtId="0" xfId="0" applyAlignment="1" applyBorder="1" applyFill="1" applyFont="1">
      <alignment horizontal="center" shrinkToFit="0" vertical="center" wrapText="1"/>
    </xf>
    <xf borderId="6" fillId="6" fontId="28" numFmtId="0" xfId="0" applyAlignment="1" applyBorder="1" applyFill="1" applyFont="1">
      <alignment horizontal="left" shrinkToFit="0" vertical="top" wrapText="1"/>
    </xf>
    <xf borderId="6" fillId="0" fontId="29" numFmtId="0" xfId="0" applyAlignment="1" applyBorder="1" applyFont="1">
      <alignment horizontal="left" shrinkToFit="0" vertical="center" wrapText="0"/>
    </xf>
    <xf borderId="6" fillId="6" fontId="5" numFmtId="0" xfId="0" applyAlignment="1" applyBorder="1" applyFill="1" applyFont="1">
      <alignment horizontal="left" shrinkToFit="0" vertical="top" wrapText="1"/>
    </xf>
    <xf borderId="6" fillId="9" fontId="30" numFmtId="0" xfId="0" applyAlignment="1" applyBorder="1" applyFill="1" applyFont="1">
      <alignment horizontal="left" shrinkToFit="0" vertical="top" wrapText="1"/>
    </xf>
    <xf borderId="6" fillId="6" fontId="11" numFmtId="0" xfId="0" applyAlignment="1" applyBorder="1" applyFill="1" applyFont="1">
      <alignment horizontal="left" shrinkToFit="0" vertical="top" wrapText="1"/>
    </xf>
    <xf borderId="6" fillId="9" fontId="15" numFmtId="0" xfId="0" applyAlignment="1" applyBorder="1" applyFill="1" applyFont="1">
      <alignment horizontal="left" shrinkToFit="0" vertical="top" wrapText="1"/>
    </xf>
    <xf borderId="6" fillId="0" fontId="11" numFmtId="0" xfId="0" applyAlignment="1" applyBorder="1" applyFont="1">
      <alignment horizontal="left" shrinkToFit="0" vertical="center" wrapText="0"/>
    </xf>
    <xf borderId="6" fillId="0" fontId="11" numFmtId="9" xfId="0" applyAlignment="1" applyBorder="1" applyFont="1" applyNumberFormat="1">
      <alignment horizontal="center" shrinkToFit="0" vertical="center" wrapText="0"/>
    </xf>
    <xf borderId="6" fillId="0" fontId="14" numFmtId="0" xfId="0" applyAlignment="1" applyBorder="1" applyFont="1">
      <alignment horizontal="left" shrinkToFit="0" vertical="center" wrapText="0"/>
    </xf>
    <xf borderId="6" fillId="4" fontId="11" numFmtId="0" xfId="0" applyAlignment="1" applyBorder="1" applyFill="1" applyFont="1">
      <alignment horizontal="center" shrinkToFit="0" vertical="top" wrapText="1"/>
    </xf>
    <xf borderId="6" fillId="4" fontId="14" numFmtId="0" xfId="0" applyAlignment="1" applyBorder="1" applyFill="1" applyFont="1">
      <alignment horizontal="left" shrinkToFit="0" vertical="top" wrapText="1"/>
    </xf>
    <xf borderId="6" fillId="4" fontId="14" numFmtId="0" xfId="0" applyAlignment="1" applyBorder="1" applyFill="1" applyFont="1">
      <alignment horizontal="center" shrinkToFit="0" vertical="top" wrapText="1"/>
    </xf>
    <xf borderId="6" fillId="4" fontId="15" numFmtId="0" xfId="0" applyAlignment="1" applyBorder="1" applyFill="1" applyFont="1">
      <alignment horizontal="left" shrinkToFit="0" vertical="top" wrapText="1"/>
    </xf>
    <xf borderId="6" fillId="9" fontId="14" numFmtId="0" xfId="0" applyAlignment="1" applyBorder="1" applyFill="1" applyFont="1">
      <alignment horizontal="left" shrinkToFit="0" vertical="center" wrapText="0"/>
    </xf>
    <xf borderId="6" fillId="6" fontId="5" numFmtId="0" xfId="0" applyAlignment="1" applyBorder="1" applyFill="1" applyFont="1">
      <alignment horizontal="left" shrinkToFit="0" vertical="top" wrapText="0"/>
    </xf>
    <xf borderId="6" fillId="6" fontId="15" numFmtId="0" xfId="0" applyAlignment="1" applyBorder="1" applyFill="1" applyFont="1">
      <alignment horizontal="left" shrinkToFit="0" vertical="top" wrapText="1"/>
    </xf>
    <xf borderId="8" fillId="5" fontId="5" numFmtId="0" xfId="0" applyAlignment="1" applyBorder="1" applyFill="1" applyFont="1">
      <alignment horizontal="center" shrinkToFit="0" vertical="top" wrapText="1"/>
    </xf>
    <xf borderId="6" fillId="5" fontId="11" numFmtId="0" xfId="0" applyAlignment="1" applyBorder="1" applyFill="1" applyFont="1">
      <alignment shrinkToFit="0" vertical="top" wrapText="1"/>
    </xf>
    <xf borderId="6" fillId="5" fontId="14" numFmtId="0" xfId="0" applyAlignment="1" applyBorder="1" applyFill="1" applyFont="1">
      <alignment shrinkToFit="0" vertical="top" wrapText="1"/>
    </xf>
    <xf borderId="6" fillId="5" fontId="14" numFmtId="0" xfId="0" applyAlignment="1" applyBorder="1" applyFill="1" applyFont="1">
      <alignment horizontal="center" shrinkToFit="0" vertical="top" wrapText="1"/>
    </xf>
    <xf borderId="6" fillId="5" fontId="31" numFmtId="0" xfId="0" applyAlignment="1" applyBorder="1" applyFill="1" applyFont="1">
      <alignment shrinkToFit="0" vertical="top" wrapText="1"/>
    </xf>
    <xf borderId="6" fillId="10" fontId="9" numFmtId="0" xfId="0" applyAlignment="1" applyBorder="1" applyFill="1" applyFont="1">
      <alignment horizontal="center" shrinkToFit="0" vertical="center" wrapText="1"/>
    </xf>
    <xf borderId="6" fillId="5" fontId="10" numFmtId="0" xfId="0" applyAlignment="1" applyBorder="1" applyFill="1" applyFont="1">
      <alignment shrinkToFit="0" vertical="top" wrapText="1"/>
    </xf>
    <xf borderId="6" fillId="5" fontId="27" numFmtId="0" xfId="0" applyAlignment="1" applyBorder="1" applyFill="1" applyFont="1">
      <alignment shrinkToFit="0" vertical="top" wrapText="1"/>
    </xf>
    <xf borderId="6" fillId="5" fontId="11" numFmtId="0" xfId="0" applyAlignment="1" applyBorder="1" applyFill="1" applyFont="1">
      <alignment horizontal="center" shrinkToFit="0" vertical="center" wrapText="1"/>
    </xf>
    <xf borderId="6" fillId="5" fontId="14" numFmtId="0" xfId="0" applyAlignment="1" applyBorder="1" applyFill="1" applyFont="1">
      <alignment horizontal="left" shrinkToFit="0" vertical="top" wrapText="1"/>
    </xf>
    <xf borderId="6" fillId="5" fontId="14" numFmtId="0" xfId="0" applyAlignment="1" applyBorder="1" applyFill="1" applyFont="1">
      <alignment horizontal="center" shrinkToFit="0" vertical="center" wrapText="1"/>
    </xf>
    <xf borderId="6" fillId="5" fontId="32" numFmtId="0" xfId="0" applyAlignment="1" applyBorder="1" applyFill="1" applyFont="1">
      <alignment horizontal="left" shrinkToFit="0" vertical="top" wrapText="1"/>
    </xf>
    <xf borderId="6" fillId="5" fontId="5" numFmtId="0" xfId="0" applyAlignment="1" applyBorder="1" applyFill="1" applyFont="1">
      <alignment horizontal="left" shrinkToFit="0" vertical="top" wrapText="1"/>
    </xf>
    <xf borderId="6" fillId="5" fontId="11" numFmtId="0" xfId="0" applyAlignment="1" applyBorder="1" applyFill="1" applyFont="1">
      <alignment horizontal="left" shrinkToFit="0" vertical="top" wrapText="1"/>
    </xf>
    <xf borderId="6" fillId="5" fontId="5" numFmtId="0" xfId="0" applyAlignment="1" applyBorder="1" applyFill="1" applyFont="1">
      <alignment horizontal="left" shrinkToFit="0" vertical="top" wrapText="0"/>
    </xf>
    <xf borderId="6" fillId="5" fontId="15" numFmtId="0" xfId="0" applyAlignment="1" applyBorder="1" applyFill="1" applyFont="1">
      <alignment horizontal="left" shrinkToFit="0" vertical="top" wrapText="1"/>
    </xf>
    <xf borderId="9" fillId="3" fontId="11" numFmtId="0" xfId="0" applyAlignment="1" applyBorder="1" applyFill="1" applyFont="1">
      <alignment horizontal="left" shrinkToFit="0" vertical="top" wrapText="1"/>
    </xf>
    <xf borderId="10" fillId="0" fontId="4" numFmtId="0" xfId="0" applyBorder="1" applyFont="1"/>
    <xf borderId="11" fillId="0" fontId="4" numFmtId="0" xfId="0" applyBorder="1" applyFont="1"/>
    <xf borderId="6" fillId="3" fontId="11" numFmtId="0" xfId="0" applyAlignment="1" applyBorder="1" applyFill="1" applyFont="1">
      <alignment horizontal="center" shrinkToFit="0" vertical="top" wrapText="0"/>
    </xf>
    <xf borderId="6" fillId="3" fontId="11" numFmtId="0" xfId="0" applyAlignment="1" applyBorder="1" applyFill="1" applyFont="1">
      <alignment horizontal="left" shrinkToFit="0" vertical="top" wrapText="1"/>
    </xf>
    <xf borderId="6" fillId="9" fontId="11" numFmtId="0" xfId="0" applyAlignment="1" applyBorder="1" applyFill="1" applyFont="1">
      <alignment horizontal="left" shrinkToFit="0" vertical="center" wrapText="0"/>
    </xf>
    <xf borderId="5" fillId="10" fontId="9" numFmtId="0" xfId="0" applyAlignment="1" applyBorder="1" applyFill="1" applyFont="1">
      <alignment horizontal="center" shrinkToFit="0" vertical="center" wrapText="1"/>
    </xf>
    <xf borderId="6" fillId="8" fontId="33" numFmtId="0" xfId="0" applyAlignment="1" applyBorder="1" applyFill="1" applyFont="1">
      <alignment horizontal="left" shrinkToFit="0" vertical="top" wrapText="1"/>
    </xf>
    <xf borderId="6" fillId="9" fontId="33" numFmtId="0" xfId="0" applyAlignment="1" applyBorder="1" applyFill="1" applyFont="1">
      <alignment horizontal="left" shrinkToFit="0" vertical="top" wrapText="1"/>
    </xf>
    <xf borderId="12" fillId="4" fontId="5" numFmtId="0" xfId="0" applyAlignment="1" applyBorder="1" applyFill="1" applyFont="1">
      <alignment horizontal="center" shrinkToFit="0" vertical="top" wrapText="1"/>
    </xf>
    <xf borderId="6" fillId="4" fontId="11" numFmtId="0" xfId="0" applyAlignment="1" applyBorder="1" applyFill="1" applyFont="1">
      <alignment shrinkToFit="0" vertical="top" wrapText="1"/>
    </xf>
    <xf borderId="6" fillId="4" fontId="14" numFmtId="0" xfId="0" applyAlignment="1" applyBorder="1" applyFill="1" applyFont="1">
      <alignment shrinkToFit="0" vertical="top" wrapText="1"/>
    </xf>
    <xf borderId="6" fillId="4" fontId="34" numFmtId="0" xfId="0" applyAlignment="1" applyBorder="1" applyFill="1" applyFont="1">
      <alignment shrinkToFit="0" vertical="top" wrapText="1"/>
    </xf>
    <xf borderId="6" fillId="12" fontId="9" numFmtId="0" xfId="0" applyAlignment="1" applyBorder="1" applyFill="1" applyFont="1">
      <alignment horizontal="center" shrinkToFit="0" vertical="center" wrapText="1"/>
    </xf>
    <xf borderId="6" fillId="4" fontId="10" numFmtId="0" xfId="0" applyAlignment="1" applyBorder="1" applyFill="1" applyFont="1">
      <alignment shrinkToFit="0" vertical="top" wrapText="1"/>
    </xf>
    <xf borderId="6" fillId="4" fontId="27" numFmtId="0" xfId="0" applyAlignment="1" applyBorder="1" applyFill="1" applyFont="1">
      <alignment shrinkToFit="0" vertical="top" wrapText="1"/>
    </xf>
    <xf borderId="6" fillId="4" fontId="11" numFmtId="0" xfId="0" applyAlignment="1" applyBorder="1" applyFill="1" applyFont="1">
      <alignment horizontal="center" shrinkToFit="0" vertical="center" wrapText="1"/>
    </xf>
    <xf borderId="6" fillId="4" fontId="14" numFmtId="0" xfId="0" applyAlignment="1" applyBorder="1" applyFill="1" applyFont="1">
      <alignment horizontal="center" shrinkToFit="0" vertical="center" wrapText="1"/>
    </xf>
    <xf borderId="6" fillId="4" fontId="35" numFmtId="0" xfId="0" applyAlignment="1" applyBorder="1" applyFill="1" applyFont="1">
      <alignment horizontal="left" shrinkToFit="0" vertical="top" wrapText="1"/>
    </xf>
    <xf borderId="6" fillId="4" fontId="5" numFmtId="0" xfId="0" applyAlignment="1" applyBorder="1" applyFill="1" applyFont="1">
      <alignment horizontal="left" shrinkToFit="0" vertical="top" wrapText="1"/>
    </xf>
    <xf borderId="6" fillId="4" fontId="11" numFmtId="0" xfId="0" applyAlignment="1" applyBorder="1" applyFill="1" applyFont="1">
      <alignment horizontal="left" shrinkToFit="0" vertical="top" wrapText="1"/>
    </xf>
    <xf borderId="6" fillId="4" fontId="5" numFmtId="0" xfId="0" applyAlignment="1" applyBorder="1" applyFill="1" applyFont="1">
      <alignment horizontal="left" shrinkToFit="0" vertical="top" wrapText="0"/>
    </xf>
    <xf borderId="0" fillId="0" fontId="10" numFmtId="0" xfId="0" applyAlignment="1" applyFont="1">
      <alignment shrinkToFit="0" vertical="top" wrapText="1"/>
    </xf>
    <xf borderId="6" fillId="0" fontId="5" numFmtId="0" xfId="0" applyAlignment="1" applyBorder="1" applyFont="1">
      <alignment horizontal="left" shrinkToFit="0" vertical="center" wrapText="0"/>
    </xf>
    <xf borderId="6" fillId="9" fontId="5" numFmtId="0" xfId="0" applyAlignment="1" applyBorder="1" applyFill="1" applyFont="1">
      <alignment horizontal="left" shrinkToFit="0" vertical="center" wrapText="0"/>
    </xf>
    <xf borderId="0" fillId="0" fontId="15" numFmtId="0" xfId="0" applyAlignment="1" applyFont="1">
      <alignment horizontal="left" shrinkToFit="0" vertical="top" wrapText="1"/>
    </xf>
    <xf borderId="6" fillId="5" fontId="5" numFmtId="0" xfId="0" applyAlignment="1" applyBorder="1" applyFill="1" applyFont="1">
      <alignment shrinkToFit="0" vertical="top" wrapText="1"/>
    </xf>
    <xf borderId="6" fillId="6" fontId="5" numFmtId="0" xfId="0" applyAlignment="1" applyBorder="1" applyFill="1" applyFont="1">
      <alignment shrinkToFit="0" vertical="top" wrapText="1"/>
    </xf>
    <xf borderId="6" fillId="4" fontId="5" numFmtId="0" xfId="0" applyAlignment="1" applyBorder="1" applyFill="1" applyFont="1">
      <alignment shrinkToFit="0" vertical="top" wrapText="1"/>
    </xf>
    <xf borderId="6" fillId="7" fontId="36" numFmtId="0" xfId="0" applyAlignment="1" applyBorder="1" applyFill="1" applyFont="1">
      <alignment horizontal="left" shrinkToFit="0" vertical="center" wrapText="1"/>
    </xf>
    <xf borderId="6" fillId="7" fontId="36" numFmtId="0" xfId="0" applyAlignment="1" applyBorder="1" applyFill="1" applyFont="1">
      <alignment horizontal="center" shrinkToFit="0" vertical="center" wrapText="1"/>
    </xf>
    <xf borderId="6" fillId="2" fontId="36" numFmtId="0" xfId="0" applyAlignment="1" applyBorder="1" applyFill="1" applyFont="1">
      <alignment horizontal="center" shrinkToFit="0" vertical="center" wrapText="1"/>
    </xf>
    <xf borderId="6" fillId="0" fontId="11" numFmtId="0" xfId="0" applyAlignment="1" applyBorder="1" applyFont="1">
      <alignment horizontal="left" shrinkToFit="0" vertical="center" wrapText="1"/>
    </xf>
    <xf borderId="6" fillId="0" fontId="37" numFmtId="0" xfId="0" applyAlignment="1" applyBorder="1" applyFont="1">
      <alignment horizontal="center" shrinkToFit="0" vertical="center" wrapText="1"/>
    </xf>
    <xf borderId="6" fillId="3" fontId="37" numFmtId="0" xfId="0" applyAlignment="1" applyBorder="1" applyFill="1" applyFont="1">
      <alignment horizontal="center" shrinkToFit="0" vertical="center" wrapText="1"/>
    </xf>
    <xf borderId="1" fillId="2" fontId="8" numFmtId="0" xfId="0" applyAlignment="1" applyBorder="1" applyFill="1" applyFont="1">
      <alignment shrinkToFit="0" vertical="center" wrapText="0"/>
    </xf>
    <xf borderId="6" fillId="3" fontId="11" numFmtId="0" xfId="0" applyAlignment="1" applyBorder="1" applyFill="1" applyFont="1">
      <alignment shrinkToFit="0" vertical="bottom" wrapText="0"/>
    </xf>
    <xf borderId="6" fillId="0" fontId="5" numFmtId="0" xfId="0" applyAlignment="1" applyBorder="1" applyFont="1">
      <alignment horizontal="center" shrinkToFit="0" vertical="center" wrapText="1"/>
    </xf>
    <xf borderId="6" fillId="0" fontId="5" numFmtId="0" xfId="0" applyAlignment="1" applyBorder="1" applyFont="1">
      <alignment shrinkToFit="0" vertical="center" wrapText="1"/>
    </xf>
    <xf borderId="6" fillId="0" fontId="14" numFmtId="0" xfId="0" applyAlignment="1" applyBorder="1" applyFont="1">
      <alignment shrinkToFit="0" vertical="center" wrapText="1"/>
    </xf>
    <xf borderId="6" fillId="0" fontId="27" numFmtId="0" xfId="0" applyAlignment="1" applyBorder="1" applyFont="1">
      <alignment shrinkToFit="0" vertical="center" wrapText="1"/>
    </xf>
    <xf borderId="6" fillId="0" fontId="14" numFmtId="0" xfId="0" applyAlignment="1" applyBorder="1" applyFont="1">
      <alignment horizontal="center" shrinkToFit="0" vertical="center" wrapText="1"/>
    </xf>
    <xf borderId="6" fillId="0" fontId="11" numFmtId="0" xfId="0" applyAlignment="1" applyBorder="1" applyFont="1">
      <alignment horizontal="center" shrinkToFit="0" vertical="center" wrapText="1"/>
    </xf>
    <xf borderId="0" fillId="0" fontId="38" numFmtId="0" xfId="0" applyAlignment="1" applyFont="1">
      <alignment shrinkToFit="0" vertical="bottom" wrapText="0"/>
    </xf>
    <xf borderId="6" fillId="0" fontId="39" numFmtId="0" xfId="0" applyAlignment="1" applyBorder="1" applyFont="1">
      <alignment shrinkToFit="0" vertical="bottom" wrapText="0"/>
    </xf>
    <xf borderId="6" fillId="0" fontId="40" numFmtId="0" xfId="0" applyAlignment="1" applyBorder="1" applyFont="1">
      <alignment shrinkToFit="0" vertical="bottom" wrapText="0"/>
    </xf>
    <xf borderId="6" fillId="0" fontId="40" numFmtId="0" xfId="0" applyAlignment="1" applyBorder="1" applyFont="1">
      <alignment horizontal="center" shrinkToFit="0" vertical="bottom" wrapText="0"/>
    </xf>
    <xf borderId="6" fillId="0" fontId="39" numFmtId="0" xfId="0" applyAlignment="1" applyBorder="1" applyFont="1">
      <alignment horizontal="center" shrinkToFit="0" vertical="bottom" wrapText="0"/>
    </xf>
    <xf borderId="0" fillId="0" fontId="5" numFmtId="0" xfId="0" applyAlignment="1" applyFont="1">
      <alignment shrinkToFit="0" vertical="bottom" wrapText="0"/>
    </xf>
    <xf borderId="0" fillId="0" fontId="41" numFmtId="0" xfId="0" applyAlignment="1" applyFont="1">
      <alignment shrinkToFit="0" vertical="bottom" wrapText="0"/>
    </xf>
    <xf borderId="0" fillId="0" fontId="42" numFmtId="0" xfId="0" applyAlignment="1" applyFont="1">
      <alignment shrinkToFit="0" vertical="bottom" wrapText="0"/>
    </xf>
    <xf borderId="6" fillId="13" fontId="15" numFmtId="0" xfId="0" applyAlignment="1" applyBorder="1" applyFill="1" applyFont="1">
      <alignment horizontal="center" shrinkToFit="0" vertical="center" wrapText="1"/>
    </xf>
    <xf borderId="6" fillId="5" fontId="15" numFmtId="0" xfId="0" applyAlignment="1" applyBorder="1" applyFill="1" applyFont="1">
      <alignment horizontal="center" shrinkToFit="0" vertical="center" wrapText="1"/>
    </xf>
    <xf borderId="6" fillId="14" fontId="15" numFmtId="0" xfId="0" applyAlignment="1" applyBorder="1" applyFill="1" applyFont="1">
      <alignment horizontal="center" shrinkToFit="0" vertical="center" wrapText="1"/>
    </xf>
    <xf borderId="6" fillId="15" fontId="15" numFmtId="0" xfId="0" applyAlignment="1" applyBorder="1" applyFill="1" applyFont="1">
      <alignment horizontal="center" shrinkToFit="0" vertical="center" wrapText="1"/>
    </xf>
    <xf borderId="13" fillId="3" fontId="7" numFmtId="0" xfId="0" applyAlignment="1" applyBorder="1" applyFill="1" applyFont="1">
      <alignment horizontal="center" shrinkToFit="0" vertical="center" wrapText="1"/>
    </xf>
    <xf borderId="14" fillId="6" fontId="43" numFmtId="0" xfId="0" applyAlignment="1" applyBorder="1" applyFill="1" applyFont="1">
      <alignment horizontal="center" shrinkToFit="0" vertical="center" wrapText="1"/>
    </xf>
    <xf borderId="15" fillId="5" fontId="44" numFmtId="0" xfId="0" applyAlignment="1" applyBorder="1" applyFill="1" applyFont="1">
      <alignment horizontal="center" shrinkToFit="0" vertical="center" wrapText="1"/>
    </xf>
    <xf borderId="16" fillId="4" fontId="45" numFmtId="0" xfId="0" applyAlignment="1" applyBorder="1" applyFill="1" applyFont="1">
      <alignment horizontal="center" shrinkToFit="0" vertical="center" wrapText="1"/>
    </xf>
    <xf borderId="4" fillId="3" fontId="46" numFmtId="0" xfId="0" applyAlignment="1" applyBorder="1" applyFill="1" applyFont="1">
      <alignment horizontal="center" shrinkToFit="0" vertical="center" wrapText="1"/>
    </xf>
    <xf borderId="4" fillId="6" fontId="47" numFmtId="0" xfId="0" applyAlignment="1" applyBorder="1" applyFill="1" applyFont="1">
      <alignment horizontal="center" shrinkToFit="0" vertical="center" wrapText="1"/>
    </xf>
    <xf borderId="4" fillId="5" fontId="48" numFmtId="0" xfId="0" applyAlignment="1" applyBorder="1" applyFill="1" applyFont="1">
      <alignment horizontal="center" shrinkToFit="0" vertical="center" wrapText="1"/>
    </xf>
    <xf borderId="4" fillId="4" fontId="49" numFmtId="0" xfId="0" applyAlignment="1" applyBorder="1" applyFill="1" applyFont="1">
      <alignment horizontal="center" shrinkToFit="0" vertical="center" wrapText="1"/>
    </xf>
    <xf borderId="4" fillId="3" fontId="5" numFmtId="0" xfId="0" applyAlignment="1" applyBorder="1" applyFill="1" applyFont="1">
      <alignment horizontal="center" shrinkToFit="0" vertical="center" wrapText="1"/>
    </xf>
    <xf borderId="4" fillId="6" fontId="5" numFmtId="165" xfId="0" applyAlignment="1" applyBorder="1" applyFill="1" applyFont="1" applyNumberFormat="1">
      <alignment horizontal="center" shrinkToFit="0" vertical="center" wrapText="1"/>
    </xf>
    <xf borderId="4" fillId="5" fontId="5" numFmtId="165" xfId="0" applyAlignment="1" applyBorder="1" applyFill="1" applyFont="1" applyNumberFormat="1">
      <alignment horizontal="center" shrinkToFit="0" vertical="center" wrapText="1"/>
    </xf>
    <xf borderId="4" fillId="4" fontId="5" numFmtId="165" xfId="0" applyAlignment="1" applyBorder="1" applyFill="1" applyFont="1" applyNumberFormat="1">
      <alignment horizontal="center" shrinkToFit="0" vertical="center" wrapText="1"/>
    </xf>
    <xf borderId="6" fillId="0" fontId="11" numFmtId="0" xfId="0" applyAlignment="1" applyBorder="1" applyFont="1">
      <alignment shrinkToFit="0" vertical="bottom" wrapText="0"/>
    </xf>
    <xf borderId="6" fillId="2" fontId="9" numFmtId="0" xfId="0" applyAlignment="1" applyBorder="1" applyFill="1" applyFont="1">
      <alignment shrinkToFit="0" vertical="bottom" wrapText="0"/>
    </xf>
    <xf borderId="6" fillId="2" fontId="9" numFmtId="0" xfId="0" applyAlignment="1" applyBorder="1" applyFill="1" applyFont="1">
      <alignment horizontal="center" shrinkToFit="0" vertical="center" wrapText="1"/>
    </xf>
    <xf borderId="0" fillId="0" fontId="50" numFmtId="0" xfId="0" applyAlignment="1" applyFont="1">
      <alignment shrinkToFit="0" vertical="bottom" wrapText="0"/>
    </xf>
    <xf borderId="0" fillId="0" fontId="20" numFmtId="0" xfId="0" applyAlignment="1" applyFont="1">
      <alignment horizontal="center" shrinkToFit="0" vertical="center" wrapText="1"/>
    </xf>
    <xf borderId="6" fillId="9" fontId="14" numFmtId="0" xfId="0" applyAlignment="1" applyBorder="1" applyFill="1" applyFont="1">
      <alignment shrinkToFit="0" vertical="bottom" wrapText="0"/>
    </xf>
    <xf borderId="6" fillId="9" fontId="11" numFmtId="0" xfId="0" applyAlignment="1" applyBorder="1" applyFill="1" applyFont="1">
      <alignment horizontal="center" shrinkToFit="0" vertical="center" wrapText="1"/>
    </xf>
    <xf borderId="6" fillId="8" fontId="14" numFmtId="0" xfId="0" applyAlignment="1" applyBorder="1" applyFill="1" applyFont="1">
      <alignment shrinkToFit="0" vertical="bottom" wrapText="0"/>
    </xf>
    <xf borderId="6" fillId="8" fontId="11" numFmtId="0" xfId="0" applyAlignment="1" applyBorder="1" applyFill="1" applyFont="1">
      <alignment horizontal="center" shrinkToFit="0" vertical="center" wrapText="1"/>
    </xf>
    <xf borderId="17" fillId="3" fontId="14" numFmtId="0" xfId="0" applyAlignment="1" applyBorder="1" applyFill="1" applyFont="1">
      <alignment shrinkToFit="0" vertical="top" wrapText="1"/>
    </xf>
    <xf borderId="18" fillId="0" fontId="4" numFmtId="0" xfId="0" applyBorder="1" applyFont="1"/>
    <xf borderId="19" fillId="0" fontId="4" numFmtId="0" xfId="0" applyBorder="1" applyFont="1"/>
    <xf borderId="20" fillId="0" fontId="4" numFmtId="0" xfId="0" applyBorder="1" applyFont="1"/>
    <xf borderId="21" fillId="0" fontId="4" numFmtId="0" xfId="0" applyBorder="1" applyFont="1"/>
    <xf borderId="22" fillId="0" fontId="4" numFmtId="0" xfId="0" applyBorder="1" applyFont="1"/>
    <xf borderId="23" fillId="0" fontId="4" numFmtId="0" xfId="0" applyBorder="1" applyFont="1"/>
    <xf borderId="24" fillId="0" fontId="4" numFmtId="0" xfId="0" applyBorder="1" applyFont="1"/>
    <xf borderId="0" fillId="0" fontId="51" numFmtId="0" xfId="0" applyAlignment="1" applyFont="1">
      <alignment shrinkToFit="0" vertical="bottom" wrapText="0"/>
    </xf>
    <xf borderId="4" fillId="11" fontId="9" numFmtId="0" xfId="0" applyAlignment="1" applyBorder="1" applyFill="1" applyFont="1">
      <alignment horizontal="center" shrinkToFit="0" vertical="center" wrapText="1"/>
    </xf>
    <xf borderId="4" fillId="6" fontId="14" numFmtId="0" xfId="0" applyAlignment="1" applyBorder="1" applyFill="1" applyFont="1">
      <alignment shrinkToFit="0" vertical="center" wrapText="1"/>
    </xf>
    <xf borderId="4" fillId="10" fontId="9" numFmtId="0" xfId="0" applyAlignment="1" applyBorder="1" applyFill="1" applyFont="1">
      <alignment horizontal="center" shrinkToFit="0" vertical="center" wrapText="1"/>
    </xf>
    <xf borderId="4" fillId="5" fontId="14" numFmtId="0" xfId="0" applyAlignment="1" applyBorder="1" applyFill="1" applyFont="1">
      <alignment shrinkToFit="0" vertical="center" wrapText="1"/>
    </xf>
    <xf borderId="4" fillId="12" fontId="9" numFmtId="0" xfId="0" applyAlignment="1" applyBorder="1" applyFill="1" applyFont="1">
      <alignment horizontal="center" shrinkToFit="0" vertical="center" wrapText="1"/>
    </xf>
    <xf borderId="4" fillId="4" fontId="14" numFmtId="0" xfId="0" applyAlignment="1" applyBorder="1" applyFill="1" applyFont="1">
      <alignment shrinkToFit="0" vertical="center" wrapText="1"/>
    </xf>
    <xf borderId="25" fillId="0" fontId="52" numFmtId="0" xfId="0" applyAlignment="1" applyBorder="1" applyFont="1">
      <alignment shrinkToFit="0" vertical="top" wrapText="1"/>
    </xf>
    <xf borderId="25" fillId="0" fontId="14" numFmtId="0" xfId="0" applyAlignment="1" applyBorder="1" applyFont="1">
      <alignment shrinkToFit="0" vertical="top" wrapText="1"/>
    </xf>
    <xf borderId="6" fillId="0" fontId="11" numFmtId="0" xfId="0" applyAlignment="1" applyBorder="1" applyFont="1">
      <alignment horizontal="left" shrinkToFit="0" vertical="top" wrapText="1"/>
    </xf>
    <xf borderId="6" fillId="0" fontId="14" numFmtId="0" xfId="0" applyAlignment="1" applyBorder="1" applyFont="1">
      <alignment horizontal="left" shrinkToFit="0" vertical="top" wrapText="1"/>
    </xf>
    <xf borderId="7" fillId="6" fontId="27" numFmtId="0" xfId="0" applyAlignment="1" applyBorder="1" applyFill="1" applyFont="1">
      <alignment shrinkToFit="0" vertical="top" wrapText="1"/>
    </xf>
    <xf borderId="6" fillId="6" fontId="14" numFmtId="0" xfId="0" applyAlignment="1" applyBorder="1" applyFill="1" applyFont="1">
      <alignment horizontal="center" shrinkToFit="0" vertical="top" wrapText="0"/>
    </xf>
    <xf borderId="6" fillId="6" fontId="43" numFmtId="0" xfId="0" applyAlignment="1" applyBorder="1" applyFill="1" applyFont="1">
      <alignment shrinkToFit="0" vertical="top" wrapText="1"/>
    </xf>
    <xf borderId="26" fillId="16" fontId="27" numFmtId="0" xfId="0" applyAlignment="1" applyBorder="1" applyFill="1" applyFont="1">
      <alignment shrinkToFit="0" vertical="top" wrapText="1"/>
    </xf>
    <xf borderId="6" fillId="16" fontId="14" numFmtId="0" xfId="0" applyAlignment="1" applyBorder="1" applyFill="1" applyFont="1">
      <alignment shrinkToFit="0" vertical="top" wrapText="1"/>
    </xf>
    <xf borderId="6" fillId="16" fontId="14" numFmtId="0" xfId="0" applyAlignment="1" applyBorder="1" applyFill="1" applyFont="1">
      <alignment horizontal="center" shrinkToFit="0" vertical="top" wrapText="0"/>
    </xf>
    <xf borderId="6" fillId="16" fontId="53" numFmtId="0" xfId="0" applyAlignment="1" applyBorder="1" applyFill="1" applyFont="1">
      <alignment shrinkToFit="0" vertical="top" wrapText="1"/>
    </xf>
    <xf borderId="6" fillId="16" fontId="5" numFmtId="0" xfId="0" applyAlignment="1" applyBorder="1" applyFill="1" applyFont="1">
      <alignment horizontal="left" shrinkToFit="0" vertical="top" wrapText="1"/>
    </xf>
    <xf borderId="27" fillId="17" fontId="27" numFmtId="0" xfId="0" applyAlignment="1" applyBorder="1" applyFill="1" applyFont="1">
      <alignment shrinkToFit="0" vertical="top" wrapText="1"/>
    </xf>
    <xf borderId="6" fillId="17" fontId="14" numFmtId="0" xfId="0" applyAlignment="1" applyBorder="1" applyFill="1" applyFont="1">
      <alignment shrinkToFit="0" vertical="top" wrapText="1"/>
    </xf>
    <xf borderId="6" fillId="17" fontId="14" numFmtId="0" xfId="0" applyAlignment="1" applyBorder="1" applyFill="1" applyFont="1">
      <alignment horizontal="center" shrinkToFit="0" vertical="top" wrapText="0"/>
    </xf>
    <xf borderId="6" fillId="17" fontId="54" numFmtId="0" xfId="0" applyAlignment="1" applyBorder="1" applyFill="1" applyFont="1">
      <alignment shrinkToFit="0" vertical="top" wrapText="1"/>
    </xf>
    <xf borderId="6" fillId="17" fontId="5" numFmtId="0" xfId="0" applyAlignment="1" applyBorder="1" applyFill="1" applyFont="1">
      <alignment horizontal="left" shrinkToFit="0" vertical="top" wrapText="1"/>
    </xf>
    <xf borderId="28" fillId="18" fontId="27" numFmtId="0" xfId="0" applyAlignment="1" applyBorder="1" applyFill="1" applyFont="1">
      <alignment shrinkToFit="0" vertical="top" wrapText="1"/>
    </xf>
    <xf borderId="6" fillId="18" fontId="14" numFmtId="0" xfId="0" applyAlignment="1" applyBorder="1" applyFill="1" applyFont="1">
      <alignment shrinkToFit="0" vertical="top" wrapText="1"/>
    </xf>
    <xf borderId="6" fillId="18" fontId="14" numFmtId="0" xfId="0" applyAlignment="1" applyBorder="1" applyFill="1" applyFont="1">
      <alignment horizontal="center" shrinkToFit="0" vertical="top" wrapText="0"/>
    </xf>
    <xf borderId="6" fillId="18" fontId="42" numFmtId="0" xfId="0" applyAlignment="1" applyBorder="1" applyFill="1" applyFont="1">
      <alignment shrinkToFit="0" vertical="top" wrapText="1"/>
    </xf>
    <xf borderId="6" fillId="18" fontId="5" numFmtId="0" xfId="0" applyAlignment="1" applyBorder="1" applyFill="1" applyFont="1">
      <alignment horizontal="left" shrinkToFit="0" vertical="top" wrapText="1"/>
    </xf>
    <xf borderId="12" fillId="4" fontId="27" numFmtId="0" xfId="0" applyAlignment="1" applyBorder="1" applyFill="1" applyFont="1">
      <alignment shrinkToFit="0" vertical="top" wrapText="1"/>
    </xf>
    <xf borderId="6" fillId="4" fontId="14" numFmtId="0" xfId="0" applyAlignment="1" applyBorder="1" applyFill="1" applyFont="1">
      <alignment horizontal="center" shrinkToFit="0" vertical="top" wrapText="0"/>
    </xf>
    <xf borderId="6" fillId="4" fontId="45" numFmtId="0" xfId="0" applyAlignment="1" applyBorder="1" applyFill="1" applyFont="1">
      <alignment shrinkToFit="0" vertical="top" wrapText="1"/>
    </xf>
  </cellXfs>
  <cellStyles count="1">
    <cellStyle xfId="0" name="Normal" builtinId="0"/>
  </cellStyles>
  <dxfs count="14">
    <dxf>
      <font>
        <b/>
        <color rgb="FFB03A2E"/>
      </font>
      <fill>
        <patternFill patternType="solid">
          <fgColor rgb="FFFBE9E7"/>
          <bgColor rgb="FFFBE9E7"/>
        </patternFill>
      </fill>
      <border/>
    </dxf>
    <dxf>
      <font>
        <b/>
        <color rgb="FF2E7D4F"/>
      </font>
      <fill>
        <patternFill patternType="none"/>
      </fill>
      <border/>
    </dxf>
    <dxf>
      <font>
        <b/>
        <color rgb="FFFFFFFF"/>
      </font>
      <fill>
        <patternFill patternType="solid">
          <fgColor rgb="FFB03A2E"/>
          <bgColor rgb="FFB03A2E"/>
        </patternFill>
      </fill>
      <border/>
    </dxf>
    <dxf>
      <font/>
      <fill>
        <patternFill patternType="solid">
          <fgColor rgb="FFFBE9E7"/>
          <bgColor rgb="FFFBE9E7"/>
        </patternFill>
      </fill>
      <border/>
    </dxf>
    <dxf>
      <font>
        <b/>
        <color rgb="FFFFFFFF"/>
      </font>
      <fill>
        <patternFill patternType="solid">
          <fgColor rgb="FFC77C0E"/>
          <bgColor rgb="FFC77C0E"/>
        </patternFill>
      </fill>
      <border/>
    </dxf>
    <dxf>
      <font/>
      <fill>
        <patternFill patternType="solid">
          <fgColor rgb="FFFEF4E2"/>
          <bgColor rgb="FFFEF4E2"/>
        </patternFill>
      </fill>
      <border/>
    </dxf>
    <dxf>
      <font/>
      <fill>
        <patternFill patternType="solid">
          <fgColor rgb="FFE8F1F9"/>
          <bgColor rgb="FFE8F1F9"/>
        </patternFill>
      </fill>
      <border/>
    </dxf>
    <dxf>
      <font>
        <b/>
        <sz val="10.0"/>
        <color rgb="FFFFFFFF"/>
        <name val="Arial"/>
      </font>
      <fill>
        <patternFill patternType="solid">
          <fgColor rgb="FFB03A2E"/>
          <bgColor rgb="FFB03A2E"/>
        </patternFill>
      </fill>
      <border/>
    </dxf>
    <dxf>
      <font>
        <b/>
        <sz val="10.0"/>
        <color rgb="FFFFFFFF"/>
        <name val="Arial"/>
      </font>
      <fill>
        <patternFill patternType="solid">
          <fgColor rgb="FFC77C0E"/>
          <bgColor rgb="FFC77C0E"/>
        </patternFill>
      </fill>
      <border/>
    </dxf>
    <dxf>
      <font>
        <b/>
        <sz val="10.0"/>
        <color rgb="FFFFFFFF"/>
        <name val="Arial"/>
      </font>
      <fill>
        <patternFill patternType="solid">
          <fgColor rgb="FF2F6FA6"/>
          <bgColor rgb="FF2F6FA6"/>
        </patternFill>
      </fill>
      <border/>
    </dxf>
    <dxf>
      <font>
        <color rgb="FFB03A2E"/>
      </font>
      <fill>
        <patternFill patternType="solid">
          <fgColor rgb="FFF6D5D1"/>
          <bgColor rgb="FFF6D5D1"/>
        </patternFill>
      </fill>
      <border/>
    </dxf>
    <dxf>
      <font/>
      <fill>
        <patternFill patternType="solid">
          <fgColor rgb="FFC9DDF0"/>
          <bgColor rgb="FFC9DDF0"/>
        </patternFill>
      </fill>
      <border/>
    </dxf>
    <dxf>
      <font/>
      <fill>
        <patternFill patternType="solid">
          <fgColor rgb="FF8DB5DC"/>
          <bgColor rgb="FF8DB5DC"/>
        </patternFill>
      </fill>
      <border/>
    </dxf>
    <dxf>
      <font>
        <b/>
        <color rgb="FFFFFFFF"/>
      </font>
      <fill>
        <patternFill patternType="solid">
          <fgColor rgb="FF2F6FA6"/>
          <bgColor rgb="FF2F6FA6"/>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Exploitation status by domain</a:t>
            </a:r>
          </a:p>
        </c:rich>
      </c:tx>
      <c:overlay val="0"/>
    </c:title>
    <c:plotArea>
      <c:layout/>
      <c:barChart>
        <c:barDir val="bar"/>
        <c:grouping val="stacked"/>
        <c:ser>
          <c:idx val="0"/>
          <c:order val="0"/>
          <c:tx>
            <c:v>Real-World</c:v>
          </c:tx>
          <c:spPr>
            <a:solidFill>
              <a:srgbClr val="B03A2E"/>
            </a:solidFill>
            <a:ln cmpd="sng">
              <a:noFill/>
            </a:ln>
          </c:spPr>
          <c:invertIfNegative val="0"/>
          <c:cat>
            <c:strRef>
              <c:f>Summary!$B$11:$B$16</c:f>
            </c:strRef>
          </c:cat>
          <c:val>
            <c:numRef>
              <c:f>Summary!$C$11:$C$16</c:f>
              <c:numCache/>
            </c:numRef>
          </c:val>
        </c:ser>
        <c:ser>
          <c:idx val="1"/>
          <c:order val="1"/>
          <c:tx>
            <c:v>Simulated / PoC</c:v>
          </c:tx>
          <c:spPr>
            <a:solidFill>
              <a:srgbClr val="C77C0E"/>
            </a:solidFill>
            <a:ln cmpd="sng">
              <a:noFill/>
            </a:ln>
          </c:spPr>
          <c:invertIfNegative val="0"/>
          <c:cat>
            <c:strRef>
              <c:f>Summary!$B$11:$B$16</c:f>
            </c:strRef>
          </c:cat>
          <c:val>
            <c:numRef>
              <c:f>Summary!$D$11:$D$16</c:f>
              <c:numCache/>
            </c:numRef>
          </c:val>
        </c:ser>
        <c:ser>
          <c:idx val="2"/>
          <c:order val="2"/>
          <c:tx>
            <c:v>Theoretical</c:v>
          </c:tx>
          <c:spPr>
            <a:solidFill>
              <a:srgbClr val="2F6FA6"/>
            </a:solidFill>
            <a:ln cmpd="sng">
              <a:noFill/>
            </a:ln>
          </c:spPr>
          <c:invertIfNegative val="0"/>
          <c:cat>
            <c:strRef>
              <c:f>Summary!$B$11:$B$16</c:f>
            </c:strRef>
          </c:cat>
          <c:val>
            <c:numRef>
              <c:f>Summary!$E$11:$E$16</c:f>
              <c:numCache/>
            </c:numRef>
          </c:val>
        </c:ser>
        <c:overlap val="100"/>
        <c:axId val="840559012"/>
        <c:axId val="1876118640"/>
      </c:barChart>
      <c:catAx>
        <c:axId val="84055901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876118640"/>
      </c:catAx>
      <c:valAx>
        <c:axId val="1876118640"/>
        <c:scaling>
          <c:orientation val="minMax"/>
        </c:scaling>
        <c:delete val="0"/>
        <c:axPos val="b"/>
        <c:title>
          <c:tx>
            <c:rich>
              <a:bodyPr/>
              <a:lstStyle/>
              <a:p>
                <a:pPr lvl="0">
                  <a:defRPr b="1" i="0" sz="1000">
                    <a:solidFill>
                      <a:srgbClr val="000000"/>
                    </a:solidFill>
                    <a:latin typeface="Calibri"/>
                  </a:defRPr>
                </a:pPr>
                <a:r>
                  <a:rPr b="1" i="0" sz="1000">
                    <a:solidFill>
                      <a:srgbClr val="000000"/>
                    </a:solidFill>
                    <a:latin typeface="Calibri"/>
                  </a:rPr>
                  <a:t>Papers</a:t>
                </a:r>
              </a:p>
            </c:rich>
          </c:tx>
          <c:overlay val="0"/>
        </c:title>
        <c:numFmt formatCode="General" sourceLinked="0"/>
        <c:majorTickMark val="none"/>
        <c:minorTickMark val="none"/>
        <c:tickLblPos val="nextTo"/>
        <c:spPr>
          <a:ln>
            <a:noFill/>
          </a:ln>
        </c:spPr>
        <c:txPr>
          <a:bodyPr/>
          <a:lstStyle/>
          <a:p>
            <a:pPr lvl="0">
              <a:defRPr b="0" i="0" sz="1000">
                <a:solidFill>
                  <a:srgbClr val="000000"/>
                </a:solidFill>
                <a:latin typeface="Calibri"/>
              </a:defRPr>
            </a:pPr>
          </a:p>
        </c:txPr>
        <c:crossAx val="840559012"/>
        <c:crosses val="max"/>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drawings/_rels/drawing8.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5800725" cy="339090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portal.core.edu.au/conf-ranks/2313/" TargetMode="External"/><Relationship Id="rId42" Type="http://schemas.openxmlformats.org/officeDocument/2006/relationships/hyperlink" Target="https://www.scimagojr.com/journalsearch.php?q=145326&amp;tip=sid" TargetMode="External"/><Relationship Id="rId41" Type="http://schemas.openxmlformats.org/officeDocument/2006/relationships/hyperlink" Target="https://doi.org/10.1145/3734477.3734720" TargetMode="External"/><Relationship Id="rId44" Type="http://schemas.openxmlformats.org/officeDocument/2006/relationships/hyperlink" Target="https://link.springer.com/article/10.1007/s00521-026-11946-y" TargetMode="External"/><Relationship Id="rId43" Type="http://schemas.openxmlformats.org/officeDocument/2006/relationships/hyperlink" Target="https://doi.org/10.1007/s10207-025-01191-0" TargetMode="External"/><Relationship Id="rId46" Type="http://schemas.openxmlformats.org/officeDocument/2006/relationships/hyperlink" Target="https://doi.org/10.1109/COMST.2014.2365951" TargetMode="External"/><Relationship Id="rId45" Type="http://schemas.openxmlformats.org/officeDocument/2006/relationships/hyperlink" Target="https://www.scimagojr.com/journalsearch.php?q=17900156715&amp;tip=sid" TargetMode="External"/><Relationship Id="rId107" Type="http://schemas.openxmlformats.org/officeDocument/2006/relationships/hyperlink" Target="https://doi.org/10.33012/navi.657" TargetMode="External"/><Relationship Id="rId106" Type="http://schemas.openxmlformats.org/officeDocument/2006/relationships/hyperlink" Target="https://www.scimagojr.com/journalsearch.php?q=12174&amp;tip=sid" TargetMode="External"/><Relationship Id="rId105" Type="http://schemas.openxmlformats.org/officeDocument/2006/relationships/hyperlink" Target="https://doi.org/10.1145/3395351.3399350" TargetMode="External"/><Relationship Id="rId104" Type="http://schemas.openxmlformats.org/officeDocument/2006/relationships/hyperlink" Target="https://portal.core.edu.au/conf-ranks/2313/" TargetMode="External"/><Relationship Id="rId109" Type="http://schemas.openxmlformats.org/officeDocument/2006/relationships/hyperlink" Target="https://www.lenders.ch/publications/conferences/cycon25_2.pdf" TargetMode="External"/><Relationship Id="rId108" Type="http://schemas.openxmlformats.org/officeDocument/2006/relationships/hyperlink" Target="https://portal.core.edu.au/conf-ranks/" TargetMode="External"/><Relationship Id="rId48" Type="http://schemas.openxmlformats.org/officeDocument/2006/relationships/hyperlink" Target="https://www.sciencedirect.com/science/article/abs/pii/S1874548217300446" TargetMode="External"/><Relationship Id="rId47" Type="http://schemas.openxmlformats.org/officeDocument/2006/relationships/hyperlink" Target="https://www.scimagojr.com/journalsearch.php?q=17300154971&amp;tip=sid" TargetMode="External"/><Relationship Id="rId49" Type="http://schemas.openxmlformats.org/officeDocument/2006/relationships/hyperlink" Target="https://www.scimagojr.com/journalsearch.php?q=17915&amp;tip=sid" TargetMode="External"/><Relationship Id="rId103" Type="http://schemas.openxmlformats.org/officeDocument/2006/relationships/hyperlink" Target="https://doi.org/10.14722/spacesec.2024.23022" TargetMode="External"/><Relationship Id="rId102" Type="http://schemas.openxmlformats.org/officeDocument/2006/relationships/hyperlink" Target="https://portal.core.edu.au/conf-ranks/" TargetMode="External"/><Relationship Id="rId101" Type="http://schemas.openxmlformats.org/officeDocument/2006/relationships/hyperlink" Target="https://www.ndss-symposium.org/wp-content/uploads/2023/06/spacesec2023-231879-paper.pdf" TargetMode="External"/><Relationship Id="rId100" Type="http://schemas.openxmlformats.org/officeDocument/2006/relationships/hyperlink" Target="https://portal.core.edu.au/conf-ranks/" TargetMode="External"/><Relationship Id="rId31" Type="http://schemas.openxmlformats.org/officeDocument/2006/relationships/hyperlink" Target="https://ieeexplore.ieee.org/document/10351029" TargetMode="External"/><Relationship Id="rId30" Type="http://schemas.openxmlformats.org/officeDocument/2006/relationships/hyperlink" Target="https://portal.core.edu.au/conf-ranks/750/" TargetMode="External"/><Relationship Id="rId33" Type="http://schemas.openxmlformats.org/officeDocument/2006/relationships/hyperlink" Target="https://par.nsf.gov/biblio/10406778" TargetMode="External"/><Relationship Id="rId32" Type="http://schemas.openxmlformats.org/officeDocument/2006/relationships/hyperlink" Target="https://portal.core.edu.au/conf-ranks/" TargetMode="External"/><Relationship Id="rId35" Type="http://schemas.openxmlformats.org/officeDocument/2006/relationships/hyperlink" Target="https://doi.org/10.1145/1653662.1653666" TargetMode="External"/><Relationship Id="rId34" Type="http://schemas.openxmlformats.org/officeDocument/2006/relationships/hyperlink" Target="https://portal.core.edu.au/conf-ranks/12/" TargetMode="External"/><Relationship Id="rId37" Type="http://schemas.openxmlformats.org/officeDocument/2006/relationships/hyperlink" Target="https://ptolemy.berkeley.edu/projects/truststc/conferences/10/CPSWeek/papers/scs1_paper_7.pdf" TargetMode="External"/><Relationship Id="rId36" Type="http://schemas.openxmlformats.org/officeDocument/2006/relationships/hyperlink" Target="https://portal.core.edu.au/conf-ranks/" TargetMode="External"/><Relationship Id="rId39" Type="http://schemas.openxmlformats.org/officeDocument/2006/relationships/hyperlink" Target="https://doi.org/10.1109/TSG.2012.2227342" TargetMode="External"/><Relationship Id="rId38" Type="http://schemas.openxmlformats.org/officeDocument/2006/relationships/hyperlink" Target="https://www.scimagojr.com/journalsearch.php?q=19700170610&amp;tip=sid" TargetMode="External"/><Relationship Id="rId20" Type="http://schemas.openxmlformats.org/officeDocument/2006/relationships/hyperlink" Target="https://portal.core.edu.au/conf-ranks/750/" TargetMode="External"/><Relationship Id="rId22" Type="http://schemas.openxmlformats.org/officeDocument/2006/relationships/hyperlink" Target="https://portal.core.edu.au/conf-ranks/1841/" TargetMode="External"/><Relationship Id="rId21" Type="http://schemas.openxmlformats.org/officeDocument/2006/relationships/hyperlink" Target="https://doi.org/10.1109/SP.2018.00012" TargetMode="External"/><Relationship Id="rId24" Type="http://schemas.openxmlformats.org/officeDocument/2006/relationships/hyperlink" Target="https://portal.core.edu.au/conf-ranks/" TargetMode="External"/><Relationship Id="rId23" Type="http://schemas.openxmlformats.org/officeDocument/2006/relationships/hyperlink" Target="https://www.usenix.org/conference/usenixsecurity25/presentation/tibaldo" TargetMode="External"/><Relationship Id="rId129" Type="http://schemas.openxmlformats.org/officeDocument/2006/relationships/hyperlink" Target="https://aireon.com/wp-content/uploads/2026/04/White-Paper-GNSS-Spoofing-Detection-in-Aviation-1.0-1-1.pdf" TargetMode="External"/><Relationship Id="rId128" Type="http://schemas.openxmlformats.org/officeDocument/2006/relationships/hyperlink" Target="https://ops.group/blog/gps-spoofing-final-report/" TargetMode="External"/><Relationship Id="rId127" Type="http://schemas.openxmlformats.org/officeDocument/2006/relationships/hyperlink" Target="https://www.faasafety.gov/SPANS/noticeView.aspx?nid=13415" TargetMode="External"/><Relationship Id="rId126" Type="http://schemas.openxmlformats.org/officeDocument/2006/relationships/hyperlink" Target="https://www.easa.europa.eu/en/newsroom-and-events/news/easa-updates-safety-information-bulletin-gnss-interference" TargetMode="External"/><Relationship Id="rId26" Type="http://schemas.openxmlformats.org/officeDocument/2006/relationships/hyperlink" Target="https://portal.core.edu.au/conf-ranks/1838/" TargetMode="External"/><Relationship Id="rId121" Type="http://schemas.openxmlformats.org/officeDocument/2006/relationships/hyperlink" Target="https://infocondb.org/con/black-hat/black-hat-usa-2022/glitched-on-earth-by-humans-a-black-box-security-evaluation-of-the-spacex-starlink-user-terminal" TargetMode="External"/><Relationship Id="rId25" Type="http://schemas.openxmlformats.org/officeDocument/2006/relationships/hyperlink" Target="https://par.nsf.gov/biblio/10564790" TargetMode="External"/><Relationship Id="rId120" Type="http://schemas.openxmlformats.org/officeDocument/2006/relationships/hyperlink" Target="https://i.blackhat.com/USA-20/Wednesday/us-20-Pavur-Whispers-Among-The-Stars-Perpetrating-And-Preventing-Satellite-Eavesdropping-Attacks.pdf" TargetMode="External"/><Relationship Id="rId28" Type="http://schemas.openxmlformats.org/officeDocument/2006/relationships/hyperlink" Target="https://portal.core.edu.au/conf-ranks/12/" TargetMode="External"/><Relationship Id="rId27" Type="http://schemas.openxmlformats.org/officeDocument/2006/relationships/hyperlink" Target="https://www.usenix.org/conference/atc21/presentation/giuliari" TargetMode="External"/><Relationship Id="rId125" Type="http://schemas.openxmlformats.org/officeDocument/2006/relationships/hyperlink" Target="https://www.cisa.gov/uscert/ncas/alerts/aa22-076a" TargetMode="External"/><Relationship Id="rId29" Type="http://schemas.openxmlformats.org/officeDocument/2006/relationships/hyperlink" Target="https://doi.org/10.1145/3576915.3623135" TargetMode="External"/><Relationship Id="rId124" Type="http://schemas.openxmlformats.org/officeDocument/2006/relationships/hyperlink" Target="https://afresearchlab.com/news/hack-a-sats-moonlighter-satellite-deploys-to-low-earth-orbit-after-last-months-successful-launch/" TargetMode="External"/><Relationship Id="rId123" Type="http://schemas.openxmlformats.org/officeDocument/2006/relationships/hyperlink" Target="https://media.ccc.de/v/7586d408-8e63-5734-889c-acf80bec8760" TargetMode="External"/><Relationship Id="rId122" Type="http://schemas.openxmlformats.org/officeDocument/2006/relationships/hyperlink" Target="https://i.blackhat.com/BH-USA-25/Presentations/USA-25-OlchawaStarcik-Burning-Trashing-Spacecraft-Crashing.pdf" TargetMode="External"/><Relationship Id="rId95" Type="http://schemas.openxmlformats.org/officeDocument/2006/relationships/hyperlink" Target="https://www.ndss-symposium.org/wp-content/uploads/2017/09/attacking-network-time-protocol.pdf" TargetMode="External"/><Relationship Id="rId94" Type="http://schemas.openxmlformats.org/officeDocument/2006/relationships/hyperlink" Target="https://portal.core.edu.au/conf-ranks/" TargetMode="External"/><Relationship Id="rId97" Type="http://schemas.openxmlformats.org/officeDocument/2006/relationships/hyperlink" Target="https://doi.org/10.1109/TDSC.2017.2748583" TargetMode="External"/><Relationship Id="rId96" Type="http://schemas.openxmlformats.org/officeDocument/2006/relationships/hyperlink" Target="https://www.scimagojr.com/journalsearch.php?q=28918&amp;tip=sid" TargetMode="External"/><Relationship Id="rId11" Type="http://schemas.openxmlformats.org/officeDocument/2006/relationships/hyperlink" Target="https://doi.org/10.1145/2973750.2973763" TargetMode="External"/><Relationship Id="rId99" Type="http://schemas.openxmlformats.org/officeDocument/2006/relationships/hyperlink" Target="https://doi.org/10.1145/3558482.3590190" TargetMode="External"/><Relationship Id="rId10" Type="http://schemas.openxmlformats.org/officeDocument/2006/relationships/hyperlink" Target="https://portal.core.edu.au/conf-ranks/27/" TargetMode="External"/><Relationship Id="rId98" Type="http://schemas.openxmlformats.org/officeDocument/2006/relationships/hyperlink" Target="https://portal.core.edu.au/conf-ranks/2313/" TargetMode="External"/><Relationship Id="rId13" Type="http://schemas.openxmlformats.org/officeDocument/2006/relationships/hyperlink" Target="https://doi.org/10.1109/SP.2015.20" TargetMode="External"/><Relationship Id="rId12" Type="http://schemas.openxmlformats.org/officeDocument/2006/relationships/hyperlink" Target="https://portal.core.edu.au/conf-ranks/750/" TargetMode="External"/><Relationship Id="rId91" Type="http://schemas.openxmlformats.org/officeDocument/2006/relationships/hyperlink" Target="https://doi.org/10.1007/s12198-021-00238-2" TargetMode="External"/><Relationship Id="rId90" Type="http://schemas.openxmlformats.org/officeDocument/2006/relationships/hyperlink" Target="https://www.scimagojr.com/journalsearch.php?q=17400154833&amp;tip=sid" TargetMode="External"/><Relationship Id="rId93" Type="http://schemas.openxmlformats.org/officeDocument/2006/relationships/hyperlink" Target="https://www.cs.ox.ac.uk/publications/publication7160-abstract.html" TargetMode="External"/><Relationship Id="rId92" Type="http://schemas.openxmlformats.org/officeDocument/2006/relationships/hyperlink" Target="https://portal.core.edu.au/conf-ranks/12/" TargetMode="External"/><Relationship Id="rId118" Type="http://schemas.openxmlformats.org/officeDocument/2006/relationships/hyperlink" Target="https://www.blackhat.com/docs/us-14/materials/us-14-Santamarta-SATCOM-Terminals-Hacking-By-Air-Sea-And-Land-WP.pdf" TargetMode="External"/><Relationship Id="rId117" Type="http://schemas.openxmlformats.org/officeDocument/2006/relationships/hyperlink" Target="https://archive.conference.hitb.org/hitbsecconf2013ams/index.html_p=2991.html" TargetMode="External"/><Relationship Id="rId116" Type="http://schemas.openxmlformats.org/officeDocument/2006/relationships/hyperlink" Target="https://www.eurecom.fr/publication/3788" TargetMode="External"/><Relationship Id="rId115" Type="http://schemas.openxmlformats.org/officeDocument/2006/relationships/hyperlink" Target="https://arxiv.org/abs/2512.21367" TargetMode="External"/><Relationship Id="rId119" Type="http://schemas.openxmlformats.org/officeDocument/2006/relationships/hyperlink" Target="https://i.blackhat.com/us-18/Thu-August-9/us-18-Santamarta-Last-Call-For-Satcom-Security.pdf" TargetMode="External"/><Relationship Id="rId15" Type="http://schemas.openxmlformats.org/officeDocument/2006/relationships/hyperlink" Target="https://doi.org/10.1007/978-3-319-20550-2_4" TargetMode="External"/><Relationship Id="rId110" Type="http://schemas.openxmlformats.org/officeDocument/2006/relationships/hyperlink" Target="https://portal.core.edu.au/conf-ranks/" TargetMode="External"/><Relationship Id="rId14" Type="http://schemas.openxmlformats.org/officeDocument/2006/relationships/hyperlink" Target="https://portal.core.edu.au/conf-ranks/565/" TargetMode="External"/><Relationship Id="rId17" Type="http://schemas.openxmlformats.org/officeDocument/2006/relationships/hyperlink" Target="https://doi.org/10.1109/DASC.2015.7311412" TargetMode="External"/><Relationship Id="rId16" Type="http://schemas.openxmlformats.org/officeDocument/2006/relationships/hyperlink" Target="https://portal.core.edu.au/conf-ranks/" TargetMode="External"/><Relationship Id="rId19" Type="http://schemas.openxmlformats.org/officeDocument/2006/relationships/hyperlink" Target="https://doi.org/10.1145/2939918.2939920" TargetMode="External"/><Relationship Id="rId114" Type="http://schemas.openxmlformats.org/officeDocument/2006/relationships/hyperlink" Target="https://portal.core.edu.au/conf-ranks/" TargetMode="External"/><Relationship Id="rId18" Type="http://schemas.openxmlformats.org/officeDocument/2006/relationships/hyperlink" Target="https://portal.core.edu.au/conf-ranks/2313/" TargetMode="External"/><Relationship Id="rId113" Type="http://schemas.openxmlformats.org/officeDocument/2006/relationships/hyperlink" Target="https://arxiv.org/abs/2501.09246" TargetMode="External"/><Relationship Id="rId112" Type="http://schemas.openxmlformats.org/officeDocument/2006/relationships/hyperlink" Target="https://portal.core.edu.au/conf-ranks/" TargetMode="External"/><Relationship Id="rId111" Type="http://schemas.openxmlformats.org/officeDocument/2006/relationships/hyperlink" Target="https://web.stanford.edu/group/scpnt/gpslab/pubs/papers/Lo_ION_ITM_2026_Observations_of_Spoofing.pdf" TargetMode="External"/><Relationship Id="rId84" Type="http://schemas.openxmlformats.org/officeDocument/2006/relationships/hyperlink" Target="https://www.scimagojr.com/journalsearch.php?q=21100853739&amp;tip=sid" TargetMode="External"/><Relationship Id="rId83" Type="http://schemas.openxmlformats.org/officeDocument/2006/relationships/hyperlink" Target="https://doi.org/10.3390/jcp5030076" TargetMode="External"/><Relationship Id="rId86" Type="http://schemas.openxmlformats.org/officeDocument/2006/relationships/hyperlink" Target="https://portal.core.edu.au/conf-ranks/1841/" TargetMode="External"/><Relationship Id="rId85" Type="http://schemas.openxmlformats.org/officeDocument/2006/relationships/hyperlink" Target="https://doi.org/10.3390/aerospace13030249" TargetMode="External"/><Relationship Id="rId88" Type="http://schemas.openxmlformats.org/officeDocument/2006/relationships/hyperlink" Target="https://portal.core.edu.au/conf-ranks/" TargetMode="External"/><Relationship Id="rId87" Type="http://schemas.openxmlformats.org/officeDocument/2006/relationships/hyperlink" Target="https://www.usenix.org/conference/usenixsecurity19/presentation/sathaye" TargetMode="External"/><Relationship Id="rId89" Type="http://schemas.openxmlformats.org/officeDocument/2006/relationships/hyperlink" Target="https://ndss-symposium.org/ndss-paper/a-view-from-the-cockpit-exploring-pilot-reactions-to-attacks-on-avionic-systems" TargetMode="External"/><Relationship Id="rId80" Type="http://schemas.openxmlformats.org/officeDocument/2006/relationships/hyperlink" Target="https://ieeexplore.ieee.org/abstract/document/5340224" TargetMode="External"/><Relationship Id="rId82" Type="http://schemas.openxmlformats.org/officeDocument/2006/relationships/hyperlink" Target="https://link.springer.com/article/10.1007/s10207-025-01184-z" TargetMode="External"/><Relationship Id="rId81" Type="http://schemas.openxmlformats.org/officeDocument/2006/relationships/hyperlink" Target="https://www.scimagojr.com/journalsearch.php?q=145326&amp;tip=sid" TargetMode="External"/><Relationship Id="rId1" Type="http://schemas.openxmlformats.org/officeDocument/2006/relationships/comments" Target="../comments1.xml"/><Relationship Id="rId2" Type="http://schemas.openxmlformats.org/officeDocument/2006/relationships/hyperlink" Target="https://portal.core.edu.au/conf-ranks/1442/" TargetMode="External"/><Relationship Id="rId3" Type="http://schemas.openxmlformats.org/officeDocument/2006/relationships/hyperlink" Target="https://doi.org/10.1515/popets-2018-0023" TargetMode="External"/><Relationship Id="rId4" Type="http://schemas.openxmlformats.org/officeDocument/2006/relationships/hyperlink" Target="https://portal.core.edu.au/conf-ranks/750/" TargetMode="External"/><Relationship Id="rId9" Type="http://schemas.openxmlformats.org/officeDocument/2006/relationships/hyperlink" Target="https://www.ion.org/publications/abstract.cfm?articleID=8132" TargetMode="External"/><Relationship Id="rId5" Type="http://schemas.openxmlformats.org/officeDocument/2006/relationships/hyperlink" Target="https://doi.org/10.1109/SP40000.2020.00056" TargetMode="External"/><Relationship Id="rId6" Type="http://schemas.openxmlformats.org/officeDocument/2006/relationships/hyperlink" Target="https://portal.core.edu.au/conf-ranks/907/" TargetMode="External"/><Relationship Id="rId7" Type="http://schemas.openxmlformats.org/officeDocument/2006/relationships/hyperlink" Target="https://doi.org/10.1007/978-3-642-38980-1_16" TargetMode="External"/><Relationship Id="rId8" Type="http://schemas.openxmlformats.org/officeDocument/2006/relationships/hyperlink" Target="https://portal.core.edu.au/conf-ranks/" TargetMode="External"/><Relationship Id="rId73" Type="http://schemas.openxmlformats.org/officeDocument/2006/relationships/hyperlink" Target="https://portal.core.edu.au/conf-ranks/750/" TargetMode="External"/><Relationship Id="rId72" Type="http://schemas.openxmlformats.org/officeDocument/2006/relationships/hyperlink" Target="https://www.semanticscholar.org/paper/On-the-Security-of-LEO-Satellite-Communication-and-Yue-Pan/3e41fbff6c9e3a088be64bff31328c0076e254fb" TargetMode="External"/><Relationship Id="rId75" Type="http://schemas.openxmlformats.org/officeDocument/2006/relationships/hyperlink" Target="https://portal.core.edu.au/conf-ranks/" TargetMode="External"/><Relationship Id="rId74" Type="http://schemas.openxmlformats.org/officeDocument/2006/relationships/hyperlink" Target="https://ieeexplore.ieee.org/document/11023466" TargetMode="External"/><Relationship Id="rId77" Type="http://schemas.openxmlformats.org/officeDocument/2006/relationships/hyperlink" Target="https://www.scimagojr.com/journalsearch.php?q=17339&amp;tip=sid" TargetMode="External"/><Relationship Id="rId76" Type="http://schemas.openxmlformats.org/officeDocument/2006/relationships/hyperlink" Target="https://conferences.ds.unipi.gr/cybericps2024/assets/papers/3.pdf" TargetMode="External"/><Relationship Id="rId79" Type="http://schemas.openxmlformats.org/officeDocument/2006/relationships/hyperlink" Target="https://portal.core.edu.au/conf-ranks/" TargetMode="External"/><Relationship Id="rId78" Type="http://schemas.openxmlformats.org/officeDocument/2006/relationships/hyperlink" Target="https://doi.org/10.1109/TAC.2014.2303233" TargetMode="External"/><Relationship Id="rId71" Type="http://schemas.openxmlformats.org/officeDocument/2006/relationships/hyperlink" Target="https://www.scimagojr.com/journalsearch.php?q=19600161832&amp;tip=sid" TargetMode="External"/><Relationship Id="rId70" Type="http://schemas.openxmlformats.org/officeDocument/2006/relationships/hyperlink" Target="https://doi.org/10.2514/1.I010693" TargetMode="External"/><Relationship Id="rId137" Type="http://schemas.openxmlformats.org/officeDocument/2006/relationships/vmlDrawing" Target="../drawings/vmlDrawing1.vml"/><Relationship Id="rId132" Type="http://schemas.openxmlformats.org/officeDocument/2006/relationships/hyperlink" Target="https://news.err.ee/1609328058/finnair-suspends-flights-to-tartu-for-1-month-to-seek-gps-jamming-solution" TargetMode="External"/><Relationship Id="rId131" Type="http://schemas.openxmlformats.org/officeDocument/2006/relationships/hyperlink" Target="https://www.viasat.com/perspectives/corporate/2022/ka-sat-network-cyber-attack-overview/" TargetMode="External"/><Relationship Id="rId130" Type="http://schemas.openxmlformats.org/officeDocument/2006/relationships/hyperlink" Target="https://c4ads.org/reports/above-us-only-stars/" TargetMode="External"/><Relationship Id="rId136" Type="http://schemas.openxmlformats.org/officeDocument/2006/relationships/drawing" Target="../drawings/drawing2.xml"/><Relationship Id="rId135" Type="http://schemas.openxmlformats.org/officeDocument/2006/relationships/hyperlink" Target="https://www.caa.co.uk/newsroom/news/aviation-regulator-publishes-independent-review-into-august-2023-nats-flight-planning-system-failure/" TargetMode="External"/><Relationship Id="rId134" Type="http://schemas.openxmlformats.org/officeDocument/2006/relationships/hyperlink" Target="https://www.euspa.europa.eu/newsroom-events/news/galileo-performance-assessment" TargetMode="External"/><Relationship Id="rId133" Type="http://schemas.openxmlformats.org/officeDocument/2006/relationships/hyperlink" Target="https://rntfnd.org/?p=4536" TargetMode="External"/><Relationship Id="rId62" Type="http://schemas.openxmlformats.org/officeDocument/2006/relationships/hyperlink" Target="https://doi.org/10.3390/s18051636" TargetMode="External"/><Relationship Id="rId61" Type="http://schemas.openxmlformats.org/officeDocument/2006/relationships/hyperlink" Target="https://www.scimagojr.com/journalsearch.php?q=130124&amp;tip=sid" TargetMode="External"/><Relationship Id="rId64" Type="http://schemas.openxmlformats.org/officeDocument/2006/relationships/hyperlink" Target="https://ieeexplore.ieee.org/document/9825724" TargetMode="External"/><Relationship Id="rId63" Type="http://schemas.openxmlformats.org/officeDocument/2006/relationships/hyperlink" Target="https://www.scimagojr.com/journalsearch.php?q=7200153156&amp;tip=sid" TargetMode="External"/><Relationship Id="rId66" Type="http://schemas.openxmlformats.org/officeDocument/2006/relationships/hyperlink" Target="https://doi.org/10.1016/j.ijcip.2022.100549" TargetMode="External"/><Relationship Id="rId65" Type="http://schemas.openxmlformats.org/officeDocument/2006/relationships/hyperlink" Target="https://www.scimagojr.com/journalsearch.php?q=17300154971&amp;tip=sid" TargetMode="External"/><Relationship Id="rId68" Type="http://schemas.openxmlformats.org/officeDocument/2006/relationships/hyperlink" Target="https://doi.org/10.1007/s10207-020-00503-w" TargetMode="External"/><Relationship Id="rId67" Type="http://schemas.openxmlformats.org/officeDocument/2006/relationships/hyperlink" Target="https://www.scimagojr.com/journalsearch.php?q=145326&amp;tip=sid" TargetMode="External"/><Relationship Id="rId60" Type="http://schemas.openxmlformats.org/officeDocument/2006/relationships/hyperlink" Target="https://doi.org/10.1109/JPROC.2011.2162209" TargetMode="External"/><Relationship Id="rId69" Type="http://schemas.openxmlformats.org/officeDocument/2006/relationships/hyperlink" Target="https://www.scimagojr.com/journalsearch.php?q=21100239834&amp;tip=sid" TargetMode="External"/><Relationship Id="rId51" Type="http://schemas.openxmlformats.org/officeDocument/2006/relationships/hyperlink" Target="https://www.scimagojr.com/journalsearch.php?q=17249&amp;tip=sid" TargetMode="External"/><Relationship Id="rId50" Type="http://schemas.openxmlformats.org/officeDocument/2006/relationships/hyperlink" Target="https://doi.org/10.1109/JPROC.2016.2526658" TargetMode="External"/><Relationship Id="rId53" Type="http://schemas.openxmlformats.org/officeDocument/2006/relationships/hyperlink" Target="https://www.scimagojr.com/journalsearch.php?q=28918&amp;tip=sid" TargetMode="External"/><Relationship Id="rId52" Type="http://schemas.openxmlformats.org/officeDocument/2006/relationships/hyperlink" Target="https://doi.org/10.1109/MCOM.001.1900037" TargetMode="External"/><Relationship Id="rId55" Type="http://schemas.openxmlformats.org/officeDocument/2006/relationships/hyperlink" Target="https://www.scimagojr.com/journalsearch.php?q=21100853739&amp;tip=sid" TargetMode="External"/><Relationship Id="rId54" Type="http://schemas.openxmlformats.org/officeDocument/2006/relationships/hyperlink" Target="https://ieeexplore.ieee.org/document/8798875" TargetMode="External"/><Relationship Id="rId57" Type="http://schemas.openxmlformats.org/officeDocument/2006/relationships/hyperlink" Target="https://www.oaepublish.com/jsss/about_the_journal" TargetMode="External"/><Relationship Id="rId56" Type="http://schemas.openxmlformats.org/officeDocument/2006/relationships/hyperlink" Target="https://doi.org/10.3390/aerospace4040051" TargetMode="External"/><Relationship Id="rId59" Type="http://schemas.openxmlformats.org/officeDocument/2006/relationships/hyperlink" Target="https://www.scimagojr.com/journalsearch.php?q=17915&amp;tip=sid" TargetMode="External"/><Relationship Id="rId58" Type="http://schemas.openxmlformats.org/officeDocument/2006/relationships/hyperlink" Target="https://doi.org/10.20517/jsss.2021.17"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www.cve.org/CVERecord?id=CVE-2024-35058" TargetMode="External"/><Relationship Id="rId42" Type="http://schemas.openxmlformats.org/officeDocument/2006/relationships/hyperlink" Target="https://www.cve.org/CVERecord?id=CVE-2024-35060" TargetMode="External"/><Relationship Id="rId41" Type="http://schemas.openxmlformats.org/officeDocument/2006/relationships/hyperlink" Target="https://www.cve.org/CVERecord?id=CVE-2024-35059" TargetMode="External"/><Relationship Id="rId44" Type="http://schemas.openxmlformats.org/officeDocument/2006/relationships/hyperlink" Target="https://www.cve.org/CVERecord?id=CVE-2024-44910" TargetMode="External"/><Relationship Id="rId43" Type="http://schemas.openxmlformats.org/officeDocument/2006/relationships/hyperlink" Target="https://www.cve.org/CVERecord?id=CVE-2024-35061" TargetMode="External"/><Relationship Id="rId46" Type="http://schemas.openxmlformats.org/officeDocument/2006/relationships/hyperlink" Target="https://www.cve.org/CVERecord?id=CVE-2024-44912" TargetMode="External"/><Relationship Id="rId45" Type="http://schemas.openxmlformats.org/officeDocument/2006/relationships/hyperlink" Target="https://www.cve.org/CVERecord?id=CVE-2024-44911" TargetMode="External"/><Relationship Id="rId48" Type="http://schemas.openxmlformats.org/officeDocument/2006/relationships/hyperlink" Target="https://www.cve.org/CVERecord?id=CVE-2025-29910" TargetMode="External"/><Relationship Id="rId47" Type="http://schemas.openxmlformats.org/officeDocument/2006/relationships/hyperlink" Target="https://www.cve.org/CVERecord?id=CVE-2025-29909" TargetMode="External"/><Relationship Id="rId49" Type="http://schemas.openxmlformats.org/officeDocument/2006/relationships/hyperlink" Target="https://www.cve.org/CVERecord?id=CVE-2025-29911" TargetMode="External"/><Relationship Id="rId31" Type="http://schemas.openxmlformats.org/officeDocument/2006/relationships/hyperlink" Target="https://www.cve.org/CVERecord?id=CVE-2025-25371" TargetMode="External"/><Relationship Id="rId30" Type="http://schemas.openxmlformats.org/officeDocument/2006/relationships/hyperlink" Target="https://www.cve.org/CVERecord?id=CVE-2023-45885" TargetMode="External"/><Relationship Id="rId33" Type="http://schemas.openxmlformats.org/officeDocument/2006/relationships/hyperlink" Target="https://www.cve.org/CVERecord?id=CVE-2025-25373" TargetMode="External"/><Relationship Id="rId32" Type="http://schemas.openxmlformats.org/officeDocument/2006/relationships/hyperlink" Target="https://www.cve.org/CVERecord?id=CVE-2025-25372" TargetMode="External"/><Relationship Id="rId35" Type="http://schemas.openxmlformats.org/officeDocument/2006/relationships/hyperlink" Target="https://www.cve.org/CVERecord?id=CVE-2024-55028" TargetMode="External"/><Relationship Id="rId34" Type="http://schemas.openxmlformats.org/officeDocument/2006/relationships/hyperlink" Target="https://www.cve.org/CVERecord?id=CVE-2025-25374" TargetMode="External"/><Relationship Id="rId37" Type="http://schemas.openxmlformats.org/officeDocument/2006/relationships/hyperlink" Target="https://www.cve.org/CVERecord?id=CVE-2024-55030" TargetMode="External"/><Relationship Id="rId36" Type="http://schemas.openxmlformats.org/officeDocument/2006/relationships/hyperlink" Target="https://www.cve.org/CVERecord?id=CVE-2024-55029" TargetMode="External"/><Relationship Id="rId39" Type="http://schemas.openxmlformats.org/officeDocument/2006/relationships/hyperlink" Target="https://www.cve.org/CVERecord?id=CVE-2024-35057" TargetMode="External"/><Relationship Id="rId38" Type="http://schemas.openxmlformats.org/officeDocument/2006/relationships/hyperlink" Target="https://www.cve.org/CVERecord?id=CVE-2024-35056" TargetMode="External"/><Relationship Id="rId20" Type="http://schemas.openxmlformats.org/officeDocument/2006/relationships/hyperlink" Target="https://www.cve.org/CVERecord?id=CVE-2023-45277" TargetMode="External"/><Relationship Id="rId22" Type="http://schemas.openxmlformats.org/officeDocument/2006/relationships/hyperlink" Target="https://www.cve.org/CVERecord?id=CVE-2023-45279" TargetMode="External"/><Relationship Id="rId21" Type="http://schemas.openxmlformats.org/officeDocument/2006/relationships/hyperlink" Target="https://www.cve.org/CVERecord?id=CVE-2023-45278" TargetMode="External"/><Relationship Id="rId24" Type="http://schemas.openxmlformats.org/officeDocument/2006/relationships/hyperlink" Target="https://www.cve.org/CVERecord?id=CVE-2023-45281" TargetMode="External"/><Relationship Id="rId23" Type="http://schemas.openxmlformats.org/officeDocument/2006/relationships/hyperlink" Target="https://www.cve.org/CVERecord?id=CVE-2023-45280" TargetMode="External"/><Relationship Id="rId26" Type="http://schemas.openxmlformats.org/officeDocument/2006/relationships/hyperlink" Target="https://www.cve.org/CVERecord?id=CVE-2023-46471" TargetMode="External"/><Relationship Id="rId25" Type="http://schemas.openxmlformats.org/officeDocument/2006/relationships/hyperlink" Target="https://www.cve.org/CVERecord?id=CVE-2023-46470" TargetMode="External"/><Relationship Id="rId28" Type="http://schemas.openxmlformats.org/officeDocument/2006/relationships/hyperlink" Target="https://www.cve.org/CVERecord?id=CVE-2023-45282" TargetMode="External"/><Relationship Id="rId27" Type="http://schemas.openxmlformats.org/officeDocument/2006/relationships/hyperlink" Target="https://www.cve.org/CVERecord?id=CVE-2023-47311" TargetMode="External"/><Relationship Id="rId29" Type="http://schemas.openxmlformats.org/officeDocument/2006/relationships/hyperlink" Target="https://www.cve.org/CVERecord?id=CVE-2023-45884" TargetMode="External"/><Relationship Id="rId11" Type="http://schemas.openxmlformats.org/officeDocument/2006/relationships/hyperlink" Target="https://www.cve.org/CVERecord?id=CVE-2014-2942" TargetMode="External"/><Relationship Id="rId10" Type="http://schemas.openxmlformats.org/officeDocument/2006/relationships/hyperlink" Target="https://www.cve.org/CVERecord?id=CVE-2014-2941" TargetMode="External"/><Relationship Id="rId13" Type="http://schemas.openxmlformats.org/officeDocument/2006/relationships/hyperlink" Target="https://www.cve.org/CVERecord?id=CVE-2025-28380" TargetMode="External"/><Relationship Id="rId12" Type="http://schemas.openxmlformats.org/officeDocument/2006/relationships/hyperlink" Target="https://www.cve.org/CVERecord?id=CVE-2014-2964" TargetMode="External"/><Relationship Id="rId15" Type="http://schemas.openxmlformats.org/officeDocument/2006/relationships/hyperlink" Target="https://www.cve.org/CVERecord?id=CVE-2025-28382" TargetMode="External"/><Relationship Id="rId14" Type="http://schemas.openxmlformats.org/officeDocument/2006/relationships/hyperlink" Target="https://www.cve.org/CVERecord?id=CVE-2025-28381" TargetMode="External"/><Relationship Id="rId17" Type="http://schemas.openxmlformats.org/officeDocument/2006/relationships/hyperlink" Target="https://www.cve.org/CVERecord?id=CVE-2025-28386" TargetMode="External"/><Relationship Id="rId16" Type="http://schemas.openxmlformats.org/officeDocument/2006/relationships/hyperlink" Target="https://www.cve.org/CVERecord?id=CVE-2025-28384" TargetMode="External"/><Relationship Id="rId19" Type="http://schemas.openxmlformats.org/officeDocument/2006/relationships/hyperlink" Target="https://www.cve.org/CVERecord?id=CVE-2025-28389" TargetMode="External"/><Relationship Id="rId18" Type="http://schemas.openxmlformats.org/officeDocument/2006/relationships/hyperlink" Target="https://www.cve.org/CVERecord?id=CVE-2025-28388" TargetMode="External"/><Relationship Id="rId1" Type="http://schemas.openxmlformats.org/officeDocument/2006/relationships/hyperlink" Target="https://www.cve.org/CVERecord?id=CVE-2015-7704" TargetMode="External"/><Relationship Id="rId2" Type="http://schemas.openxmlformats.org/officeDocument/2006/relationships/hyperlink" Target="https://www.cve.org/CVERecord?id=CVE-2015-7705" TargetMode="External"/><Relationship Id="rId3" Type="http://schemas.openxmlformats.org/officeDocument/2006/relationships/hyperlink" Target="https://www.cve.org/CVERecord?id=CVE-2015-5300" TargetMode="External"/><Relationship Id="rId4" Type="http://schemas.openxmlformats.org/officeDocument/2006/relationships/hyperlink" Target="https://www.cve.org/CVERecord?id=CVE-2015-8138" TargetMode="External"/><Relationship Id="rId9" Type="http://schemas.openxmlformats.org/officeDocument/2006/relationships/hyperlink" Target="https://www.cve.org/CVERecord?id=CVE-2026-3893" TargetMode="External"/><Relationship Id="rId5" Type="http://schemas.openxmlformats.org/officeDocument/2006/relationships/hyperlink" Target="https://www.cve.org/CVERecord?id=CVE-2016-1547" TargetMode="External"/><Relationship Id="rId6" Type="http://schemas.openxmlformats.org/officeDocument/2006/relationships/hyperlink" Target="https://www.cve.org/CVERecord?id=CVE-2021-3570" TargetMode="External"/><Relationship Id="rId7" Type="http://schemas.openxmlformats.org/officeDocument/2006/relationships/hyperlink" Target="https://www.cve.org/CVERecord?id=CVE-2021-3571" TargetMode="External"/><Relationship Id="rId8" Type="http://schemas.openxmlformats.org/officeDocument/2006/relationships/hyperlink" Target="https://www.cve.org/CVERecord?id=CVE-2022-40022" TargetMode="External"/><Relationship Id="rId51" Type="http://schemas.openxmlformats.org/officeDocument/2006/relationships/hyperlink" Target="https://www.cve.org/CVERecord?id=CVE-2025-29913" TargetMode="External"/><Relationship Id="rId50" Type="http://schemas.openxmlformats.org/officeDocument/2006/relationships/hyperlink" Target="https://www.cve.org/CVERecord?id=CVE-2025-29912" TargetMode="External"/><Relationship Id="rId53" Type="http://schemas.openxmlformats.org/officeDocument/2006/relationships/hyperlink" Target="https://www.cve.org/CVERecord?id=CVE-2025-30356" TargetMode="External"/><Relationship Id="rId52" Type="http://schemas.openxmlformats.org/officeDocument/2006/relationships/hyperlink" Target="https://www.cve.org/CVERecord?id=CVE-2025-30216" TargetMode="External"/><Relationship Id="rId55" Type="http://schemas.openxmlformats.org/officeDocument/2006/relationships/hyperlink" Target="https://www.cve.org/CVERecord?id=CVE-2025-46673" TargetMode="External"/><Relationship Id="rId54" Type="http://schemas.openxmlformats.org/officeDocument/2006/relationships/hyperlink" Target="https://www.cve.org/CVERecord?id=CVE-2025-46672" TargetMode="External"/><Relationship Id="rId57" Type="http://schemas.openxmlformats.org/officeDocument/2006/relationships/hyperlink" Target="https://www.cve.org/CVERecord?id=CVE-2025-46675" TargetMode="External"/><Relationship Id="rId56" Type="http://schemas.openxmlformats.org/officeDocument/2006/relationships/hyperlink" Target="https://www.cve.org/CVERecord?id=CVE-2025-46674" TargetMode="External"/><Relationship Id="rId58"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hyperlink" Target="https://doi.org/10.1109/TAC.2014.2303233" TargetMode="External"/><Relationship Id="rId22" Type="http://schemas.openxmlformats.org/officeDocument/2006/relationships/hyperlink" Target="https://ieeexplore.ieee.org/document/9825724" TargetMode="External"/><Relationship Id="rId21" Type="http://schemas.openxmlformats.org/officeDocument/2006/relationships/hyperlink" Target="https://ieeexplore.ieee.org/document/8798875" TargetMode="External"/><Relationship Id="rId24" Type="http://schemas.openxmlformats.org/officeDocument/2006/relationships/hyperlink" Target="https://ieeexplore.ieee.org/document/10351029" TargetMode="External"/><Relationship Id="rId23" Type="http://schemas.openxmlformats.org/officeDocument/2006/relationships/hyperlink" Target="https://nvlpubs.nist.gov/nistpubs/ir/2023/NIST.IR.8323r1.pdf" TargetMode="External"/><Relationship Id="rId26" Type="http://schemas.openxmlformats.org/officeDocument/2006/relationships/drawing" Target="../drawings/drawing5.xml"/><Relationship Id="rId25" Type="http://schemas.openxmlformats.org/officeDocument/2006/relationships/hyperlink" Target="https://sparta.aerospace.org/countermeasures/SPARTA" TargetMode="External"/><Relationship Id="rId11" Type="http://schemas.openxmlformats.org/officeDocument/2006/relationships/hyperlink" Target="https://nvlpubs.nist.gov/nistpubs/ir/2023/NIST.IR.8323r1.pdf" TargetMode="External"/><Relationship Id="rId10" Type="http://schemas.openxmlformats.org/officeDocument/2006/relationships/hyperlink" Target="https://csrc.nist.gov/news/2023/nist-releases-nist-ir-8401" TargetMode="External"/><Relationship Id="rId13" Type="http://schemas.openxmlformats.org/officeDocument/2006/relationships/hyperlink" Target="https://www.cisa.gov/uscert/ncas/alerts/aa22-076a" TargetMode="External"/><Relationship Id="rId12" Type="http://schemas.openxmlformats.org/officeDocument/2006/relationships/hyperlink" Target="https://www.dhs.gov/sites/default/files/publications/2020_12_resilient_pnt_conformance_framework.pdf" TargetMode="External"/><Relationship Id="rId15" Type="http://schemas.openxmlformats.org/officeDocument/2006/relationships/hyperlink" Target="https://doi.org/10.1109/SP.2015.20" TargetMode="External"/><Relationship Id="rId14" Type="http://schemas.openxmlformats.org/officeDocument/2006/relationships/hyperlink" Target="https://www.easa.europa.eu/en/newsroom-and-events/news/easa-updates-safety-information-bulletin-gnss-interference" TargetMode="External"/><Relationship Id="rId17" Type="http://schemas.openxmlformats.org/officeDocument/2006/relationships/hyperlink" Target="https://doi.org/10.1145/3576915.3623135" TargetMode="External"/><Relationship Id="rId16" Type="http://schemas.openxmlformats.org/officeDocument/2006/relationships/hyperlink" Target="https://doi.org/10.1145/2939918.2939920" TargetMode="External"/><Relationship Id="rId19" Type="http://schemas.openxmlformats.org/officeDocument/2006/relationships/hyperlink" Target="https://doi.org/10.1145/3395351.3399350" TargetMode="External"/><Relationship Id="rId18" Type="http://schemas.openxmlformats.org/officeDocument/2006/relationships/hyperlink" Target="https://doi.org/10.1109/SP.2018.00012" TargetMode="External"/><Relationship Id="rId1" Type="http://schemas.openxmlformats.org/officeDocument/2006/relationships/hyperlink" Target="https://www.euspa.europa.eu/newsroom-events/news/testing-operations-galileo-osnma-service-now-available-users" TargetMode="External"/><Relationship Id="rId2" Type="http://schemas.openxmlformats.org/officeDocument/2006/relationships/hyperlink" Target="https://www.rfc-editor.org/rfc/rfc8915.html" TargetMode="External"/><Relationship Id="rId3" Type="http://schemas.openxmlformats.org/officeDocument/2006/relationships/hyperlink" Target="https://standards.ieee.org/ieee/1588/6825/" TargetMode="External"/><Relationship Id="rId4" Type="http://schemas.openxmlformats.org/officeDocument/2006/relationships/hyperlink" Target="https://ccsds.org/Pubs/355x0b2.pdf" TargetMode="External"/><Relationship Id="rId9" Type="http://schemas.openxmlformats.org/officeDocument/2006/relationships/hyperlink" Target="https://csrc.nist.gov/pubs/ir/8270/final" TargetMode="External"/><Relationship Id="rId5" Type="http://schemas.openxmlformats.org/officeDocument/2006/relationships/hyperlink" Target="https://ccsds.org/Pubs/355x1b1.pdf" TargetMode="External"/><Relationship Id="rId6" Type="http://schemas.openxmlformats.org/officeDocument/2006/relationships/hyperlink" Target="https://www.eurocae.net/product/ed-202b-airworthiness-security-process-specification/" TargetMode="External"/><Relationship Id="rId7" Type="http://schemas.openxmlformats.org/officeDocument/2006/relationships/hyperlink" Target="https://www.eurocae.net/product/ed-205a-process-standard-for-security-certification-and-declaration-of-atm-ans-ground-systems" TargetMode="External"/><Relationship Id="rId8" Type="http://schemas.openxmlformats.org/officeDocument/2006/relationships/hyperlink" Target="https://eur-lex.europa.eu/eli/reg_impl/2023/203"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0"/>
    <col customWidth="1" min="2" max="2" width="44.0"/>
    <col customWidth="1" min="3" max="8" width="14.0"/>
    <col customWidth="1" min="9" max="26" width="8.71"/>
  </cols>
  <sheetData>
    <row r="1">
      <c r="A1" s="1"/>
      <c r="B1" s="1"/>
      <c r="C1" s="1"/>
      <c r="D1" s="1"/>
      <c r="E1" s="1"/>
      <c r="F1" s="1"/>
      <c r="G1" s="1"/>
      <c r="H1" s="1"/>
      <c r="I1" s="1"/>
      <c r="J1" s="1"/>
    </row>
    <row r="2" ht="21.75" customHeight="1">
      <c r="A2" s="1"/>
      <c r="B2" s="2" t="s">
        <v>3</v>
      </c>
      <c r="C2" s="1"/>
      <c r="D2" s="1"/>
      <c r="E2" s="1"/>
      <c r="F2" s="1"/>
      <c r="G2" s="1"/>
      <c r="H2" s="1"/>
      <c r="I2" s="1"/>
      <c r="J2" s="1"/>
    </row>
    <row r="3" ht="25.5" customHeight="1">
      <c r="A3" s="1"/>
      <c r="B3" s="6" t="s">
        <v>4</v>
      </c>
      <c r="I3" s="1"/>
      <c r="J3" s="1"/>
    </row>
    <row r="4">
      <c r="A4" s="1"/>
      <c r="B4" s="1"/>
      <c r="C4" s="1"/>
      <c r="D4" s="1"/>
      <c r="E4" s="1"/>
      <c r="F4" s="1"/>
      <c r="G4" s="1"/>
      <c r="H4" s="1"/>
      <c r="I4" s="1"/>
      <c r="J4" s="1"/>
    </row>
    <row r="5" ht="21.75" customHeight="1">
      <c r="A5" s="1"/>
      <c r="B5" s="9" t="s">
        <v>6</v>
      </c>
      <c r="C5" s="10" t="s">
        <v>8</v>
      </c>
      <c r="D5" s="12" t="s">
        <v>9</v>
      </c>
      <c r="E5" s="13" t="s">
        <v>12</v>
      </c>
      <c r="F5" s="9" t="s">
        <v>14</v>
      </c>
      <c r="G5" s="13" t="s">
        <v>15</v>
      </c>
      <c r="H5" s="1"/>
      <c r="I5" s="1"/>
      <c r="J5" s="1"/>
    </row>
    <row r="6" ht="36.0" customHeight="1">
      <c r="A6" s="1"/>
      <c r="B6" s="20">
        <f>COUNTA('Threat Atlas'!$A$6:$A$300)</f>
        <v>78</v>
      </c>
      <c r="C6" s="26">
        <f>COUNTIF('Threat Atlas'!$R$6:$R$300,"Yes")</f>
        <v>55</v>
      </c>
      <c r="D6" s="30">
        <f>COUNTIF('Threat Atlas'!$R$6:$R$300,"No")</f>
        <v>23</v>
      </c>
      <c r="E6" s="32">
        <f>COUNTA('CVE Register'!$B$6:$B$300)</f>
        <v>57</v>
      </c>
      <c r="F6" s="20">
        <f>COUNTA(Mitigations!$A$6:$A$300)</f>
        <v>25</v>
      </c>
      <c r="G6" s="32">
        <f>COUNTIF('Threat Atlas'!$O$6:$O$300,"E3")</f>
        <v>19</v>
      </c>
      <c r="H6" s="1"/>
      <c r="I6" s="1"/>
      <c r="J6" s="1"/>
    </row>
    <row r="7">
      <c r="A7" s="1"/>
      <c r="B7" s="1"/>
      <c r="C7" s="1"/>
      <c r="D7" s="1"/>
      <c r="E7" s="1"/>
      <c r="F7" s="1"/>
      <c r="G7" s="1"/>
      <c r="H7" s="1"/>
      <c r="I7" s="1"/>
      <c r="J7" s="1"/>
    </row>
    <row r="8" ht="15.0" customHeight="1">
      <c r="A8" s="1"/>
      <c r="B8" s="36" t="s">
        <v>79</v>
      </c>
      <c r="C8" s="1"/>
      <c r="D8" s="1"/>
      <c r="E8" s="1"/>
      <c r="F8" s="1"/>
      <c r="G8" s="1"/>
      <c r="H8" s="1"/>
      <c r="I8" s="1"/>
      <c r="J8" s="1"/>
    </row>
    <row r="9" ht="30.0" customHeight="1">
      <c r="A9" s="1"/>
      <c r="B9" s="38" t="s">
        <v>81</v>
      </c>
      <c r="C9" s="39" t="s">
        <v>8</v>
      </c>
      <c r="D9" s="39" t="s">
        <v>9</v>
      </c>
      <c r="E9" s="39" t="s">
        <v>85</v>
      </c>
      <c r="F9" s="39" t="s">
        <v>87</v>
      </c>
      <c r="G9" s="39" t="s">
        <v>88</v>
      </c>
      <c r="H9" s="39" t="s">
        <v>91</v>
      </c>
      <c r="I9" s="1"/>
      <c r="J9" s="1"/>
    </row>
    <row r="10" ht="15.0" customHeight="1">
      <c r="A10" s="1"/>
      <c r="B10" s="40" t="s">
        <v>97</v>
      </c>
      <c r="C10" s="41">
        <f>COUNTIFS('Threat Atlas'!$J$6:$J$300,$B10,'Threat Atlas'!$R$6:$R$300,"Yes")</f>
        <v>5</v>
      </c>
      <c r="D10" s="41">
        <f>COUNTIFS('Threat Atlas'!$J$6:$J$300,$B10,'Threat Atlas'!$R$6:$R$300,"No")</f>
        <v>14</v>
      </c>
      <c r="E10" s="44">
        <f t="shared" ref="E10:E12" si="1">C10+D10</f>
        <v>19</v>
      </c>
      <c r="F10" s="47">
        <f t="shared" ref="F10:F12" si="2">IF($E$13=0,0,E10/$E$13)</f>
        <v>0.2435897436</v>
      </c>
      <c r="G10" s="41">
        <f>COUNTIFS('Threat Atlas'!$J$6:$J$300,$B10,'Threat Atlas'!$AK$6:$AK$300,"Original review set")</f>
        <v>2</v>
      </c>
      <c r="H10" s="41">
        <f>COUNTIFS('Threat Atlas'!$J$6:$J$300,$B10,'Threat Atlas'!$AK$6:$AK$300,"Added 13 Oct 2026")</f>
        <v>17</v>
      </c>
      <c r="I10" s="1"/>
      <c r="J10" s="1"/>
    </row>
    <row r="11" ht="15.0" customHeight="1">
      <c r="A11" s="1"/>
      <c r="B11" s="54" t="s">
        <v>173</v>
      </c>
      <c r="C11" s="60">
        <f>COUNTIFS('Threat Atlas'!$J$6:$J$300,$B11,'Threat Atlas'!$R$6:$R$300,"Yes")</f>
        <v>28</v>
      </c>
      <c r="D11" s="60">
        <f>COUNTIFS('Threat Atlas'!$J$6:$J$300,$B11,'Threat Atlas'!$R$6:$R$300,"No")</f>
        <v>7</v>
      </c>
      <c r="E11" s="63">
        <f t="shared" si="1"/>
        <v>35</v>
      </c>
      <c r="F11" s="64">
        <f t="shared" si="2"/>
        <v>0.4487179487</v>
      </c>
      <c r="G11" s="60">
        <f>COUNTIFS('Threat Atlas'!$J$6:$J$300,$B11,'Threat Atlas'!$AK$6:$AK$300,"Original review set")</f>
        <v>20</v>
      </c>
      <c r="H11" s="60">
        <f>COUNTIFS('Threat Atlas'!$J$6:$J$300,$B11,'Threat Atlas'!$AK$6:$AK$300,"Added 13 Oct 2026")</f>
        <v>15</v>
      </c>
      <c r="I11" s="1"/>
      <c r="J11" s="1"/>
    </row>
    <row r="12" ht="15.0" customHeight="1">
      <c r="A12" s="1"/>
      <c r="B12" s="67" t="s">
        <v>203</v>
      </c>
      <c r="C12" s="41">
        <f>COUNTIFS('Threat Atlas'!$J$6:$J$300,$B12,'Threat Atlas'!$R$6:$R$300,"Yes")</f>
        <v>22</v>
      </c>
      <c r="D12" s="41">
        <f>COUNTIFS('Threat Atlas'!$J$6:$J$300,$B12,'Threat Atlas'!$R$6:$R$300,"No")</f>
        <v>2</v>
      </c>
      <c r="E12" s="44">
        <f t="shared" si="1"/>
        <v>24</v>
      </c>
      <c r="F12" s="47">
        <f t="shared" si="2"/>
        <v>0.3076923077</v>
      </c>
      <c r="G12" s="41">
        <f>COUNTIFS('Threat Atlas'!$J$6:$J$300,$B12,'Threat Atlas'!$AK$6:$AK$300,"Original review set")</f>
        <v>21</v>
      </c>
      <c r="H12" s="41">
        <f>COUNTIFS('Threat Atlas'!$J$6:$J$300,$B12,'Threat Atlas'!$AK$6:$AK$300,"Added 13 Oct 2026")</f>
        <v>3</v>
      </c>
      <c r="I12" s="1"/>
      <c r="J12" s="1"/>
    </row>
    <row r="13" ht="15.0" customHeight="1">
      <c r="A13" s="1"/>
      <c r="B13" s="72" t="s">
        <v>85</v>
      </c>
      <c r="C13" s="44">
        <f t="shared" ref="C13:H13" si="3">SUM(C10:C12)</f>
        <v>55</v>
      </c>
      <c r="D13" s="44">
        <f t="shared" si="3"/>
        <v>23</v>
      </c>
      <c r="E13" s="44">
        <f t="shared" si="3"/>
        <v>78</v>
      </c>
      <c r="F13" s="73">
        <f t="shared" si="3"/>
        <v>1</v>
      </c>
      <c r="G13" s="44">
        <f t="shared" si="3"/>
        <v>43</v>
      </c>
      <c r="H13" s="44">
        <f t="shared" si="3"/>
        <v>35</v>
      </c>
      <c r="I13" s="1"/>
      <c r="J13" s="1"/>
    </row>
    <row r="14">
      <c r="A14" s="1"/>
      <c r="B14" s="1"/>
      <c r="C14" s="1"/>
      <c r="D14" s="1"/>
      <c r="E14" s="1"/>
      <c r="F14" s="1"/>
      <c r="G14" s="1"/>
      <c r="H14" s="1"/>
      <c r="I14" s="1"/>
      <c r="J14" s="1"/>
    </row>
    <row r="15" ht="15.0" customHeight="1">
      <c r="A15" s="1"/>
      <c r="B15" s="36" t="s">
        <v>230</v>
      </c>
      <c r="C15" s="1"/>
      <c r="D15" s="1"/>
      <c r="E15" s="1"/>
      <c r="F15" s="1"/>
      <c r="G15" s="1"/>
      <c r="H15" s="1"/>
      <c r="I15" s="1"/>
      <c r="J15" s="1"/>
    </row>
    <row r="16" ht="30.0" customHeight="1">
      <c r="A16" s="1"/>
      <c r="B16" s="38" t="s">
        <v>231</v>
      </c>
      <c r="C16" s="39" t="s">
        <v>232</v>
      </c>
      <c r="D16" s="39" t="s">
        <v>15</v>
      </c>
      <c r="E16" s="39" t="s">
        <v>233</v>
      </c>
      <c r="F16" s="39" t="s">
        <v>234</v>
      </c>
      <c r="G16" s="39" t="s">
        <v>87</v>
      </c>
      <c r="H16" s="1"/>
      <c r="I16" s="1"/>
      <c r="J16" s="1"/>
    </row>
    <row r="17" ht="15.0" customHeight="1">
      <c r="A17" s="1"/>
      <c r="B17" s="74" t="s">
        <v>236</v>
      </c>
      <c r="C17" s="44">
        <f>COUNTIF('Threat Atlas'!$Q$6:$Q$300,$B17)</f>
        <v>24</v>
      </c>
      <c r="D17" s="41">
        <f>COUNTIFS('Threat Atlas'!$Q$6:$Q$300,$B17,'Threat Atlas'!$O$6:$O$300,"E3")</f>
        <v>1</v>
      </c>
      <c r="E17" s="41">
        <f>COUNTIFS('Threat Atlas'!$Q$6:$Q$300,$B17,'Threat Atlas'!$O$6:$O$300,"E2")+COUNTIFS('Threat Atlas'!$Q$6:$Q$300,$B17,'Threat Atlas'!$O$6:$O$300,"E1")</f>
        <v>4</v>
      </c>
      <c r="F17" s="41">
        <f>COUNTIFS('Threat Atlas'!$Q$6:$Q$300,$B17,'Threat Atlas'!$O$6:$O$300,"E0")</f>
        <v>19</v>
      </c>
      <c r="G17" s="47">
        <f t="shared" ref="G17:G24" si="4">IF($C$25=0,0,C17/$C$25)</f>
        <v>0.3076923077</v>
      </c>
      <c r="H17" s="1"/>
      <c r="I17" s="1"/>
      <c r="J17" s="1"/>
    </row>
    <row r="18" ht="15.0" customHeight="1">
      <c r="A18" s="1"/>
      <c r="B18" s="79" t="s">
        <v>185</v>
      </c>
      <c r="C18" s="63">
        <f>COUNTIF('Threat Atlas'!$Q$6:$Q$300,$B18)</f>
        <v>26</v>
      </c>
      <c r="D18" s="60">
        <f>COUNTIFS('Threat Atlas'!$Q$6:$Q$300,$B18,'Threat Atlas'!$O$6:$O$300,"E3")</f>
        <v>3</v>
      </c>
      <c r="E18" s="60">
        <f>COUNTIFS('Threat Atlas'!$Q$6:$Q$300,$B18,'Threat Atlas'!$O$6:$O$300,"E2")+COUNTIFS('Threat Atlas'!$Q$6:$Q$300,$B18,'Threat Atlas'!$O$6:$O$300,"E1")</f>
        <v>21</v>
      </c>
      <c r="F18" s="60">
        <f>COUNTIFS('Threat Atlas'!$Q$6:$Q$300,$B18,'Threat Atlas'!$O$6:$O$300,"E0")</f>
        <v>2</v>
      </c>
      <c r="G18" s="64">
        <f t="shared" si="4"/>
        <v>0.3333333333</v>
      </c>
      <c r="H18" s="1"/>
      <c r="I18" s="1"/>
      <c r="J18" s="1"/>
    </row>
    <row r="19" ht="15.0" customHeight="1">
      <c r="A19" s="1"/>
      <c r="B19" s="74" t="s">
        <v>277</v>
      </c>
      <c r="C19" s="44">
        <f>COUNTIF('Threat Atlas'!$Q$6:$Q$300,$B19)</f>
        <v>5</v>
      </c>
      <c r="D19" s="41">
        <f>COUNTIFS('Threat Atlas'!$Q$6:$Q$300,$B19,'Threat Atlas'!$O$6:$O$300,"E3")</f>
        <v>1</v>
      </c>
      <c r="E19" s="41">
        <f>COUNTIFS('Threat Atlas'!$Q$6:$Q$300,$B19,'Threat Atlas'!$O$6:$O$300,"E2")+COUNTIFS('Threat Atlas'!$Q$6:$Q$300,$B19,'Threat Atlas'!$O$6:$O$300,"E1")</f>
        <v>3</v>
      </c>
      <c r="F19" s="41">
        <f>COUNTIFS('Threat Atlas'!$Q$6:$Q$300,$B19,'Threat Atlas'!$O$6:$O$300,"E0")</f>
        <v>1</v>
      </c>
      <c r="G19" s="47">
        <f t="shared" si="4"/>
        <v>0.0641025641</v>
      </c>
      <c r="H19" s="1"/>
      <c r="I19" s="1"/>
      <c r="J19" s="1"/>
    </row>
    <row r="20" ht="15.0" customHeight="1">
      <c r="A20" s="1"/>
      <c r="B20" s="79" t="s">
        <v>310</v>
      </c>
      <c r="C20" s="63">
        <f>COUNTIF('Threat Atlas'!$Q$6:$Q$300,$B20)</f>
        <v>3</v>
      </c>
      <c r="D20" s="60">
        <f>COUNTIFS('Threat Atlas'!$Q$6:$Q$300,$B20,'Threat Atlas'!$O$6:$O$300,"E3")</f>
        <v>1</v>
      </c>
      <c r="E20" s="60">
        <f>COUNTIFS('Threat Atlas'!$Q$6:$Q$300,$B20,'Threat Atlas'!$O$6:$O$300,"E2")+COUNTIFS('Threat Atlas'!$Q$6:$Q$300,$B20,'Threat Atlas'!$O$6:$O$300,"E1")</f>
        <v>1</v>
      </c>
      <c r="F20" s="60">
        <f>COUNTIFS('Threat Atlas'!$Q$6:$Q$300,$B20,'Threat Atlas'!$O$6:$O$300,"E0")</f>
        <v>1</v>
      </c>
      <c r="G20" s="64">
        <f t="shared" si="4"/>
        <v>0.03846153846</v>
      </c>
      <c r="H20" s="1"/>
      <c r="I20" s="1"/>
      <c r="J20" s="1"/>
    </row>
    <row r="21" ht="15.0" customHeight="1">
      <c r="A21" s="1"/>
      <c r="B21" s="74" t="s">
        <v>326</v>
      </c>
      <c r="C21" s="44">
        <f>COUNTIF('Threat Atlas'!$Q$6:$Q$300,$B21)</f>
        <v>9</v>
      </c>
      <c r="D21" s="41">
        <f>COUNTIFS('Threat Atlas'!$Q$6:$Q$300,$B21,'Threat Atlas'!$O$6:$O$300,"E3")</f>
        <v>3</v>
      </c>
      <c r="E21" s="41">
        <f>COUNTIFS('Threat Atlas'!$Q$6:$Q$300,$B21,'Threat Atlas'!$O$6:$O$300,"E2")+COUNTIFS('Threat Atlas'!$Q$6:$Q$300,$B21,'Threat Atlas'!$O$6:$O$300,"E1")</f>
        <v>6</v>
      </c>
      <c r="F21" s="41">
        <f>COUNTIFS('Threat Atlas'!$Q$6:$Q$300,$B21,'Threat Atlas'!$O$6:$O$300,"E0")</f>
        <v>0</v>
      </c>
      <c r="G21" s="47">
        <f t="shared" si="4"/>
        <v>0.1153846154</v>
      </c>
      <c r="H21" s="1"/>
      <c r="I21" s="1"/>
      <c r="J21" s="1"/>
    </row>
    <row r="22" ht="15.0" customHeight="1">
      <c r="A22" s="1"/>
      <c r="B22" s="79" t="s">
        <v>362</v>
      </c>
      <c r="C22" s="63">
        <f>COUNTIF('Threat Atlas'!$Q$6:$Q$300,$B22)</f>
        <v>3</v>
      </c>
      <c r="D22" s="60">
        <f>COUNTIFS('Threat Atlas'!$Q$6:$Q$300,$B22,'Threat Atlas'!$O$6:$O$300,"E3")</f>
        <v>2</v>
      </c>
      <c r="E22" s="60">
        <f>COUNTIFS('Threat Atlas'!$Q$6:$Q$300,$B22,'Threat Atlas'!$O$6:$O$300,"E2")+COUNTIFS('Threat Atlas'!$Q$6:$Q$300,$B22,'Threat Atlas'!$O$6:$O$300,"E1")</f>
        <v>0</v>
      </c>
      <c r="F22" s="60">
        <f>COUNTIFS('Threat Atlas'!$Q$6:$Q$300,$B22,'Threat Atlas'!$O$6:$O$300,"E0")</f>
        <v>1</v>
      </c>
      <c r="G22" s="64">
        <f t="shared" si="4"/>
        <v>0.03846153846</v>
      </c>
      <c r="H22" s="1"/>
      <c r="I22" s="1"/>
      <c r="J22" s="1"/>
    </row>
    <row r="23" ht="15.0" customHeight="1">
      <c r="A23" s="1"/>
      <c r="B23" s="74" t="s">
        <v>392</v>
      </c>
      <c r="C23" s="44">
        <f>COUNTIF('Threat Atlas'!$Q$6:$Q$300,$B23)</f>
        <v>5</v>
      </c>
      <c r="D23" s="41">
        <f>COUNTIFS('Threat Atlas'!$Q$6:$Q$300,$B23,'Threat Atlas'!$O$6:$O$300,"E3")</f>
        <v>5</v>
      </c>
      <c r="E23" s="41">
        <f>COUNTIFS('Threat Atlas'!$Q$6:$Q$300,$B23,'Threat Atlas'!$O$6:$O$300,"E2")+COUNTIFS('Threat Atlas'!$Q$6:$Q$300,$B23,'Threat Atlas'!$O$6:$O$300,"E1")</f>
        <v>0</v>
      </c>
      <c r="F23" s="41">
        <f>COUNTIFS('Threat Atlas'!$Q$6:$Q$300,$B23,'Threat Atlas'!$O$6:$O$300,"E0")</f>
        <v>0</v>
      </c>
      <c r="G23" s="47">
        <f t="shared" si="4"/>
        <v>0.0641025641</v>
      </c>
      <c r="H23" s="1"/>
      <c r="I23" s="1"/>
      <c r="J23" s="1"/>
    </row>
    <row r="24" ht="15.0" customHeight="1">
      <c r="A24" s="1"/>
      <c r="B24" s="79" t="s">
        <v>500</v>
      </c>
      <c r="C24" s="63">
        <f>COUNTIF('Threat Atlas'!$Q$6:$Q$300,$B24)</f>
        <v>3</v>
      </c>
      <c r="D24" s="60">
        <f>COUNTIFS('Threat Atlas'!$Q$6:$Q$300,$B24,'Threat Atlas'!$O$6:$O$300,"E3")</f>
        <v>3</v>
      </c>
      <c r="E24" s="60">
        <f>COUNTIFS('Threat Atlas'!$Q$6:$Q$300,$B24,'Threat Atlas'!$O$6:$O$300,"E2")+COUNTIFS('Threat Atlas'!$Q$6:$Q$300,$B24,'Threat Atlas'!$O$6:$O$300,"E1")</f>
        <v>0</v>
      </c>
      <c r="F24" s="60">
        <f>COUNTIFS('Threat Atlas'!$Q$6:$Q$300,$B24,'Threat Atlas'!$O$6:$O$300,"E0")</f>
        <v>0</v>
      </c>
      <c r="G24" s="64">
        <f t="shared" si="4"/>
        <v>0.03846153846</v>
      </c>
      <c r="H24" s="1"/>
      <c r="I24" s="1"/>
      <c r="J24" s="1"/>
    </row>
    <row r="25" ht="15.0" customHeight="1">
      <c r="A25" s="1"/>
      <c r="B25" s="72" t="s">
        <v>85</v>
      </c>
      <c r="C25" s="44">
        <f t="shared" ref="C25:G25" si="5">SUM(C17:C24)</f>
        <v>78</v>
      </c>
      <c r="D25" s="44">
        <f t="shared" si="5"/>
        <v>19</v>
      </c>
      <c r="E25" s="44">
        <f t="shared" si="5"/>
        <v>35</v>
      </c>
      <c r="F25" s="44">
        <f t="shared" si="5"/>
        <v>24</v>
      </c>
      <c r="G25" s="73">
        <f t="shared" si="5"/>
        <v>1</v>
      </c>
      <c r="H25" s="1"/>
      <c r="I25" s="1"/>
      <c r="J25" s="1"/>
    </row>
    <row r="26" ht="15.75" customHeight="1">
      <c r="A26" s="1"/>
      <c r="B26" s="1"/>
      <c r="C26" s="1"/>
      <c r="D26" s="1"/>
      <c r="E26" s="1"/>
      <c r="F26" s="1"/>
      <c r="G26" s="1"/>
      <c r="H26" s="1"/>
      <c r="I26" s="1"/>
      <c r="J26" s="1"/>
    </row>
    <row r="27" ht="15.0" customHeight="1">
      <c r="A27" s="1"/>
      <c r="B27" s="36" t="s">
        <v>527</v>
      </c>
      <c r="C27" s="1"/>
      <c r="D27" s="1"/>
      <c r="E27" s="1"/>
      <c r="F27" s="1"/>
      <c r="G27" s="1"/>
      <c r="H27" s="1"/>
      <c r="I27" s="1"/>
      <c r="J27" s="1"/>
    </row>
    <row r="28" ht="30.0" customHeight="1">
      <c r="A28" s="1"/>
      <c r="B28" s="38" t="s">
        <v>17</v>
      </c>
      <c r="C28" s="39" t="s">
        <v>528</v>
      </c>
      <c r="D28" s="39" t="s">
        <v>529</v>
      </c>
      <c r="E28" s="39" t="s">
        <v>531</v>
      </c>
      <c r="F28" s="39" t="s">
        <v>532</v>
      </c>
      <c r="G28" s="39" t="s">
        <v>533</v>
      </c>
      <c r="H28" s="39" t="s">
        <v>534</v>
      </c>
      <c r="I28" s="1"/>
      <c r="J28" s="1"/>
    </row>
    <row r="29" ht="15.0" customHeight="1">
      <c r="A29" s="1"/>
      <c r="B29" s="72" t="s">
        <v>537</v>
      </c>
      <c r="C29" s="41">
        <f>COUNTIF('Threat Atlas'!$Z$6:$Z$300,"L1")</f>
        <v>49</v>
      </c>
      <c r="D29" s="41">
        <f>COUNTIF('Threat Atlas'!$AA$6:$AA$300,"L1")</f>
        <v>20</v>
      </c>
      <c r="E29" s="41">
        <f>COUNTIFS('Threat Atlas'!$AA$6:$AA$300,"L1",'Threat Atlas'!$O$6:$O$300,"E2")+COUNTIFS('Threat Atlas'!$AA$6:$AA$300,"L1",'Threat Atlas'!$O$6:$O$300,"E3")</f>
        <v>11</v>
      </c>
      <c r="F29" s="41">
        <f>COUNTIFS('Threat Atlas'!$AA$6:$AA$300,"L1",'Threat Atlas'!$O$6:$O$300,"E3")</f>
        <v>3</v>
      </c>
      <c r="G29" s="41">
        <f>COUNTIF('CVE Register'!$M$6:$M$300,"L1")</f>
        <v>9</v>
      </c>
      <c r="H29" s="41">
        <f>COUNTIF(Mitigations!$G$6:$G$300,"L1")</f>
        <v>7</v>
      </c>
      <c r="I29" s="1"/>
      <c r="J29" s="1"/>
    </row>
    <row r="30" ht="15.0" customHeight="1">
      <c r="A30" s="1"/>
      <c r="B30" s="103" t="s">
        <v>559</v>
      </c>
      <c r="C30" s="60">
        <f>COUNTIF('Threat Atlas'!$Z$6:$Z$300,"L2")</f>
        <v>23</v>
      </c>
      <c r="D30" s="60">
        <f>COUNTIF('Threat Atlas'!$AA$6:$AA$300,"L2")</f>
        <v>23</v>
      </c>
      <c r="E30" s="60">
        <f>COUNTIFS('Threat Atlas'!$AA$6:$AA$300,"L2",'Threat Atlas'!$O$6:$O$300,"E2")+COUNTIFS('Threat Atlas'!$AA$6:$AA$300,"L2",'Threat Atlas'!$O$6:$O$300,"E3")</f>
        <v>6</v>
      </c>
      <c r="F30" s="60">
        <f>COUNTIFS('Threat Atlas'!$AA$6:$AA$300,"L2",'Threat Atlas'!$O$6:$O$300,"E3")</f>
        <v>5</v>
      </c>
      <c r="G30" s="60">
        <f>COUNTIF('CVE Register'!$M$6:$M$300,"L2")</f>
        <v>10</v>
      </c>
      <c r="H30" s="60">
        <f>COUNTIF(Mitigations!$G$6:$G$300,"L2")</f>
        <v>3</v>
      </c>
      <c r="I30" s="1"/>
      <c r="J30" s="1"/>
    </row>
    <row r="31" ht="15.0" customHeight="1">
      <c r="A31" s="1"/>
      <c r="B31" s="72" t="s">
        <v>601</v>
      </c>
      <c r="C31" s="41">
        <f>COUNTIF('Threat Atlas'!$Z$6:$Z$300,"L3")</f>
        <v>0</v>
      </c>
      <c r="D31" s="41">
        <f>COUNTIF('Threat Atlas'!$AA$6:$AA$300,"L3")</f>
        <v>19</v>
      </c>
      <c r="E31" s="41">
        <f>COUNTIFS('Threat Atlas'!$AA$6:$AA$300,"L3",'Threat Atlas'!$O$6:$O$300,"E2")+COUNTIFS('Threat Atlas'!$AA$6:$AA$300,"L3",'Threat Atlas'!$O$6:$O$300,"E3")</f>
        <v>6</v>
      </c>
      <c r="F31" s="41">
        <f>COUNTIFS('Threat Atlas'!$AA$6:$AA$300,"L3",'Threat Atlas'!$O$6:$O$300,"E3")</f>
        <v>3</v>
      </c>
      <c r="G31" s="41">
        <f>COUNTIF('CVE Register'!$M$6:$M$300,"L3")</f>
        <v>0</v>
      </c>
      <c r="H31" s="41">
        <f>COUNTIF(Mitigations!$G$6:$G$300,"L3")</f>
        <v>4</v>
      </c>
      <c r="I31" s="1"/>
      <c r="J31" s="1"/>
    </row>
    <row r="32" ht="15.0" customHeight="1">
      <c r="A32" s="1"/>
      <c r="B32" s="103" t="s">
        <v>617</v>
      </c>
      <c r="C32" s="60">
        <f>COUNTIF('Threat Atlas'!$Z$6:$Z$300,"L4")</f>
        <v>6</v>
      </c>
      <c r="D32" s="60">
        <f>COUNTIF('Threat Atlas'!$AA$6:$AA$300,"L4")</f>
        <v>16</v>
      </c>
      <c r="E32" s="60">
        <f>COUNTIFS('Threat Atlas'!$AA$6:$AA$300,"L4",'Threat Atlas'!$O$6:$O$300,"E2")+COUNTIFS('Threat Atlas'!$AA$6:$AA$300,"L4",'Threat Atlas'!$O$6:$O$300,"E3")</f>
        <v>9</v>
      </c>
      <c r="F32" s="60">
        <f>COUNTIFS('Threat Atlas'!$AA$6:$AA$300,"L4",'Threat Atlas'!$O$6:$O$300,"E3")</f>
        <v>8</v>
      </c>
      <c r="G32" s="60">
        <f>COUNTIF('CVE Register'!$M$6:$M$300,"L4")</f>
        <v>38</v>
      </c>
      <c r="H32" s="60">
        <f>COUNTIF(Mitigations!$G$6:$G$300,"L4")</f>
        <v>11</v>
      </c>
      <c r="I32" s="1"/>
      <c r="J32" s="1"/>
    </row>
    <row r="33" ht="15.0" customHeight="1">
      <c r="A33" s="1"/>
      <c r="B33" s="72" t="s">
        <v>85</v>
      </c>
      <c r="C33" s="44">
        <f t="shared" ref="C33:H33" si="6">SUM(C29:C32)</f>
        <v>78</v>
      </c>
      <c r="D33" s="44">
        <f t="shared" si="6"/>
        <v>78</v>
      </c>
      <c r="E33" s="44">
        <f t="shared" si="6"/>
        <v>32</v>
      </c>
      <c r="F33" s="44">
        <f t="shared" si="6"/>
        <v>19</v>
      </c>
      <c r="G33" s="44">
        <f t="shared" si="6"/>
        <v>57</v>
      </c>
      <c r="H33" s="44">
        <f t="shared" si="6"/>
        <v>25</v>
      </c>
      <c r="I33" s="1"/>
      <c r="J33" s="1"/>
    </row>
    <row r="34" ht="15.75" customHeight="1">
      <c r="A34" s="1"/>
      <c r="B34" s="1"/>
      <c r="C34" s="1"/>
      <c r="D34" s="1"/>
      <c r="E34" s="1"/>
      <c r="F34" s="1"/>
      <c r="G34" s="1"/>
      <c r="H34" s="1"/>
      <c r="I34" s="1"/>
      <c r="J34" s="1"/>
    </row>
    <row r="35" ht="15.0" customHeight="1">
      <c r="A35" s="1"/>
      <c r="B35" s="36" t="s">
        <v>641</v>
      </c>
      <c r="C35" s="1"/>
      <c r="D35" s="1"/>
      <c r="E35" s="1"/>
      <c r="F35" s="1"/>
      <c r="G35" s="1"/>
      <c r="H35" s="1"/>
      <c r="I35" s="1"/>
      <c r="J35" s="1"/>
    </row>
    <row r="36" ht="30.0" customHeight="1">
      <c r="A36" s="1"/>
      <c r="B36" s="38" t="s">
        <v>21</v>
      </c>
      <c r="C36" s="39" t="s">
        <v>645</v>
      </c>
      <c r="D36" s="39" t="s">
        <v>646</v>
      </c>
      <c r="E36" s="39" t="s">
        <v>647</v>
      </c>
      <c r="F36" s="39" t="s">
        <v>648</v>
      </c>
      <c r="G36" s="39" t="s">
        <v>649</v>
      </c>
      <c r="H36" s="1"/>
      <c r="I36" s="1"/>
      <c r="J36" s="1"/>
    </row>
    <row r="37" ht="15.0" customHeight="1">
      <c r="A37" s="1"/>
      <c r="B37" s="72" t="s">
        <v>650</v>
      </c>
      <c r="C37" s="41">
        <f>COUNTIF('Threat Atlas'!$AC$6:$AC$300,"✓")</f>
        <v>41</v>
      </c>
      <c r="D37" s="41">
        <f>COUNTIFS('Threat Atlas'!$AC$6:$AC$300,"✓",'Threat Atlas'!$O$6:$O$300,"E2")+COUNTIFS('Threat Atlas'!$AC$6:$AC$300,"✓",'Threat Atlas'!$O$6:$O$300,"E3")</f>
        <v>18</v>
      </c>
      <c r="E37" s="41">
        <f>COUNTIFS('Threat Atlas'!$AC$6:$AC$300,"✓",'Threat Atlas'!$O$6:$O$300,"E3")</f>
        <v>13</v>
      </c>
      <c r="F37" s="41">
        <f>COUNTIF('CVE Register'!$N$6:$N$300,"TB1")</f>
        <v>19</v>
      </c>
      <c r="G37" s="41">
        <f>COUNTIF(Mitigations!$H$6:$H$300,"*TB1*")</f>
        <v>14</v>
      </c>
      <c r="H37" s="1"/>
      <c r="I37" s="1"/>
      <c r="J37" s="1"/>
    </row>
    <row r="38" ht="15.0" customHeight="1">
      <c r="A38" s="1"/>
      <c r="B38" s="103" t="s">
        <v>668</v>
      </c>
      <c r="C38" s="60">
        <f>COUNTIF('Threat Atlas'!$AD$6:$AD$300,"✓")</f>
        <v>39</v>
      </c>
      <c r="D38" s="60">
        <f>COUNTIFS('Threat Atlas'!$AD$6:$AD$300,"✓",'Threat Atlas'!$O$6:$O$300,"E2")+COUNTIFS('Threat Atlas'!$AD$6:$AD$300,"✓",'Threat Atlas'!$O$6:$O$300,"E3")</f>
        <v>18</v>
      </c>
      <c r="E38" s="60">
        <f>COUNTIFS('Threat Atlas'!$AD$6:$AD$300,"✓",'Threat Atlas'!$O$6:$O$300,"E3")</f>
        <v>13</v>
      </c>
      <c r="F38" s="60">
        <f>COUNTIF('CVE Register'!$N$6:$N$300,"TB2")</f>
        <v>0</v>
      </c>
      <c r="G38" s="60">
        <f>COUNTIF(Mitigations!$H$6:$H$300,"*TB2*")</f>
        <v>8</v>
      </c>
      <c r="H38" s="1"/>
      <c r="I38" s="1"/>
      <c r="J38" s="1"/>
    </row>
    <row r="39" ht="15.0" customHeight="1">
      <c r="A39" s="1"/>
      <c r="B39" s="72" t="s">
        <v>679</v>
      </c>
      <c r="C39" s="41">
        <f>COUNTIF('Threat Atlas'!$AE$6:$AE$300,"✓")</f>
        <v>20</v>
      </c>
      <c r="D39" s="41">
        <f>COUNTIFS('Threat Atlas'!$AE$6:$AE$300,"✓",'Threat Atlas'!$O$6:$O$300,"E2")+COUNTIFS('Threat Atlas'!$AE$6:$AE$300,"✓",'Threat Atlas'!$O$6:$O$300,"E3")</f>
        <v>12</v>
      </c>
      <c r="E39" s="41">
        <f>COUNTIFS('Threat Atlas'!$AE$6:$AE$300,"✓",'Threat Atlas'!$O$6:$O$300,"E3")</f>
        <v>10</v>
      </c>
      <c r="F39" s="41">
        <f>COUNTIF('CVE Register'!$N$6:$N$300,"TB3")</f>
        <v>38</v>
      </c>
      <c r="G39" s="41">
        <f>COUNTIF(Mitigations!$H$6:$H$300,"*TB3*")</f>
        <v>13</v>
      </c>
      <c r="H39" s="1"/>
      <c r="I39" s="1"/>
      <c r="J39" s="1"/>
    </row>
    <row r="40" ht="15.0" customHeight="1">
      <c r="A40" s="1"/>
      <c r="B40" s="74" t="s">
        <v>702</v>
      </c>
      <c r="C40" s="41">
        <f>COUNTIF('Threat Atlas'!$AB$6:$AB$300,"Within layer")</f>
        <v>25</v>
      </c>
      <c r="D40" s="1"/>
      <c r="E40" s="1"/>
      <c r="F40" s="1"/>
      <c r="G40" s="1"/>
      <c r="H40" s="1"/>
      <c r="I40" s="1"/>
      <c r="J40" s="1"/>
    </row>
    <row r="41" ht="15.75" customHeight="1">
      <c r="A41" s="1"/>
      <c r="B41" s="1"/>
      <c r="C41" s="1"/>
      <c r="D41" s="1"/>
      <c r="E41" s="1"/>
      <c r="F41" s="1"/>
      <c r="G41" s="1"/>
      <c r="H41" s="1"/>
      <c r="I41" s="1"/>
      <c r="J41" s="1"/>
    </row>
    <row r="42" ht="15.0" customHeight="1">
      <c r="A42" s="1"/>
      <c r="B42" s="36" t="s">
        <v>707</v>
      </c>
      <c r="C42" s="1"/>
      <c r="D42" s="1"/>
      <c r="E42" s="1"/>
      <c r="F42" s="1"/>
      <c r="G42" s="1"/>
      <c r="H42" s="1"/>
      <c r="I42" s="1"/>
      <c r="J42" s="1"/>
    </row>
    <row r="43" ht="30.0" customHeight="1">
      <c r="A43" s="1"/>
      <c r="B43" s="38" t="s">
        <v>708</v>
      </c>
      <c r="C43" s="39" t="s">
        <v>232</v>
      </c>
      <c r="D43" s="39" t="s">
        <v>710</v>
      </c>
      <c r="E43" s="39"/>
      <c r="F43" s="39" t="s">
        <v>711</v>
      </c>
      <c r="G43" s="39" t="s">
        <v>232</v>
      </c>
      <c r="H43" s="1"/>
      <c r="I43" s="1"/>
      <c r="J43" s="1"/>
    </row>
    <row r="44" ht="15.0" customHeight="1">
      <c r="A44" s="1"/>
      <c r="B44" s="72" t="s">
        <v>470</v>
      </c>
      <c r="C44" s="41">
        <f>COUNTIF('Threat Atlas'!$AF$6:$AF$300,B44)</f>
        <v>26</v>
      </c>
      <c r="D44" s="41">
        <f>COUNTIFS('Threat Atlas'!$AF$6:$AF$300,B44,'Threat Atlas'!$O$6:$O$300,"E2")+COUNTIFS('Threat Atlas'!$AF$6:$AF$300,B44,'Threat Atlas'!$O$6:$O$300,"E3")</f>
        <v>17</v>
      </c>
      <c r="E44" s="1"/>
      <c r="F44" s="72" t="s">
        <v>735</v>
      </c>
      <c r="G44" s="41">
        <f>COUNTIF('Threat Atlas'!$AB$6:$AB$300,F44)</f>
        <v>46</v>
      </c>
      <c r="H44" s="1"/>
      <c r="I44" s="1"/>
      <c r="J44" s="1"/>
    </row>
    <row r="45" ht="15.0" customHeight="1">
      <c r="A45" s="1"/>
      <c r="B45" s="103" t="s">
        <v>752</v>
      </c>
      <c r="C45" s="60">
        <f>COUNTIF('Threat Atlas'!$AF$6:$AF$300,B45)</f>
        <v>3</v>
      </c>
      <c r="D45" s="60">
        <f>COUNTIFS('Threat Atlas'!$AF$6:$AF$300,B45,'Threat Atlas'!$O$6:$O$300,"E2")+COUNTIFS('Threat Atlas'!$AF$6:$AF$300,B45,'Threat Atlas'!$O$6:$O$300,"E3")</f>
        <v>1</v>
      </c>
      <c r="E45" s="1"/>
      <c r="F45" s="103" t="s">
        <v>759</v>
      </c>
      <c r="G45" s="60">
        <f>COUNTIF('Threat Atlas'!$AB$6:$AB$300,F45)</f>
        <v>7</v>
      </c>
      <c r="H45" s="1"/>
      <c r="I45" s="1"/>
      <c r="J45" s="1"/>
    </row>
    <row r="46" ht="15.0" customHeight="1">
      <c r="A46" s="1"/>
      <c r="B46" s="72" t="s">
        <v>273</v>
      </c>
      <c r="C46" s="41">
        <f>COUNTIF('Threat Atlas'!$AF$6:$AF$300,B46)</f>
        <v>49</v>
      </c>
      <c r="D46" s="41">
        <f>COUNTIFS('Threat Atlas'!$AF$6:$AF$300,B46,'Threat Atlas'!$O$6:$O$300,"E2")+COUNTIFS('Threat Atlas'!$AF$6:$AF$300,B46,'Threat Atlas'!$O$6:$O$300,"E3")</f>
        <v>14</v>
      </c>
      <c r="E46" s="1"/>
      <c r="F46" s="72" t="s">
        <v>775</v>
      </c>
      <c r="G46" s="41">
        <f>COUNTIF('Threat Atlas'!$AB$6:$AB$300,F46)</f>
        <v>25</v>
      </c>
      <c r="H46" s="1"/>
      <c r="I46" s="1"/>
      <c r="J46" s="1"/>
    </row>
    <row r="47" ht="15.0" customHeight="1">
      <c r="A47" s="1"/>
      <c r="B47" s="72" t="s">
        <v>85</v>
      </c>
      <c r="C47" s="44">
        <f t="shared" ref="C47:D47" si="7">SUM(C44:C46)</f>
        <v>78</v>
      </c>
      <c r="D47" s="44">
        <f t="shared" si="7"/>
        <v>32</v>
      </c>
      <c r="E47" s="1"/>
      <c r="F47" s="72" t="s">
        <v>85</v>
      </c>
      <c r="G47" s="44">
        <f>SUM(G44:G46)</f>
        <v>78</v>
      </c>
      <c r="H47" s="1"/>
      <c r="I47" s="1"/>
      <c r="J47" s="1"/>
    </row>
    <row r="48" ht="15.75" customHeight="1">
      <c r="A48" s="1"/>
      <c r="B48" s="1"/>
      <c r="C48" s="1"/>
      <c r="D48" s="1"/>
      <c r="E48" s="1"/>
      <c r="F48" s="1"/>
      <c r="G48" s="1"/>
      <c r="H48" s="1"/>
      <c r="I48" s="1"/>
      <c r="J48" s="1"/>
    </row>
    <row r="49" ht="15.0" customHeight="1">
      <c r="A49" s="1"/>
      <c r="B49" s="36" t="s">
        <v>785</v>
      </c>
      <c r="C49" s="1"/>
      <c r="D49" s="1"/>
      <c r="E49" s="1"/>
      <c r="F49" s="1"/>
      <c r="G49" s="1"/>
      <c r="H49" s="1"/>
      <c r="I49" s="1"/>
      <c r="J49" s="1"/>
    </row>
    <row r="50" ht="30.0" customHeight="1">
      <c r="A50" s="1"/>
      <c r="B50" s="38" t="s">
        <v>790</v>
      </c>
      <c r="C50" s="39" t="s">
        <v>42</v>
      </c>
      <c r="D50" s="39" t="s">
        <v>197</v>
      </c>
      <c r="E50" s="39" t="s">
        <v>249</v>
      </c>
      <c r="F50" s="39" t="s">
        <v>121</v>
      </c>
      <c r="G50" s="39" t="s">
        <v>85</v>
      </c>
      <c r="H50" s="1"/>
      <c r="I50" s="1"/>
      <c r="J50" s="1"/>
    </row>
    <row r="51" ht="15.0" customHeight="1">
      <c r="A51" s="1"/>
      <c r="B51" s="72" t="s">
        <v>794</v>
      </c>
      <c r="C51" s="41">
        <f>COUNTIFS('CVE Register'!$H$6:$H$300,$B51,'CVE Register'!$M$6:$M$300,"L1")</f>
        <v>3</v>
      </c>
      <c r="D51" s="41">
        <f>COUNTIFS('CVE Register'!$H$6:$H$300,$B51,'CVE Register'!$M$6:$M$300,"L2")</f>
        <v>2</v>
      </c>
      <c r="E51" s="41">
        <f>COUNTIFS('CVE Register'!$H$6:$H$300,$B51,'CVE Register'!$M$6:$M$300,"L3")</f>
        <v>0</v>
      </c>
      <c r="F51" s="41">
        <f>COUNTIFS('CVE Register'!$H$6:$H$300,$B51,'CVE Register'!$M$6:$M$300,"L4")</f>
        <v>7</v>
      </c>
      <c r="G51" s="44">
        <f t="shared" ref="G51:G55" si="8">SUM(C51:F51)</f>
        <v>12</v>
      </c>
      <c r="H51" s="1"/>
      <c r="I51" s="1"/>
      <c r="J51" s="1"/>
    </row>
    <row r="52" ht="15.0" customHeight="1">
      <c r="A52" s="1"/>
      <c r="B52" s="103" t="s">
        <v>804</v>
      </c>
      <c r="C52" s="60">
        <f>COUNTIFS('CVE Register'!$H$6:$H$300,$B52,'CVE Register'!$M$6:$M$300,"L1")</f>
        <v>3</v>
      </c>
      <c r="D52" s="60">
        <f>COUNTIFS('CVE Register'!$H$6:$H$300,$B52,'CVE Register'!$M$6:$M$300,"L2")</f>
        <v>7</v>
      </c>
      <c r="E52" s="60">
        <f>COUNTIFS('CVE Register'!$H$6:$H$300,$B52,'CVE Register'!$M$6:$M$300,"L3")</f>
        <v>0</v>
      </c>
      <c r="F52" s="60">
        <f>COUNTIFS('CVE Register'!$H$6:$H$300,$B52,'CVE Register'!$M$6:$M$300,"L4")</f>
        <v>8</v>
      </c>
      <c r="G52" s="63">
        <f t="shared" si="8"/>
        <v>18</v>
      </c>
      <c r="H52" s="1"/>
      <c r="I52" s="1"/>
      <c r="J52" s="1"/>
    </row>
    <row r="53" ht="15.0" customHeight="1">
      <c r="A53" s="1"/>
      <c r="B53" s="72" t="s">
        <v>814</v>
      </c>
      <c r="C53" s="41">
        <f>COUNTIFS('CVE Register'!$H$6:$H$300,$B53,'CVE Register'!$M$6:$M$300,"L1")</f>
        <v>0</v>
      </c>
      <c r="D53" s="41">
        <f>COUNTIFS('CVE Register'!$H$6:$H$300,$B53,'CVE Register'!$M$6:$M$300,"L2")</f>
        <v>1</v>
      </c>
      <c r="E53" s="41">
        <f>COUNTIFS('CVE Register'!$H$6:$H$300,$B53,'CVE Register'!$M$6:$M$300,"L3")</f>
        <v>0</v>
      </c>
      <c r="F53" s="41">
        <f>COUNTIFS('CVE Register'!$H$6:$H$300,$B53,'CVE Register'!$M$6:$M$300,"L4")</f>
        <v>4</v>
      </c>
      <c r="G53" s="44">
        <f t="shared" si="8"/>
        <v>5</v>
      </c>
      <c r="H53" s="1"/>
      <c r="I53" s="1"/>
      <c r="J53" s="1"/>
    </row>
    <row r="54" ht="15.0" customHeight="1">
      <c r="A54" s="1"/>
      <c r="B54" s="103" t="s">
        <v>823</v>
      </c>
      <c r="C54" s="60">
        <f>COUNTIFS('CVE Register'!$H$6:$H$300,$B54,'CVE Register'!$M$6:$M$300,"L1")</f>
        <v>0</v>
      </c>
      <c r="D54" s="60">
        <f>COUNTIFS('CVE Register'!$H$6:$H$300,$B54,'CVE Register'!$M$6:$M$300,"L2")</f>
        <v>0</v>
      </c>
      <c r="E54" s="60">
        <f>COUNTIFS('CVE Register'!$H$6:$H$300,$B54,'CVE Register'!$M$6:$M$300,"L3")</f>
        <v>0</v>
      </c>
      <c r="F54" s="60">
        <f>COUNTIFS('CVE Register'!$H$6:$H$300,$B54,'CVE Register'!$M$6:$M$300,"L4")</f>
        <v>3</v>
      </c>
      <c r="G54" s="63">
        <f t="shared" si="8"/>
        <v>3</v>
      </c>
      <c r="H54" s="1"/>
      <c r="I54" s="1"/>
      <c r="J54" s="1"/>
    </row>
    <row r="55" ht="15.0" customHeight="1">
      <c r="A55" s="1"/>
      <c r="B55" s="72" t="s">
        <v>847</v>
      </c>
      <c r="C55" s="41">
        <f>COUNTIFS('CVE Register'!$H$6:$H$300,$B55,'CVE Register'!$M$6:$M$300,"L1")</f>
        <v>3</v>
      </c>
      <c r="D55" s="41">
        <f>COUNTIFS('CVE Register'!$H$6:$H$300,$B55,'CVE Register'!$M$6:$M$300,"L2")</f>
        <v>0</v>
      </c>
      <c r="E55" s="41">
        <f>COUNTIFS('CVE Register'!$H$6:$H$300,$B55,'CVE Register'!$M$6:$M$300,"L3")</f>
        <v>0</v>
      </c>
      <c r="F55" s="41">
        <f>COUNTIFS('CVE Register'!$H$6:$H$300,$B55,'CVE Register'!$M$6:$M$300,"L4")</f>
        <v>16</v>
      </c>
      <c r="G55" s="44">
        <f t="shared" si="8"/>
        <v>19</v>
      </c>
      <c r="H55" s="1"/>
      <c r="I55" s="1"/>
      <c r="J55" s="1"/>
    </row>
    <row r="56" ht="15.0" customHeight="1">
      <c r="A56" s="1"/>
      <c r="B56" s="72" t="s">
        <v>85</v>
      </c>
      <c r="C56" s="44">
        <f t="shared" ref="C56:G56" si="9">SUM(C51:C55)</f>
        <v>9</v>
      </c>
      <c r="D56" s="44">
        <f t="shared" si="9"/>
        <v>10</v>
      </c>
      <c r="E56" s="44">
        <f t="shared" si="9"/>
        <v>0</v>
      </c>
      <c r="F56" s="44">
        <f t="shared" si="9"/>
        <v>38</v>
      </c>
      <c r="G56" s="44">
        <f t="shared" si="9"/>
        <v>57</v>
      </c>
      <c r="H56" s="1"/>
      <c r="I56" s="1"/>
      <c r="J56" s="1"/>
    </row>
    <row r="57" ht="15.75" customHeight="1">
      <c r="A57" s="1"/>
      <c r="B57" s="1"/>
      <c r="C57" s="1"/>
      <c r="D57" s="1"/>
      <c r="E57" s="1"/>
      <c r="F57" s="1"/>
      <c r="G57" s="1"/>
      <c r="H57" s="1"/>
      <c r="I57" s="1"/>
      <c r="J57" s="1"/>
    </row>
    <row r="58" ht="15.0" customHeight="1">
      <c r="A58" s="1"/>
      <c r="B58" s="36" t="s">
        <v>892</v>
      </c>
      <c r="C58" s="1"/>
      <c r="D58" s="1"/>
      <c r="E58" s="1"/>
      <c r="F58" s="1"/>
      <c r="G58" s="1"/>
      <c r="H58" s="1"/>
      <c r="I58" s="1"/>
      <c r="J58" s="1"/>
    </row>
    <row r="59" ht="30.0" customHeight="1">
      <c r="A59" s="1"/>
      <c r="B59" s="38" t="s">
        <v>897</v>
      </c>
      <c r="C59" s="39" t="s">
        <v>6</v>
      </c>
      <c r="D59" s="39" t="s">
        <v>900</v>
      </c>
      <c r="E59" s="39" t="s">
        <v>901</v>
      </c>
      <c r="F59" s="39" t="s">
        <v>794</v>
      </c>
      <c r="G59" s="39" t="s">
        <v>804</v>
      </c>
      <c r="H59" s="39" t="s">
        <v>902</v>
      </c>
      <c r="I59" s="1"/>
      <c r="J59" s="1"/>
    </row>
    <row r="60" ht="15.0" customHeight="1">
      <c r="A60" s="1"/>
      <c r="B60" s="72" t="s">
        <v>409</v>
      </c>
      <c r="C60" s="41">
        <f>COUNTIF('Threat Atlas'!$Y$6:$Y$300,$B60)</f>
        <v>14</v>
      </c>
      <c r="D60" s="41">
        <f>COUNTIFS('Threat Atlas'!$Y$6:$Y$300,$B60,'Threat Atlas'!$O$6:$O$300,"E2")+COUNTIFS('Threat Atlas'!$Y$6:$Y$300,$B60,'Threat Atlas'!$O$6:$O$300,"E3")</f>
        <v>4</v>
      </c>
      <c r="E60" s="44">
        <f>COUNTIF('CVE Register'!$C$6:$C$300,$B60)</f>
        <v>0</v>
      </c>
      <c r="F60" s="41">
        <f>COUNTIFS('CVE Register'!$C$6:$C$300,$B60,'CVE Register'!$H$6:$H$300,"Critical")</f>
        <v>0</v>
      </c>
      <c r="G60" s="41">
        <f>COUNTIFS('CVE Register'!$C$6:$C$300,$B60,'CVE Register'!$H$6:$H$300,"High")</f>
        <v>0</v>
      </c>
      <c r="H60" s="41">
        <f t="shared" ref="H60:H76" si="10">E60-F60-G60</f>
        <v>0</v>
      </c>
      <c r="I60" s="1"/>
      <c r="J60" s="1"/>
    </row>
    <row r="61" ht="15.0" customHeight="1">
      <c r="A61" s="1"/>
      <c r="B61" s="103" t="s">
        <v>934</v>
      </c>
      <c r="C61" s="60">
        <f>COUNTIF('Threat Atlas'!$Y$6:$Y$300,$B61)</f>
        <v>4</v>
      </c>
      <c r="D61" s="60">
        <f>COUNTIFS('Threat Atlas'!$Y$6:$Y$300,$B61,'Threat Atlas'!$O$6:$O$300,"E2")+COUNTIFS('Threat Atlas'!$Y$6:$Y$300,$B61,'Threat Atlas'!$O$6:$O$300,"E3")</f>
        <v>1</v>
      </c>
      <c r="E61" s="63">
        <f>COUNTIF('CVE Register'!$C$6:$C$300,$B61)</f>
        <v>0</v>
      </c>
      <c r="F61" s="60">
        <f>COUNTIFS('CVE Register'!$C$6:$C$300,$B61,'CVE Register'!$H$6:$H$300,"Critical")</f>
        <v>0</v>
      </c>
      <c r="G61" s="60">
        <f>COUNTIFS('CVE Register'!$C$6:$C$300,$B61,'CVE Register'!$H$6:$H$300,"High")</f>
        <v>0</v>
      </c>
      <c r="H61" s="60">
        <f t="shared" si="10"/>
        <v>0</v>
      </c>
      <c r="I61" s="1"/>
      <c r="J61" s="1"/>
    </row>
    <row r="62" ht="15.0" customHeight="1">
      <c r="A62" s="1"/>
      <c r="B62" s="72" t="s">
        <v>386</v>
      </c>
      <c r="C62" s="41">
        <f>COUNTIF('Threat Atlas'!$Y$6:$Y$300,$B62)</f>
        <v>18</v>
      </c>
      <c r="D62" s="41">
        <f>COUNTIFS('Threat Atlas'!$Y$6:$Y$300,$B62,'Threat Atlas'!$O$6:$O$300,"E2")+COUNTIFS('Threat Atlas'!$Y$6:$Y$300,$B62,'Threat Atlas'!$O$6:$O$300,"E3")</f>
        <v>12</v>
      </c>
      <c r="E62" s="44">
        <f>COUNTIF('CVE Register'!$C$6:$C$300,$B62)</f>
        <v>1</v>
      </c>
      <c r="F62" s="41">
        <f>COUNTIFS('CVE Register'!$C$6:$C$300,$B62,'CVE Register'!$H$6:$H$300,"Critical")</f>
        <v>1</v>
      </c>
      <c r="G62" s="41">
        <f>COUNTIFS('CVE Register'!$C$6:$C$300,$B62,'CVE Register'!$H$6:$H$300,"High")</f>
        <v>0</v>
      </c>
      <c r="H62" s="41">
        <f t="shared" si="10"/>
        <v>0</v>
      </c>
      <c r="I62" s="1"/>
      <c r="J62" s="1"/>
    </row>
    <row r="63" ht="15.0" customHeight="1">
      <c r="A63" s="1"/>
      <c r="B63" s="103" t="s">
        <v>744</v>
      </c>
      <c r="C63" s="60">
        <f>COUNTIF('Threat Atlas'!$Y$6:$Y$300,$B63)</f>
        <v>1</v>
      </c>
      <c r="D63" s="60">
        <f>COUNTIFS('Threat Atlas'!$Y$6:$Y$300,$B63,'Threat Atlas'!$O$6:$O$300,"E2")+COUNTIFS('Threat Atlas'!$Y$6:$Y$300,$B63,'Threat Atlas'!$O$6:$O$300,"E3")</f>
        <v>0</v>
      </c>
      <c r="E63" s="63">
        <f>COUNTIF('CVE Register'!$C$6:$C$300,$B63)</f>
        <v>0</v>
      </c>
      <c r="F63" s="60">
        <f>COUNTIFS('CVE Register'!$C$6:$C$300,$B63,'CVE Register'!$H$6:$H$300,"Critical")</f>
        <v>0</v>
      </c>
      <c r="G63" s="60">
        <f>COUNTIFS('CVE Register'!$C$6:$C$300,$B63,'CVE Register'!$H$6:$H$300,"High")</f>
        <v>0</v>
      </c>
      <c r="H63" s="60">
        <f t="shared" si="10"/>
        <v>0</v>
      </c>
      <c r="I63" s="1"/>
      <c r="J63" s="1"/>
    </row>
    <row r="64" ht="15.0" customHeight="1">
      <c r="A64" s="1"/>
      <c r="B64" s="72" t="s">
        <v>783</v>
      </c>
      <c r="C64" s="41">
        <f>COUNTIF('Threat Atlas'!$Y$6:$Y$300,$B64)</f>
        <v>1</v>
      </c>
      <c r="D64" s="41">
        <f>COUNTIFS('Threat Atlas'!$Y$6:$Y$300,$B64,'Threat Atlas'!$O$6:$O$300,"E2")+COUNTIFS('Threat Atlas'!$Y$6:$Y$300,$B64,'Threat Atlas'!$O$6:$O$300,"E3")</f>
        <v>0</v>
      </c>
      <c r="E64" s="44">
        <f>COUNTIF('CVE Register'!$C$6:$C$300,$B64)</f>
        <v>5</v>
      </c>
      <c r="F64" s="41">
        <f>COUNTIFS('CVE Register'!$C$6:$C$300,$B64,'CVE Register'!$H$6:$H$300,"Critical")</f>
        <v>2</v>
      </c>
      <c r="G64" s="41">
        <f>COUNTIFS('CVE Register'!$C$6:$C$300,$B64,'CVE Register'!$H$6:$H$300,"High")</f>
        <v>3</v>
      </c>
      <c r="H64" s="41">
        <f t="shared" si="10"/>
        <v>0</v>
      </c>
      <c r="I64" s="1"/>
      <c r="J64" s="1"/>
    </row>
    <row r="65" ht="15.0" customHeight="1">
      <c r="A65" s="1"/>
      <c r="B65" s="103" t="s">
        <v>418</v>
      </c>
      <c r="C65" s="60">
        <f>COUNTIF('Threat Atlas'!$Y$6:$Y$300,$B65)</f>
        <v>3</v>
      </c>
      <c r="D65" s="60">
        <f>COUNTIFS('Threat Atlas'!$Y$6:$Y$300,$B65,'Threat Atlas'!$O$6:$O$300,"E2")+COUNTIFS('Threat Atlas'!$Y$6:$Y$300,$B65,'Threat Atlas'!$O$6:$O$300,"E3")</f>
        <v>2</v>
      </c>
      <c r="E65" s="63">
        <f>COUNTIF('CVE Register'!$C$6:$C$300,$B65)</f>
        <v>3</v>
      </c>
      <c r="F65" s="60">
        <f>COUNTIFS('CVE Register'!$C$6:$C$300,$B65,'CVE Register'!$H$6:$H$300,"Critical")</f>
        <v>0</v>
      </c>
      <c r="G65" s="60">
        <f>COUNTIFS('CVE Register'!$C$6:$C$300,$B65,'CVE Register'!$H$6:$H$300,"High")</f>
        <v>0</v>
      </c>
      <c r="H65" s="60">
        <f t="shared" si="10"/>
        <v>3</v>
      </c>
      <c r="I65" s="1"/>
      <c r="J65" s="1"/>
    </row>
    <row r="66" ht="15.0" customHeight="1">
      <c r="A66" s="1"/>
      <c r="B66" s="72" t="s">
        <v>692</v>
      </c>
      <c r="C66" s="41">
        <f>COUNTIF('Threat Atlas'!$Y$6:$Y$300,$B66)</f>
        <v>6</v>
      </c>
      <c r="D66" s="41">
        <f>COUNTIFS('Threat Atlas'!$Y$6:$Y$300,$B66,'Threat Atlas'!$O$6:$O$300,"E2")+COUNTIFS('Threat Atlas'!$Y$6:$Y$300,$B66,'Threat Atlas'!$O$6:$O$300,"E3")</f>
        <v>2</v>
      </c>
      <c r="E66" s="44">
        <f>COUNTIF('CVE Register'!$C$6:$C$300,$B66)</f>
        <v>0</v>
      </c>
      <c r="F66" s="41">
        <f>COUNTIFS('CVE Register'!$C$6:$C$300,$B66,'CVE Register'!$H$6:$H$300,"Critical")</f>
        <v>0</v>
      </c>
      <c r="G66" s="41">
        <f>COUNTIFS('CVE Register'!$C$6:$C$300,$B66,'CVE Register'!$H$6:$H$300,"High")</f>
        <v>0</v>
      </c>
      <c r="H66" s="41">
        <f t="shared" si="10"/>
        <v>0</v>
      </c>
      <c r="I66" s="1"/>
      <c r="J66" s="1"/>
    </row>
    <row r="67" ht="15.0" customHeight="1">
      <c r="A67" s="1"/>
      <c r="B67" s="103" t="s">
        <v>1075</v>
      </c>
      <c r="C67" s="60">
        <f>COUNTIF('Threat Atlas'!$Y$6:$Y$300,$B67)</f>
        <v>2</v>
      </c>
      <c r="D67" s="60">
        <f>COUNTIFS('Threat Atlas'!$Y$6:$Y$300,$B67,'Threat Atlas'!$O$6:$O$300,"E2")+COUNTIFS('Threat Atlas'!$Y$6:$Y$300,$B67,'Threat Atlas'!$O$6:$O$300,"E3")</f>
        <v>1</v>
      </c>
      <c r="E67" s="63">
        <f>COUNTIF('CVE Register'!$C$6:$C$300,$B67)</f>
        <v>10</v>
      </c>
      <c r="F67" s="60">
        <f>COUNTIFS('CVE Register'!$C$6:$C$300,$B67,'CVE Register'!$H$6:$H$300,"Critical")</f>
        <v>2</v>
      </c>
      <c r="G67" s="60">
        <f>COUNTIFS('CVE Register'!$C$6:$C$300,$B67,'CVE Register'!$H$6:$H$300,"High")</f>
        <v>7</v>
      </c>
      <c r="H67" s="60">
        <f t="shared" si="10"/>
        <v>1</v>
      </c>
      <c r="I67" s="1"/>
      <c r="J67" s="1"/>
    </row>
    <row r="68" ht="15.0" customHeight="1">
      <c r="A68" s="1"/>
      <c r="B68" s="72" t="s">
        <v>214</v>
      </c>
      <c r="C68" s="41">
        <f>COUNTIF('Threat Atlas'!$Y$6:$Y$300,$B68)</f>
        <v>7</v>
      </c>
      <c r="D68" s="41">
        <f>COUNTIFS('Threat Atlas'!$Y$6:$Y$300,$B68,'Threat Atlas'!$O$6:$O$300,"E2")+COUNTIFS('Threat Atlas'!$Y$6:$Y$300,$B68,'Threat Atlas'!$O$6:$O$300,"E3")</f>
        <v>2</v>
      </c>
      <c r="E68" s="44">
        <f>COUNTIF('CVE Register'!$C$6:$C$300,$B68)</f>
        <v>0</v>
      </c>
      <c r="F68" s="41">
        <f>COUNTIFS('CVE Register'!$C$6:$C$300,$B68,'CVE Register'!$H$6:$H$300,"Critical")</f>
        <v>0</v>
      </c>
      <c r="G68" s="41">
        <f>COUNTIFS('CVE Register'!$C$6:$C$300,$B68,'CVE Register'!$H$6:$H$300,"High")</f>
        <v>0</v>
      </c>
      <c r="H68" s="41">
        <f t="shared" si="10"/>
        <v>0</v>
      </c>
      <c r="I68" s="1"/>
      <c r="J68" s="1"/>
    </row>
    <row r="69" ht="15.0" customHeight="1">
      <c r="A69" s="1"/>
      <c r="B69" s="103" t="s">
        <v>333</v>
      </c>
      <c r="C69" s="60">
        <f>COUNTIF('Threat Atlas'!$Y$6:$Y$300,$B69)</f>
        <v>2</v>
      </c>
      <c r="D69" s="60">
        <f>COUNTIFS('Threat Atlas'!$Y$6:$Y$300,$B69,'Threat Atlas'!$O$6:$O$300,"E2")+COUNTIFS('Threat Atlas'!$Y$6:$Y$300,$B69,'Threat Atlas'!$O$6:$O$300,"E3")</f>
        <v>2</v>
      </c>
      <c r="E69" s="63">
        <f>COUNTIF('CVE Register'!$C$6:$C$300,$B69)</f>
        <v>0</v>
      </c>
      <c r="F69" s="60">
        <f>COUNTIFS('CVE Register'!$C$6:$C$300,$B69,'CVE Register'!$H$6:$H$300,"Critical")</f>
        <v>0</v>
      </c>
      <c r="G69" s="60">
        <f>COUNTIFS('CVE Register'!$C$6:$C$300,$B69,'CVE Register'!$H$6:$H$300,"High")</f>
        <v>0</v>
      </c>
      <c r="H69" s="60">
        <f t="shared" si="10"/>
        <v>0</v>
      </c>
      <c r="I69" s="1"/>
      <c r="J69" s="1"/>
    </row>
    <row r="70" ht="15.0" customHeight="1">
      <c r="A70" s="1"/>
      <c r="B70" s="72" t="s">
        <v>1141</v>
      </c>
      <c r="C70" s="41">
        <f>COUNTIF('Threat Atlas'!$Y$6:$Y$300,$B70)</f>
        <v>3</v>
      </c>
      <c r="D70" s="41">
        <f>COUNTIFS('Threat Atlas'!$Y$6:$Y$300,$B70,'Threat Atlas'!$O$6:$O$300,"E2")+COUNTIFS('Threat Atlas'!$Y$6:$Y$300,$B70,'Threat Atlas'!$O$6:$O$300,"E3")</f>
        <v>1</v>
      </c>
      <c r="E70" s="44">
        <f>COUNTIF('CVE Register'!$C$6:$C$300,$B70)</f>
        <v>0</v>
      </c>
      <c r="F70" s="41">
        <f>COUNTIFS('CVE Register'!$C$6:$C$300,$B70,'CVE Register'!$H$6:$H$300,"Critical")</f>
        <v>0</v>
      </c>
      <c r="G70" s="41">
        <f>COUNTIFS('CVE Register'!$C$6:$C$300,$B70,'CVE Register'!$H$6:$H$300,"High")</f>
        <v>0</v>
      </c>
      <c r="H70" s="41">
        <f t="shared" si="10"/>
        <v>0</v>
      </c>
      <c r="I70" s="1"/>
      <c r="J70" s="1"/>
    </row>
    <row r="71" ht="15.0" customHeight="1">
      <c r="A71" s="1"/>
      <c r="B71" s="103" t="s">
        <v>896</v>
      </c>
      <c r="C71" s="60">
        <f>COUNTIF('Threat Atlas'!$Y$6:$Y$300,$B71)</f>
        <v>3</v>
      </c>
      <c r="D71" s="60">
        <f>COUNTIFS('Threat Atlas'!$Y$6:$Y$300,$B71,'Threat Atlas'!$O$6:$O$300,"E2")+COUNTIFS('Threat Atlas'!$Y$6:$Y$300,$B71,'Threat Atlas'!$O$6:$O$300,"E3")</f>
        <v>0</v>
      </c>
      <c r="E71" s="63">
        <f>COUNTIF('CVE Register'!$C$6:$C$300,$B71)</f>
        <v>0</v>
      </c>
      <c r="F71" s="60">
        <f>COUNTIFS('CVE Register'!$C$6:$C$300,$B71,'CVE Register'!$H$6:$H$300,"Critical")</f>
        <v>0</v>
      </c>
      <c r="G71" s="60">
        <f>COUNTIFS('CVE Register'!$C$6:$C$300,$B71,'CVE Register'!$H$6:$H$300,"High")</f>
        <v>0</v>
      </c>
      <c r="H71" s="60">
        <f t="shared" si="10"/>
        <v>0</v>
      </c>
      <c r="I71" s="1"/>
      <c r="J71" s="1"/>
    </row>
    <row r="72" ht="15.0" customHeight="1">
      <c r="A72" s="1"/>
      <c r="B72" s="72" t="s">
        <v>490</v>
      </c>
      <c r="C72" s="41">
        <f>COUNTIF('Threat Atlas'!$Y$6:$Y$300,$B72)</f>
        <v>1</v>
      </c>
      <c r="D72" s="41">
        <f>COUNTIFS('Threat Atlas'!$Y$6:$Y$300,$B72,'Threat Atlas'!$O$6:$O$300,"E2")+COUNTIFS('Threat Atlas'!$Y$6:$Y$300,$B72,'Threat Atlas'!$O$6:$O$300,"E3")</f>
        <v>1</v>
      </c>
      <c r="E72" s="44">
        <f>COUNTIF('CVE Register'!$C$6:$C$300,$B72)</f>
        <v>30</v>
      </c>
      <c r="F72" s="41">
        <f>COUNTIFS('CVE Register'!$C$6:$C$300,$B72,'CVE Register'!$H$6:$H$300,"Critical")</f>
        <v>6</v>
      </c>
      <c r="G72" s="41">
        <f>COUNTIFS('CVE Register'!$C$6:$C$300,$B72,'CVE Register'!$H$6:$H$300,"High")</f>
        <v>8</v>
      </c>
      <c r="H72" s="41">
        <f t="shared" si="10"/>
        <v>16</v>
      </c>
      <c r="I72" s="1"/>
      <c r="J72" s="1"/>
    </row>
    <row r="73" ht="15.0" customHeight="1">
      <c r="A73" s="1"/>
      <c r="B73" s="103" t="s">
        <v>74</v>
      </c>
      <c r="C73" s="60">
        <f>COUNTIF('Threat Atlas'!$Y$6:$Y$300,$B73)</f>
        <v>2</v>
      </c>
      <c r="D73" s="60">
        <f>COUNTIFS('Threat Atlas'!$Y$6:$Y$300,$B73,'Threat Atlas'!$O$6:$O$300,"E2")+COUNTIFS('Threat Atlas'!$Y$6:$Y$300,$B73,'Threat Atlas'!$O$6:$O$300,"E3")</f>
        <v>2</v>
      </c>
      <c r="E73" s="63">
        <f>COUNTIF('CVE Register'!$C$6:$C$300,$B73)</f>
        <v>8</v>
      </c>
      <c r="F73" s="60">
        <f>COUNTIFS('CVE Register'!$C$6:$C$300,$B73,'CVE Register'!$H$6:$H$300,"Critical")</f>
        <v>1</v>
      </c>
      <c r="G73" s="60">
        <f>COUNTIFS('CVE Register'!$C$6:$C$300,$B73,'CVE Register'!$H$6:$H$300,"High")</f>
        <v>0</v>
      </c>
      <c r="H73" s="60">
        <f t="shared" si="10"/>
        <v>7</v>
      </c>
      <c r="I73" s="1"/>
      <c r="J73" s="1"/>
    </row>
    <row r="74" ht="15.0" customHeight="1">
      <c r="A74" s="1"/>
      <c r="B74" s="72" t="s">
        <v>860</v>
      </c>
      <c r="C74" s="41">
        <f>COUNTIF('Threat Atlas'!$Y$6:$Y$300,$B74)</f>
        <v>1</v>
      </c>
      <c r="D74" s="41">
        <f>COUNTIFS('Threat Atlas'!$Y$6:$Y$300,$B74,'Threat Atlas'!$O$6:$O$300,"E2")+COUNTIFS('Threat Atlas'!$Y$6:$Y$300,$B74,'Threat Atlas'!$O$6:$O$300,"E3")</f>
        <v>1</v>
      </c>
      <c r="E74" s="44">
        <f>COUNTIF('CVE Register'!$C$6:$C$300,$B74)</f>
        <v>0</v>
      </c>
      <c r="F74" s="41">
        <f>COUNTIFS('CVE Register'!$C$6:$C$300,$B74,'CVE Register'!$H$6:$H$300,"Critical")</f>
        <v>0</v>
      </c>
      <c r="G74" s="41">
        <f>COUNTIFS('CVE Register'!$C$6:$C$300,$B74,'CVE Register'!$H$6:$H$300,"High")</f>
        <v>0</v>
      </c>
      <c r="H74" s="41">
        <f t="shared" si="10"/>
        <v>0</v>
      </c>
      <c r="I74" s="1"/>
      <c r="J74" s="1"/>
    </row>
    <row r="75" ht="15.0" customHeight="1">
      <c r="A75" s="1"/>
      <c r="B75" s="103" t="s">
        <v>1243</v>
      </c>
      <c r="C75" s="60">
        <f>COUNTIF('Threat Atlas'!$Y$6:$Y$300,$B75)</f>
        <v>2</v>
      </c>
      <c r="D75" s="60">
        <f>COUNTIFS('Threat Atlas'!$Y$6:$Y$300,$B75,'Threat Atlas'!$O$6:$O$300,"E2")+COUNTIFS('Threat Atlas'!$Y$6:$Y$300,$B75,'Threat Atlas'!$O$6:$O$300,"E3")</f>
        <v>1</v>
      </c>
      <c r="E75" s="63">
        <f>COUNTIF('CVE Register'!$C$6:$C$300,$B75)</f>
        <v>0</v>
      </c>
      <c r="F75" s="60">
        <f>COUNTIFS('CVE Register'!$C$6:$C$300,$B75,'CVE Register'!$H$6:$H$300,"Critical")</f>
        <v>0</v>
      </c>
      <c r="G75" s="60">
        <f>COUNTIFS('CVE Register'!$C$6:$C$300,$B75,'CVE Register'!$H$6:$H$300,"High")</f>
        <v>0</v>
      </c>
      <c r="H75" s="60">
        <f t="shared" si="10"/>
        <v>0</v>
      </c>
      <c r="I75" s="1"/>
      <c r="J75" s="1"/>
    </row>
    <row r="76" ht="15.0" customHeight="1">
      <c r="A76" s="1"/>
      <c r="B76" s="72" t="s">
        <v>1251</v>
      </c>
      <c r="C76" s="41">
        <f>COUNTIF('Threat Atlas'!$Y$6:$Y$300,$B76)</f>
        <v>8</v>
      </c>
      <c r="D76" s="41">
        <f>COUNTIFS('Threat Atlas'!$Y$6:$Y$300,$B76,'Threat Atlas'!$O$6:$O$300,"E2")+COUNTIFS('Threat Atlas'!$Y$6:$Y$300,$B76,'Threat Atlas'!$O$6:$O$300,"E3")</f>
        <v>0</v>
      </c>
      <c r="E76" s="44">
        <f>COUNTIF('CVE Register'!$C$6:$C$300,$B76)</f>
        <v>0</v>
      </c>
      <c r="F76" s="41">
        <f>COUNTIFS('CVE Register'!$C$6:$C$300,$B76,'CVE Register'!$H$6:$H$300,"Critical")</f>
        <v>0</v>
      </c>
      <c r="G76" s="41">
        <f>COUNTIFS('CVE Register'!$C$6:$C$300,$B76,'CVE Register'!$H$6:$H$300,"High")</f>
        <v>0</v>
      </c>
      <c r="H76" s="41">
        <f t="shared" si="10"/>
        <v>0</v>
      </c>
      <c r="I76" s="1"/>
      <c r="J76" s="1"/>
    </row>
    <row r="77" ht="15.0" customHeight="1">
      <c r="A77" s="1"/>
      <c r="B77" s="72" t="s">
        <v>85</v>
      </c>
      <c r="C77" s="44">
        <f t="shared" ref="C77:H77" si="11">SUM(C60:C76)</f>
        <v>78</v>
      </c>
      <c r="D77" s="44">
        <f t="shared" si="11"/>
        <v>32</v>
      </c>
      <c r="E77" s="44">
        <f t="shared" si="11"/>
        <v>57</v>
      </c>
      <c r="F77" s="44">
        <f t="shared" si="11"/>
        <v>12</v>
      </c>
      <c r="G77" s="44">
        <f t="shared" si="11"/>
        <v>18</v>
      </c>
      <c r="H77" s="44">
        <f t="shared" si="11"/>
        <v>27</v>
      </c>
      <c r="I77" s="1"/>
      <c r="J77" s="1"/>
    </row>
    <row r="78" ht="15.0" customHeight="1">
      <c r="A78" s="1"/>
      <c r="B78" s="16" t="s">
        <v>1272</v>
      </c>
      <c r="C78" s="1"/>
      <c r="D78" s="1"/>
      <c r="E78" s="1"/>
      <c r="F78" s="1"/>
      <c r="G78" s="1"/>
      <c r="H78" s="1"/>
      <c r="I78" s="1"/>
      <c r="J78" s="1"/>
    </row>
    <row r="79" ht="15.75" customHeight="1">
      <c r="A79" s="1"/>
      <c r="B79" s="1"/>
      <c r="C79" s="1"/>
      <c r="D79" s="1"/>
      <c r="E79" s="1"/>
      <c r="F79" s="1"/>
      <c r="G79" s="1"/>
      <c r="H79" s="1"/>
      <c r="I79" s="1"/>
      <c r="J79" s="1"/>
    </row>
    <row r="80" ht="15.0" customHeight="1">
      <c r="A80" s="1"/>
      <c r="B80" s="36" t="s">
        <v>1276</v>
      </c>
      <c r="C80" s="1"/>
      <c r="D80" s="1"/>
      <c r="E80" s="1"/>
      <c r="F80" s="1"/>
      <c r="G80" s="1"/>
      <c r="H80" s="1"/>
      <c r="I80" s="1"/>
      <c r="J80" s="1"/>
    </row>
    <row r="81" ht="30.0" customHeight="1">
      <c r="A81" s="1"/>
      <c r="B81" s="38" t="s">
        <v>1277</v>
      </c>
      <c r="C81" s="39" t="s">
        <v>6</v>
      </c>
      <c r="D81" s="39" t="s">
        <v>900</v>
      </c>
      <c r="E81" s="39" t="s">
        <v>901</v>
      </c>
      <c r="F81" s="39" t="s">
        <v>794</v>
      </c>
      <c r="G81" s="39" t="s">
        <v>804</v>
      </c>
      <c r="H81" s="39" t="s">
        <v>902</v>
      </c>
      <c r="I81" s="1"/>
      <c r="J81" s="1"/>
    </row>
    <row r="82" ht="15.0" customHeight="1">
      <c r="A82" s="1"/>
      <c r="B82" s="72" t="s">
        <v>1278</v>
      </c>
      <c r="C82" s="41">
        <f>COUNTIF('Threat Atlas'!$AL$6:$AL$300,"*A3.1*")</f>
        <v>0</v>
      </c>
      <c r="D82" s="41">
        <f>COUNTIFS('Threat Atlas'!$AL$6:$AL$300,"*A3.1*",'Threat Atlas'!$O$6:$O$300,"E2")+COUNTIFS('Threat Atlas'!$AL$6:$AL$300,"*A3.1*",'Threat Atlas'!$O$6:$O$300,"E3")</f>
        <v>0</v>
      </c>
      <c r="E82" s="44">
        <f>COUNTIF('CVE Register'!$W$6:$W$300,"*A3.1*")</f>
        <v>0</v>
      </c>
      <c r="F82" s="41">
        <f>COUNTIFS('CVE Register'!$W$6:$W$300,"*A3.1*",'CVE Register'!$H$6:$H$300,"Critical")</f>
        <v>0</v>
      </c>
      <c r="G82" s="41">
        <f>COUNTIFS('CVE Register'!$W$6:$W$300,"*A3.1*",'CVE Register'!$H$6:$H$300,"High")</f>
        <v>0</v>
      </c>
      <c r="H82" s="41">
        <f t="shared" ref="H82:H88" si="12">E82-F82-G82</f>
        <v>0</v>
      </c>
      <c r="I82" s="1"/>
      <c r="J82" s="1"/>
    </row>
    <row r="83" ht="15.0" customHeight="1">
      <c r="A83" s="1"/>
      <c r="B83" s="72" t="s">
        <v>1304</v>
      </c>
      <c r="C83" s="41">
        <f>COUNTIF('Threat Atlas'!$AL$6:$AL$300,"*A3.2*")</f>
        <v>0</v>
      </c>
      <c r="D83" s="41">
        <f>COUNTIFS('Threat Atlas'!$AL$6:$AL$300,"*A3.2*",'Threat Atlas'!$O$6:$O$300,"E2")+COUNTIFS('Threat Atlas'!$AL$6:$AL$300,"*A3.2*",'Threat Atlas'!$O$6:$O$300,"E3")</f>
        <v>0</v>
      </c>
      <c r="E83" s="44">
        <f>COUNTIF('CVE Register'!$W$6:$W$300,"*A3.2*")</f>
        <v>0</v>
      </c>
      <c r="F83" s="41">
        <f>COUNTIFS('CVE Register'!$W$6:$W$300,"*A3.2*",'CVE Register'!$H$6:$H$300,"Critical")</f>
        <v>0</v>
      </c>
      <c r="G83" s="41">
        <f>COUNTIFS('CVE Register'!$W$6:$W$300,"*A3.2*",'CVE Register'!$H$6:$H$300,"High")</f>
        <v>0</v>
      </c>
      <c r="H83" s="41">
        <f t="shared" si="12"/>
        <v>0</v>
      </c>
      <c r="I83" s="1"/>
      <c r="J83" s="1"/>
    </row>
    <row r="84" ht="15.0" customHeight="1">
      <c r="A84" s="1"/>
      <c r="B84" s="72" t="s">
        <v>1326</v>
      </c>
      <c r="C84" s="41">
        <f>COUNTIF('Threat Atlas'!$AL$6:$AL$300,"*A3.3*")</f>
        <v>4</v>
      </c>
      <c r="D84" s="41">
        <f>COUNTIFS('Threat Atlas'!$AL$6:$AL$300,"*A3.3*",'Threat Atlas'!$O$6:$O$300,"E2")+COUNTIFS('Threat Atlas'!$AL$6:$AL$300,"*A3.3*",'Threat Atlas'!$O$6:$O$300,"E3")</f>
        <v>3</v>
      </c>
      <c r="E84" s="44">
        <f>COUNTIF('CVE Register'!$W$6:$W$300,"*A3.3*")</f>
        <v>0</v>
      </c>
      <c r="F84" s="41">
        <f>COUNTIFS('CVE Register'!$W$6:$W$300,"*A3.3*",'CVE Register'!$H$6:$H$300,"Critical")</f>
        <v>0</v>
      </c>
      <c r="G84" s="41">
        <f>COUNTIFS('CVE Register'!$W$6:$W$300,"*A3.3*",'CVE Register'!$H$6:$H$300,"High")</f>
        <v>0</v>
      </c>
      <c r="H84" s="41">
        <f t="shared" si="12"/>
        <v>0</v>
      </c>
      <c r="I84" s="1"/>
      <c r="J84" s="1"/>
    </row>
    <row r="85" ht="15.0" customHeight="1">
      <c r="A85" s="1"/>
      <c r="B85" s="72" t="s">
        <v>1342</v>
      </c>
      <c r="C85" s="41">
        <f>COUNTIF('Threat Atlas'!$AL$6:$AL$300,"*A3.4*")</f>
        <v>0</v>
      </c>
      <c r="D85" s="41">
        <f>COUNTIFS('Threat Atlas'!$AL$6:$AL$300,"*A3.4*",'Threat Atlas'!$O$6:$O$300,"E2")+COUNTIFS('Threat Atlas'!$AL$6:$AL$300,"*A3.4*",'Threat Atlas'!$O$6:$O$300,"E3")</f>
        <v>0</v>
      </c>
      <c r="E85" s="44">
        <f>COUNTIF('CVE Register'!$W$6:$W$300,"*A3.4*")</f>
        <v>0</v>
      </c>
      <c r="F85" s="41">
        <f>COUNTIFS('CVE Register'!$W$6:$W$300,"*A3.4*",'CVE Register'!$H$6:$H$300,"Critical")</f>
        <v>0</v>
      </c>
      <c r="G85" s="41">
        <f>COUNTIFS('CVE Register'!$W$6:$W$300,"*A3.4*",'CVE Register'!$H$6:$H$300,"High")</f>
        <v>0</v>
      </c>
      <c r="H85" s="41">
        <f t="shared" si="12"/>
        <v>0</v>
      </c>
      <c r="I85" s="1"/>
      <c r="J85" s="1"/>
    </row>
    <row r="86" ht="15.0" customHeight="1">
      <c r="A86" s="1"/>
      <c r="B86" s="72" t="s">
        <v>1352</v>
      </c>
      <c r="C86" s="41">
        <f>COUNTIF('Threat Atlas'!$AL$6:$AL$300,"*A3.5*")</f>
        <v>3</v>
      </c>
      <c r="D86" s="41">
        <f>COUNTIFS('Threat Atlas'!$AL$6:$AL$300,"*A3.5*",'Threat Atlas'!$O$6:$O$300,"E2")+COUNTIFS('Threat Atlas'!$AL$6:$AL$300,"*A3.5*",'Threat Atlas'!$O$6:$O$300,"E3")</f>
        <v>2</v>
      </c>
      <c r="E86" s="44">
        <f>COUNTIF('CVE Register'!$W$6:$W$300,"*A3.5*")</f>
        <v>0</v>
      </c>
      <c r="F86" s="41">
        <f>COUNTIFS('CVE Register'!$W$6:$W$300,"*A3.5*",'CVE Register'!$H$6:$H$300,"Critical")</f>
        <v>0</v>
      </c>
      <c r="G86" s="41">
        <f>COUNTIFS('CVE Register'!$W$6:$W$300,"*A3.5*",'CVE Register'!$H$6:$H$300,"High")</f>
        <v>0</v>
      </c>
      <c r="H86" s="41">
        <f t="shared" si="12"/>
        <v>0</v>
      </c>
      <c r="I86" s="1"/>
      <c r="J86" s="1"/>
    </row>
    <row r="87" ht="15.0" customHeight="1">
      <c r="A87" s="1"/>
      <c r="B87" s="72" t="s">
        <v>1365</v>
      </c>
      <c r="C87" s="41">
        <f>COUNTIF('Threat Atlas'!$AL$6:$AL$300,"*A3.6*")</f>
        <v>0</v>
      </c>
      <c r="D87" s="41">
        <f>COUNTIFS('Threat Atlas'!$AL$6:$AL$300,"*A3.6*",'Threat Atlas'!$O$6:$O$300,"E2")+COUNTIFS('Threat Atlas'!$AL$6:$AL$300,"*A3.6*",'Threat Atlas'!$O$6:$O$300,"E3")</f>
        <v>0</v>
      </c>
      <c r="E87" s="44">
        <f>COUNTIF('CVE Register'!$W$6:$W$300,"*A3.6*")</f>
        <v>0</v>
      </c>
      <c r="F87" s="41">
        <f>COUNTIFS('CVE Register'!$W$6:$W$300,"*A3.6*",'CVE Register'!$H$6:$H$300,"Critical")</f>
        <v>0</v>
      </c>
      <c r="G87" s="41">
        <f>COUNTIFS('CVE Register'!$W$6:$W$300,"*A3.6*",'CVE Register'!$H$6:$H$300,"High")</f>
        <v>0</v>
      </c>
      <c r="H87" s="41">
        <f t="shared" si="12"/>
        <v>0</v>
      </c>
      <c r="I87" s="1"/>
      <c r="J87" s="1"/>
    </row>
    <row r="88" ht="15.0" customHeight="1">
      <c r="A88" s="1"/>
      <c r="B88" s="72" t="s">
        <v>1377</v>
      </c>
      <c r="C88" s="41">
        <f>COUNTIF('Threat Atlas'!$AL$6:$AL$300,"*A3.7*")</f>
        <v>1</v>
      </c>
      <c r="D88" s="41">
        <f>COUNTIFS('Threat Atlas'!$AL$6:$AL$300,"*A3.7*",'Threat Atlas'!$O$6:$O$300,"E2")+COUNTIFS('Threat Atlas'!$AL$6:$AL$300,"*A3.7*",'Threat Atlas'!$O$6:$O$300,"E3")</f>
        <v>1</v>
      </c>
      <c r="E88" s="44">
        <f>COUNTIF('CVE Register'!$W$6:$W$300,"*A3.7*")</f>
        <v>0</v>
      </c>
      <c r="F88" s="41">
        <f>COUNTIFS('CVE Register'!$W$6:$W$300,"*A3.7*",'CVE Register'!$H$6:$H$300,"Critical")</f>
        <v>0</v>
      </c>
      <c r="G88" s="41">
        <f>COUNTIFS('CVE Register'!$W$6:$W$300,"*A3.7*",'CVE Register'!$H$6:$H$300,"High")</f>
        <v>0</v>
      </c>
      <c r="H88" s="41">
        <f t="shared" si="12"/>
        <v>0</v>
      </c>
      <c r="I88" s="1"/>
      <c r="J88" s="1"/>
    </row>
    <row r="89" ht="39.75" customHeight="1">
      <c r="A89" s="1"/>
      <c r="B89" s="120" t="s">
        <v>1400</v>
      </c>
      <c r="I89" s="1"/>
      <c r="J89" s="1"/>
    </row>
    <row r="90" ht="15.75" customHeight="1">
      <c r="A90" s="1"/>
      <c r="B90" s="1"/>
      <c r="C90" s="1"/>
      <c r="D90" s="1"/>
      <c r="E90" s="1"/>
      <c r="F90" s="1"/>
      <c r="G90" s="1"/>
      <c r="H90" s="1"/>
      <c r="I90" s="1"/>
      <c r="J90" s="1"/>
    </row>
    <row r="91" ht="15.0" customHeight="1">
      <c r="A91" s="1"/>
      <c r="B91" s="36" t="s">
        <v>1402</v>
      </c>
      <c r="C91" s="1"/>
      <c r="D91" s="1"/>
      <c r="E91" s="1"/>
      <c r="F91" s="1"/>
      <c r="G91" s="1"/>
      <c r="H91" s="1"/>
      <c r="I91" s="1"/>
      <c r="J91" s="1"/>
    </row>
    <row r="92" ht="30.0" customHeight="1">
      <c r="A92" s="1"/>
      <c r="B92" s="38" t="s">
        <v>1405</v>
      </c>
      <c r="C92" s="39" t="s">
        <v>1406</v>
      </c>
      <c r="D92" s="1"/>
      <c r="E92" s="1"/>
      <c r="F92" s="1"/>
      <c r="G92" s="1"/>
      <c r="H92" s="1"/>
      <c r="I92" s="1"/>
      <c r="J92" s="1"/>
    </row>
    <row r="93" ht="15.0" customHeight="1">
      <c r="A93" s="1"/>
      <c r="B93" s="74" t="s">
        <v>1407</v>
      </c>
      <c r="C93" s="44">
        <f>COUNTA(Mitigations!$A$6:$A$300)</f>
        <v>25</v>
      </c>
      <c r="D93" s="1"/>
      <c r="E93" s="1"/>
      <c r="F93" s="1"/>
      <c r="G93" s="1"/>
      <c r="H93" s="1"/>
      <c r="I93" s="1"/>
      <c r="J93" s="1"/>
    </row>
    <row r="94" ht="15.0" customHeight="1">
      <c r="A94" s="1"/>
      <c r="B94" s="79" t="s">
        <v>1417</v>
      </c>
      <c r="C94" s="63">
        <f>COUNTIF(Mitigations!$M$6:$M$300,"&gt;0")</f>
        <v>25</v>
      </c>
      <c r="D94" s="1"/>
      <c r="E94" s="1"/>
      <c r="F94" s="1"/>
      <c r="G94" s="1"/>
      <c r="H94" s="1"/>
      <c r="I94" s="1"/>
      <c r="J94" s="1"/>
    </row>
    <row r="95" ht="15.0" customHeight="1">
      <c r="A95" s="1"/>
      <c r="B95" s="74" t="s">
        <v>1418</v>
      </c>
      <c r="C95" s="44">
        <f>COUNTIFS('Threat Atlas'!$A$6:$A$300,"&lt;&gt;",'Threat Atlas'!$AI$6:$AI$300,"")</f>
        <v>0</v>
      </c>
      <c r="D95" s="1"/>
      <c r="E95" s="1"/>
      <c r="F95" s="1"/>
      <c r="G95" s="1"/>
      <c r="H95" s="1"/>
      <c r="I95" s="1"/>
      <c r="J95" s="1"/>
    </row>
    <row r="96" ht="15.0" customHeight="1">
      <c r="A96" s="1"/>
      <c r="B96" s="79" t="s">
        <v>1425</v>
      </c>
      <c r="C96" s="63">
        <f>COUNTIF(Mitigations!$C$6:$C$300,"Standard")+COUNTIF(Mitigations!$C$6:$C$300,"Regulation")+COUNTIF(Mitigations!$C$6:$C$300,"Guidance")+COUNTIF(Mitigations!$C$6:$C$300,"Advisory")+COUNTIF(Mitigations!$C$6:$C$300,"Operational service")</f>
        <v>14</v>
      </c>
      <c r="D96" s="1"/>
      <c r="E96" s="1"/>
      <c r="F96" s="1"/>
      <c r="G96" s="1"/>
      <c r="H96" s="1"/>
      <c r="I96" s="1"/>
      <c r="J96" s="1"/>
    </row>
    <row r="97" ht="15.0" customHeight="1">
      <c r="A97" s="1"/>
      <c r="B97" s="74" t="s">
        <v>1431</v>
      </c>
      <c r="C97" s="44">
        <f>COUNTIF(Mitigations!$C$6:$C$300,"Research*")</f>
        <v>8</v>
      </c>
      <c r="D97" s="1"/>
      <c r="E97" s="1"/>
      <c r="F97" s="1"/>
      <c r="G97" s="1"/>
      <c r="H97" s="1"/>
      <c r="I97" s="1"/>
      <c r="J97" s="1"/>
    </row>
    <row r="98" ht="15.75" customHeight="1">
      <c r="A98" s="1"/>
      <c r="B98" s="1"/>
      <c r="C98" s="1"/>
      <c r="D98" s="1"/>
      <c r="E98" s="1"/>
      <c r="F98" s="1"/>
      <c r="G98" s="1"/>
      <c r="H98" s="1"/>
      <c r="I98" s="1"/>
      <c r="J98" s="1"/>
    </row>
    <row r="99" ht="15.0" customHeight="1">
      <c r="A99" s="1"/>
      <c r="B99" s="36" t="s">
        <v>1433</v>
      </c>
      <c r="C99" s="1"/>
      <c r="D99" s="1"/>
      <c r="E99" s="1"/>
      <c r="F99" s="1"/>
      <c r="G99" s="1"/>
      <c r="H99" s="1"/>
      <c r="I99" s="1"/>
      <c r="J99" s="1"/>
    </row>
    <row r="100" ht="15.0" customHeight="1">
      <c r="A100" s="1"/>
      <c r="B100" s="121" t="s">
        <v>1441</v>
      </c>
      <c r="C100" s="44" t="str">
        <f>IF(E13=B6,"OK","MISMATCH")</f>
        <v>OK</v>
      </c>
      <c r="D100" s="1"/>
      <c r="E100" s="1"/>
      <c r="F100" s="1"/>
      <c r="G100" s="1"/>
      <c r="H100" s="1"/>
      <c r="I100" s="1"/>
      <c r="J100" s="1"/>
    </row>
    <row r="101" ht="15.0" customHeight="1">
      <c r="A101" s="1"/>
      <c r="B101" s="122" t="s">
        <v>1444</v>
      </c>
      <c r="C101" s="63" t="str">
        <f>IF(C25=B6,"OK","MISMATCH")</f>
        <v>OK</v>
      </c>
      <c r="D101" s="1"/>
      <c r="E101" s="1"/>
      <c r="F101" s="1"/>
      <c r="G101" s="1"/>
      <c r="H101" s="1"/>
      <c r="I101" s="1"/>
      <c r="J101" s="1"/>
    </row>
    <row r="102" ht="15.0" customHeight="1">
      <c r="A102" s="1"/>
      <c r="B102" s="121" t="s">
        <v>1453</v>
      </c>
      <c r="C102" s="44" t="str">
        <f>IF(AND(C33=B6,D33=B6),"OK","MISMATCH")</f>
        <v>OK</v>
      </c>
      <c r="D102" s="1"/>
      <c r="E102" s="1"/>
      <c r="F102" s="1"/>
      <c r="G102" s="1"/>
      <c r="H102" s="1"/>
      <c r="I102" s="1"/>
      <c r="J102" s="1"/>
    </row>
    <row r="103" ht="15.0" customHeight="1">
      <c r="A103" s="1"/>
      <c r="B103" s="122" t="s">
        <v>1456</v>
      </c>
      <c r="C103" s="63" t="str">
        <f>IF(AND(C47=B6,G47=B6),"OK","MISMATCH")</f>
        <v>OK</v>
      </c>
      <c r="D103" s="1"/>
      <c r="E103" s="1"/>
      <c r="F103" s="1"/>
      <c r="G103" s="1"/>
      <c r="H103" s="1"/>
      <c r="I103" s="1"/>
      <c r="J103" s="1"/>
    </row>
    <row r="104" ht="15.0" customHeight="1">
      <c r="A104" s="1"/>
      <c r="B104" s="121" t="s">
        <v>1457</v>
      </c>
      <c r="C104" s="44" t="str">
        <f>IF(C6+D6=B6,"OK","MISMATCH")</f>
        <v>OK</v>
      </c>
      <c r="D104" s="1"/>
      <c r="E104" s="1"/>
      <c r="F104" s="1"/>
      <c r="G104" s="1"/>
      <c r="H104" s="1"/>
      <c r="I104" s="1"/>
      <c r="J104" s="1"/>
    </row>
    <row r="105" ht="15.0" customHeight="1">
      <c r="A105" s="1"/>
      <c r="B105" s="122" t="s">
        <v>1462</v>
      </c>
      <c r="C105" s="63" t="str">
        <f>IF(G56=E6,"OK","MISMATCH")</f>
        <v>OK</v>
      </c>
      <c r="D105" s="1"/>
      <c r="E105" s="1"/>
      <c r="F105" s="1"/>
      <c r="G105" s="1"/>
      <c r="H105" s="1"/>
      <c r="I105" s="1"/>
      <c r="J105" s="1"/>
    </row>
    <row r="106" ht="15.0" customHeight="1">
      <c r="A106" s="1"/>
      <c r="B106" s="121" t="s">
        <v>1463</v>
      </c>
      <c r="C106" s="44" t="str">
        <f>IF(COUNTIF('CVE Register'!$Q$6:$Q$300,"not found")=0,"OK","MISMATCH")</f>
        <v>OK</v>
      </c>
      <c r="D106" s="1"/>
      <c r="E106" s="1"/>
      <c r="F106" s="1"/>
      <c r="G106" s="1"/>
      <c r="H106" s="1"/>
      <c r="I106" s="1"/>
      <c r="J106" s="1"/>
    </row>
    <row r="107" ht="15.0" customHeight="1">
      <c r="A107" s="1"/>
      <c r="B107" s="122" t="s">
        <v>1467</v>
      </c>
      <c r="C107" s="63" t="str">
        <f>IF(SUM('Threat Atlas'!$AH$6:$AH$300)=COUNTIF('CVE Register'!$P$6:$P$300,"&gt;0"),"OK","MISMATCH")</f>
        <v>OK</v>
      </c>
      <c r="D107" s="1"/>
      <c r="E107" s="1"/>
      <c r="F107" s="1"/>
      <c r="G107" s="1"/>
      <c r="H107" s="1"/>
      <c r="I107" s="1"/>
      <c r="J107" s="1"/>
    </row>
    <row r="108" ht="15.0" customHeight="1">
      <c r="A108" s="1"/>
      <c r="B108" s="121" t="s">
        <v>1474</v>
      </c>
      <c r="C108" s="44" t="str">
        <f>IF(AND(C77=B6,E77=E6),"OK","MISMATCH")</f>
        <v>OK</v>
      </c>
      <c r="D108" s="1"/>
      <c r="E108" s="1"/>
      <c r="F108" s="1"/>
      <c r="G108" s="1"/>
      <c r="H108" s="1"/>
      <c r="I108" s="1"/>
      <c r="J108" s="1"/>
    </row>
    <row r="109" ht="15.0" customHeight="1">
      <c r="A109" s="1"/>
      <c r="B109" s="122" t="s">
        <v>1476</v>
      </c>
      <c r="C109" s="63" t="str">
        <f>IF('Gap Matrix'!M11=B6,"OK","MISMATCH")</f>
        <v>OK</v>
      </c>
      <c r="D109" s="1"/>
      <c r="E109" s="1"/>
      <c r="F109" s="1"/>
      <c r="G109" s="1"/>
      <c r="H109" s="1"/>
      <c r="I109" s="1"/>
      <c r="J109" s="1"/>
    </row>
    <row r="110" ht="15.75" customHeight="1">
      <c r="A110" s="1"/>
      <c r="B110" s="122" t="s">
        <v>1477</v>
      </c>
      <c r="C110" s="63" t="str">
        <f>IF(AND(COUNTA('Asset Register'!$A$6:$A$32)=27,COUNTIF('Asset Register'!$C$6:$C$32,"L3")=7),"OK","MISMATCH")</f>
        <v>OK</v>
      </c>
      <c r="D110" s="1"/>
      <c r="E110" s="1"/>
      <c r="F110" s="1"/>
      <c r="G110" s="1"/>
      <c r="H110" s="1"/>
      <c r="I110" s="1"/>
      <c r="J110" s="1"/>
    </row>
    <row r="111" ht="15.75" customHeight="1">
      <c r="A111" s="1"/>
      <c r="B111" s="1"/>
      <c r="C111" s="1"/>
      <c r="D111" s="1"/>
      <c r="E111" s="1"/>
      <c r="F111" s="1"/>
      <c r="G111" s="1"/>
      <c r="H111" s="1"/>
      <c r="I111" s="1"/>
      <c r="J111" s="1"/>
    </row>
    <row r="112" ht="15.0" customHeight="1">
      <c r="A112" s="1"/>
      <c r="B112" s="36" t="s">
        <v>1479</v>
      </c>
      <c r="C112" s="1"/>
      <c r="D112" s="1"/>
      <c r="E112" s="1"/>
      <c r="F112" s="1"/>
      <c r="G112" s="1"/>
      <c r="H112" s="1"/>
      <c r="I112" s="1"/>
      <c r="J112" s="1"/>
    </row>
    <row r="113" ht="25.5" customHeight="1">
      <c r="A113" s="1"/>
      <c r="B113" s="123" t="s">
        <v>1480</v>
      </c>
      <c r="I113" s="1"/>
      <c r="J113" s="1"/>
    </row>
    <row r="114" ht="25.5" customHeight="1">
      <c r="A114" s="1"/>
      <c r="B114" s="123" t="s">
        <v>1481</v>
      </c>
      <c r="I114" s="1"/>
      <c r="J114" s="1"/>
    </row>
    <row r="115" ht="25.5" customHeight="1">
      <c r="A115" s="1"/>
      <c r="B115" s="123" t="s">
        <v>1482</v>
      </c>
      <c r="I115" s="1"/>
      <c r="J115" s="1"/>
    </row>
    <row r="116" ht="25.5" customHeight="1">
      <c r="A116" s="1"/>
      <c r="B116" s="123" t="s">
        <v>1486</v>
      </c>
      <c r="I116" s="1"/>
      <c r="J116" s="1"/>
    </row>
    <row r="117" ht="13.5" customHeight="1">
      <c r="A117" s="1"/>
      <c r="B117" s="123" t="s">
        <v>1488</v>
      </c>
      <c r="I117" s="1"/>
      <c r="J117" s="1"/>
    </row>
    <row r="118" ht="15.75" customHeight="1">
      <c r="A118" s="1"/>
      <c r="B118" s="1"/>
      <c r="C118" s="1"/>
      <c r="D118" s="1"/>
      <c r="E118" s="1"/>
      <c r="F118" s="1"/>
      <c r="G118" s="1"/>
      <c r="H118" s="1"/>
      <c r="I118" s="1"/>
      <c r="J118" s="1"/>
    </row>
    <row r="119" ht="15.75" customHeight="1">
      <c r="A119" s="1"/>
      <c r="B119" s="1"/>
      <c r="C119" s="1"/>
      <c r="D119" s="1"/>
      <c r="E119" s="1"/>
      <c r="F119" s="1"/>
      <c r="G119" s="1"/>
      <c r="H119" s="1"/>
      <c r="I119" s="1"/>
      <c r="J119" s="1"/>
    </row>
    <row r="120" ht="15.75" customHeight="1">
      <c r="A120" s="1"/>
      <c r="B120" s="1"/>
      <c r="C120" s="1"/>
      <c r="D120" s="1"/>
      <c r="E120" s="1"/>
      <c r="F120" s="1"/>
      <c r="G120" s="1"/>
      <c r="H120" s="1"/>
      <c r="I120" s="1"/>
      <c r="J120" s="1"/>
    </row>
    <row r="121" ht="15.75" customHeight="1">
      <c r="A121" s="1"/>
      <c r="B121" s="1"/>
      <c r="C121" s="1"/>
      <c r="D121" s="1"/>
      <c r="E121" s="1"/>
      <c r="F121" s="1"/>
      <c r="G121" s="1"/>
      <c r="H121" s="1"/>
      <c r="I121" s="1"/>
      <c r="J121" s="1"/>
    </row>
    <row r="122" ht="15.75" customHeight="1">
      <c r="A122" s="1"/>
      <c r="B122" s="1"/>
      <c r="C122" s="1"/>
      <c r="D122" s="1"/>
      <c r="E122" s="1"/>
      <c r="F122" s="1"/>
      <c r="G122" s="1"/>
      <c r="H122" s="1"/>
      <c r="I122" s="1"/>
      <c r="J122" s="1"/>
    </row>
    <row r="123" ht="15.75" customHeight="1">
      <c r="A123" s="1"/>
      <c r="B123" s="1"/>
      <c r="C123" s="1"/>
      <c r="D123" s="1"/>
      <c r="E123" s="1"/>
      <c r="F123" s="1"/>
      <c r="G123" s="1"/>
      <c r="H123" s="1"/>
      <c r="I123" s="1"/>
      <c r="J123" s="1"/>
    </row>
    <row r="124" ht="15.75" customHeight="1">
      <c r="A124" s="1"/>
      <c r="B124" s="1"/>
      <c r="C124" s="1"/>
      <c r="D124" s="1"/>
      <c r="E124" s="1"/>
      <c r="F124" s="1"/>
      <c r="G124" s="1"/>
      <c r="H124" s="1"/>
      <c r="I124" s="1"/>
      <c r="J124" s="1"/>
    </row>
    <row r="125" ht="15.75" customHeight="1">
      <c r="A125" s="1"/>
      <c r="B125" s="1"/>
      <c r="C125" s="1"/>
      <c r="D125" s="1"/>
      <c r="E125" s="1"/>
      <c r="F125" s="1"/>
      <c r="G125" s="1"/>
      <c r="H125" s="1"/>
      <c r="I125" s="1"/>
      <c r="J125" s="1"/>
    </row>
    <row r="126" ht="15.75" customHeight="1">
      <c r="A126" s="1"/>
      <c r="B126" s="1"/>
      <c r="C126" s="1"/>
      <c r="D126" s="1"/>
      <c r="E126" s="1"/>
      <c r="F126" s="1"/>
      <c r="G126" s="1"/>
      <c r="H126" s="1"/>
      <c r="I126" s="1"/>
      <c r="J126" s="1"/>
    </row>
    <row r="127" ht="15.75" customHeight="1">
      <c r="A127" s="1"/>
      <c r="B127" s="1"/>
      <c r="C127" s="1"/>
      <c r="D127" s="1"/>
      <c r="E127" s="1"/>
      <c r="F127" s="1"/>
      <c r="G127" s="1"/>
      <c r="H127" s="1"/>
      <c r="I127" s="1"/>
      <c r="J127" s="1"/>
    </row>
    <row r="128" ht="15.75" customHeight="1">
      <c r="A128" s="1"/>
      <c r="B128" s="1"/>
      <c r="C128" s="1"/>
      <c r="D128" s="1"/>
      <c r="E128" s="1"/>
      <c r="F128" s="1"/>
      <c r="G128" s="1"/>
      <c r="H128" s="1"/>
      <c r="I128" s="1"/>
      <c r="J128" s="1"/>
    </row>
    <row r="129" ht="15.75" customHeight="1">
      <c r="A129" s="1"/>
      <c r="B129" s="1"/>
      <c r="C129" s="1"/>
      <c r="D129" s="1"/>
      <c r="E129" s="1"/>
      <c r="F129" s="1"/>
      <c r="G129" s="1"/>
      <c r="H129" s="1"/>
      <c r="I129" s="1"/>
      <c r="J129" s="1"/>
    </row>
    <row r="130" ht="15.75" customHeight="1">
      <c r="A130" s="1"/>
      <c r="B130" s="1"/>
      <c r="C130" s="1"/>
      <c r="D130" s="1"/>
      <c r="E130" s="1"/>
      <c r="F130" s="1"/>
      <c r="G130" s="1"/>
      <c r="H130" s="1"/>
      <c r="I130" s="1"/>
      <c r="J130" s="1"/>
    </row>
    <row r="131" ht="15.75" customHeight="1">
      <c r="A131" s="1"/>
      <c r="B131" s="1"/>
      <c r="C131" s="1"/>
      <c r="D131" s="1"/>
      <c r="E131" s="1"/>
      <c r="F131" s="1"/>
      <c r="G131" s="1"/>
      <c r="H131" s="1"/>
      <c r="I131" s="1"/>
      <c r="J131" s="1"/>
    </row>
    <row r="132" ht="15.75" customHeight="1">
      <c r="A132" s="1"/>
      <c r="B132" s="1"/>
      <c r="C132" s="1"/>
      <c r="D132" s="1"/>
      <c r="E132" s="1"/>
      <c r="F132" s="1"/>
      <c r="G132" s="1"/>
      <c r="H132" s="1"/>
      <c r="I132" s="1"/>
      <c r="J132" s="1"/>
    </row>
    <row r="133" ht="15.75" customHeight="1">
      <c r="A133" s="1"/>
      <c r="B133" s="1"/>
      <c r="C133" s="1"/>
      <c r="D133" s="1"/>
      <c r="E133" s="1"/>
      <c r="F133" s="1"/>
      <c r="G133" s="1"/>
      <c r="H133" s="1"/>
      <c r="I133" s="1"/>
      <c r="J133" s="1"/>
    </row>
    <row r="134" ht="15.75" customHeight="1">
      <c r="A134" s="1"/>
      <c r="B134" s="1"/>
      <c r="C134" s="1"/>
      <c r="D134" s="1"/>
      <c r="E134" s="1"/>
      <c r="F134" s="1"/>
      <c r="G134" s="1"/>
      <c r="H134" s="1"/>
      <c r="I134" s="1"/>
      <c r="J134" s="1"/>
    </row>
    <row r="135" ht="15.75" customHeight="1">
      <c r="A135" s="1"/>
      <c r="B135" s="1"/>
      <c r="C135" s="1"/>
      <c r="D135" s="1"/>
      <c r="E135" s="1"/>
      <c r="F135" s="1"/>
      <c r="G135" s="1"/>
      <c r="H135" s="1"/>
      <c r="I135" s="1"/>
      <c r="J135" s="1"/>
    </row>
    <row r="136" ht="15.75" customHeight="1">
      <c r="A136" s="1"/>
      <c r="B136" s="1"/>
      <c r="C136" s="1"/>
      <c r="D136" s="1"/>
      <c r="E136" s="1"/>
      <c r="F136" s="1"/>
      <c r="G136" s="1"/>
      <c r="H136" s="1"/>
      <c r="I136" s="1"/>
      <c r="J136" s="1"/>
    </row>
    <row r="137" ht="15.75" customHeight="1">
      <c r="A137" s="1"/>
      <c r="B137" s="1"/>
      <c r="C137" s="1"/>
      <c r="D137" s="1"/>
      <c r="E137" s="1"/>
      <c r="F137" s="1"/>
      <c r="G137" s="1"/>
      <c r="H137" s="1"/>
      <c r="I137" s="1"/>
      <c r="J137" s="1"/>
    </row>
    <row r="138" ht="15.75" customHeight="1">
      <c r="A138" s="1"/>
      <c r="B138" s="1"/>
      <c r="C138" s="1"/>
      <c r="D138" s="1"/>
      <c r="E138" s="1"/>
      <c r="F138" s="1"/>
      <c r="G138" s="1"/>
      <c r="H138" s="1"/>
      <c r="I138" s="1"/>
      <c r="J138" s="1"/>
    </row>
    <row r="139" ht="15.75" customHeight="1">
      <c r="A139" s="1"/>
      <c r="B139" s="1"/>
      <c r="C139" s="1"/>
      <c r="D139" s="1"/>
      <c r="E139" s="1"/>
      <c r="F139" s="1"/>
      <c r="G139" s="1"/>
      <c r="H139" s="1"/>
      <c r="I139" s="1"/>
      <c r="J139" s="1"/>
    </row>
    <row r="140" ht="15.75" customHeight="1">
      <c r="A140" s="1"/>
      <c r="B140" s="1"/>
      <c r="C140" s="1"/>
      <c r="D140" s="1"/>
      <c r="E140" s="1"/>
      <c r="F140" s="1"/>
      <c r="G140" s="1"/>
      <c r="H140" s="1"/>
      <c r="I140" s="1"/>
      <c r="J140" s="1"/>
    </row>
    <row r="141" ht="15.75" customHeight="1">
      <c r="A141" s="1"/>
      <c r="B141" s="1"/>
      <c r="C141" s="1"/>
      <c r="D141" s="1"/>
      <c r="E141" s="1"/>
      <c r="F141" s="1"/>
      <c r="G141" s="1"/>
      <c r="H141" s="1"/>
      <c r="I141" s="1"/>
      <c r="J141" s="1"/>
    </row>
    <row r="142" ht="15.75" customHeight="1">
      <c r="A142" s="1"/>
      <c r="B142" s="1"/>
      <c r="C142" s="1"/>
      <c r="D142" s="1"/>
      <c r="E142" s="1"/>
      <c r="F142" s="1"/>
      <c r="G142" s="1"/>
      <c r="H142" s="1"/>
      <c r="I142" s="1"/>
      <c r="J142" s="1"/>
    </row>
    <row r="143" ht="15.75" customHeight="1">
      <c r="A143" s="1"/>
      <c r="B143" s="1"/>
      <c r="C143" s="1"/>
      <c r="D143" s="1"/>
      <c r="E143" s="1"/>
      <c r="F143" s="1"/>
      <c r="G143" s="1"/>
      <c r="H143" s="1"/>
      <c r="I143" s="1"/>
      <c r="J143" s="1"/>
    </row>
    <row r="144" ht="15.75" customHeight="1">
      <c r="A144" s="1"/>
      <c r="B144" s="1"/>
      <c r="C144" s="1"/>
      <c r="D144" s="1"/>
      <c r="E144" s="1"/>
      <c r="F144" s="1"/>
      <c r="G144" s="1"/>
      <c r="H144" s="1"/>
      <c r="I144" s="1"/>
      <c r="J144" s="1"/>
    </row>
    <row r="145" ht="15.75" customHeight="1">
      <c r="A145" s="1"/>
      <c r="B145" s="1"/>
      <c r="C145" s="1"/>
      <c r="D145" s="1"/>
      <c r="E145" s="1"/>
      <c r="F145" s="1"/>
      <c r="G145" s="1"/>
      <c r="H145" s="1"/>
      <c r="I145" s="1"/>
      <c r="J145" s="1"/>
    </row>
    <row r="146" ht="15.75" customHeight="1">
      <c r="A146" s="1"/>
      <c r="B146" s="1"/>
      <c r="C146" s="1"/>
      <c r="D146" s="1"/>
      <c r="E146" s="1"/>
      <c r="F146" s="1"/>
      <c r="G146" s="1"/>
      <c r="H146" s="1"/>
      <c r="I146" s="1"/>
      <c r="J146" s="1"/>
    </row>
    <row r="147" ht="15.75" customHeight="1">
      <c r="A147" s="1"/>
      <c r="B147" s="1"/>
      <c r="C147" s="1"/>
      <c r="D147" s="1"/>
      <c r="E147" s="1"/>
      <c r="F147" s="1"/>
      <c r="G147" s="1"/>
      <c r="H147" s="1"/>
      <c r="I147" s="1"/>
      <c r="J147" s="1"/>
    </row>
    <row r="148" ht="15.75" customHeight="1">
      <c r="A148" s="1"/>
      <c r="B148" s="1"/>
      <c r="C148" s="1"/>
      <c r="D148" s="1"/>
      <c r="E148" s="1"/>
      <c r="F148" s="1"/>
      <c r="G148" s="1"/>
      <c r="H148" s="1"/>
      <c r="I148" s="1"/>
      <c r="J148" s="1"/>
    </row>
    <row r="149" ht="15.75" customHeight="1">
      <c r="A149" s="1"/>
      <c r="B149" s="1"/>
      <c r="C149" s="1"/>
      <c r="D149" s="1"/>
      <c r="E149" s="1"/>
      <c r="F149" s="1"/>
      <c r="G149" s="1"/>
      <c r="H149" s="1"/>
      <c r="I149" s="1"/>
      <c r="J149" s="1"/>
    </row>
    <row r="150" ht="15.75" customHeight="1">
      <c r="A150" s="1"/>
      <c r="B150" s="1"/>
      <c r="C150" s="1"/>
      <c r="D150" s="1"/>
      <c r="E150" s="1"/>
      <c r="F150" s="1"/>
      <c r="G150" s="1"/>
      <c r="H150" s="1"/>
      <c r="I150" s="1"/>
      <c r="J150" s="1"/>
    </row>
    <row r="151" ht="15.75" customHeight="1">
      <c r="A151" s="1"/>
      <c r="B151" s="1"/>
      <c r="C151" s="1"/>
      <c r="D151" s="1"/>
      <c r="E151" s="1"/>
      <c r="F151" s="1"/>
      <c r="G151" s="1"/>
      <c r="H151" s="1"/>
      <c r="I151" s="1"/>
      <c r="J151" s="1"/>
    </row>
    <row r="152" ht="15.75" customHeight="1">
      <c r="A152" s="1"/>
      <c r="B152" s="1"/>
      <c r="C152" s="1"/>
      <c r="D152" s="1"/>
      <c r="E152" s="1"/>
      <c r="F152" s="1"/>
      <c r="G152" s="1"/>
      <c r="H152" s="1"/>
      <c r="I152" s="1"/>
      <c r="J152" s="1"/>
    </row>
    <row r="153" ht="15.75" customHeight="1">
      <c r="A153" s="1"/>
      <c r="B153" s="1"/>
      <c r="C153" s="1"/>
      <c r="D153" s="1"/>
      <c r="E153" s="1"/>
      <c r="F153" s="1"/>
      <c r="G153" s="1"/>
      <c r="H153" s="1"/>
      <c r="I153" s="1"/>
      <c r="J153" s="1"/>
    </row>
    <row r="154" ht="15.75" customHeight="1">
      <c r="A154" s="1"/>
      <c r="B154" s="1"/>
      <c r="C154" s="1"/>
      <c r="D154" s="1"/>
      <c r="E154" s="1"/>
      <c r="F154" s="1"/>
      <c r="G154" s="1"/>
      <c r="H154" s="1"/>
      <c r="I154" s="1"/>
      <c r="J154" s="1"/>
    </row>
    <row r="155" ht="15.75" customHeight="1">
      <c r="A155" s="1"/>
      <c r="B155" s="1"/>
      <c r="C155" s="1"/>
      <c r="D155" s="1"/>
      <c r="E155" s="1"/>
      <c r="F155" s="1"/>
      <c r="G155" s="1"/>
      <c r="H155" s="1"/>
      <c r="I155" s="1"/>
      <c r="J155" s="1"/>
    </row>
    <row r="156" ht="15.75" customHeight="1">
      <c r="A156" s="1"/>
      <c r="B156" s="1"/>
      <c r="C156" s="1"/>
      <c r="D156" s="1"/>
      <c r="E156" s="1"/>
      <c r="F156" s="1"/>
      <c r="G156" s="1"/>
      <c r="H156" s="1"/>
      <c r="I156" s="1"/>
      <c r="J156" s="1"/>
    </row>
    <row r="157" ht="15.75" customHeight="1">
      <c r="A157" s="1"/>
      <c r="B157" s="1"/>
      <c r="C157" s="1"/>
      <c r="D157" s="1"/>
      <c r="E157" s="1"/>
      <c r="F157" s="1"/>
      <c r="G157" s="1"/>
      <c r="H157" s="1"/>
      <c r="I157" s="1"/>
      <c r="J157" s="1"/>
    </row>
    <row r="158" ht="15.75" customHeight="1">
      <c r="A158" s="1"/>
      <c r="B158" s="1"/>
      <c r="C158" s="1"/>
      <c r="D158" s="1"/>
      <c r="E158" s="1"/>
      <c r="F158" s="1"/>
      <c r="G158" s="1"/>
      <c r="H158" s="1"/>
      <c r="I158" s="1"/>
      <c r="J158" s="1"/>
    </row>
    <row r="159" ht="15.75" customHeight="1">
      <c r="A159" s="1"/>
      <c r="B159" s="1"/>
      <c r="C159" s="1"/>
      <c r="D159" s="1"/>
      <c r="E159" s="1"/>
      <c r="F159" s="1"/>
      <c r="G159" s="1"/>
      <c r="H159" s="1"/>
      <c r="I159" s="1"/>
      <c r="J159" s="1"/>
    </row>
    <row r="160" ht="15.75" customHeight="1">
      <c r="A160" s="1"/>
      <c r="B160" s="1"/>
      <c r="C160" s="1"/>
      <c r="D160" s="1"/>
      <c r="E160" s="1"/>
      <c r="F160" s="1"/>
      <c r="G160" s="1"/>
      <c r="H160" s="1"/>
      <c r="I160" s="1"/>
      <c r="J160" s="1"/>
    </row>
    <row r="161" ht="15.75" customHeight="1">
      <c r="A161" s="1"/>
      <c r="B161" s="1"/>
      <c r="C161" s="1"/>
      <c r="D161" s="1"/>
      <c r="E161" s="1"/>
      <c r="F161" s="1"/>
      <c r="G161" s="1"/>
      <c r="H161" s="1"/>
      <c r="I161" s="1"/>
      <c r="J161" s="1"/>
    </row>
    <row r="162" ht="15.75" customHeight="1">
      <c r="A162" s="1"/>
      <c r="B162" s="1"/>
      <c r="C162" s="1"/>
      <c r="D162" s="1"/>
      <c r="E162" s="1"/>
      <c r="F162" s="1"/>
      <c r="G162" s="1"/>
      <c r="H162" s="1"/>
      <c r="I162" s="1"/>
      <c r="J162" s="1"/>
    </row>
    <row r="163" ht="15.75" customHeight="1">
      <c r="A163" s="1"/>
      <c r="B163" s="1"/>
      <c r="C163" s="1"/>
      <c r="D163" s="1"/>
      <c r="E163" s="1"/>
      <c r="F163" s="1"/>
      <c r="G163" s="1"/>
      <c r="H163" s="1"/>
      <c r="I163" s="1"/>
      <c r="J163" s="1"/>
    </row>
    <row r="164" ht="15.75" customHeight="1">
      <c r="A164" s="1"/>
      <c r="B164" s="1"/>
      <c r="C164" s="1"/>
      <c r="D164" s="1"/>
      <c r="E164" s="1"/>
      <c r="F164" s="1"/>
      <c r="G164" s="1"/>
      <c r="H164" s="1"/>
      <c r="I164" s="1"/>
      <c r="J164" s="1"/>
    </row>
    <row r="165" ht="15.75" customHeight="1">
      <c r="A165" s="1"/>
      <c r="B165" s="1"/>
      <c r="C165" s="1"/>
      <c r="D165" s="1"/>
      <c r="E165" s="1"/>
      <c r="F165" s="1"/>
      <c r="G165" s="1"/>
      <c r="H165" s="1"/>
      <c r="I165" s="1"/>
      <c r="J165" s="1"/>
    </row>
    <row r="166" ht="15.75" customHeight="1">
      <c r="A166" s="1"/>
      <c r="B166" s="1"/>
      <c r="C166" s="1"/>
      <c r="D166" s="1"/>
      <c r="E166" s="1"/>
      <c r="F166" s="1"/>
      <c r="G166" s="1"/>
      <c r="H166" s="1"/>
      <c r="I166" s="1"/>
      <c r="J166" s="1"/>
    </row>
    <row r="167" ht="15.75" customHeight="1">
      <c r="A167" s="1"/>
      <c r="B167" s="1"/>
      <c r="C167" s="1"/>
      <c r="D167" s="1"/>
      <c r="E167" s="1"/>
      <c r="F167" s="1"/>
      <c r="G167" s="1"/>
      <c r="H167" s="1"/>
      <c r="I167" s="1"/>
      <c r="J167" s="1"/>
    </row>
    <row r="168" ht="15.75" customHeight="1">
      <c r="A168" s="1"/>
      <c r="B168" s="1"/>
      <c r="C168" s="1"/>
      <c r="D168" s="1"/>
      <c r="E168" s="1"/>
      <c r="F168" s="1"/>
      <c r="G168" s="1"/>
      <c r="H168" s="1"/>
      <c r="I168" s="1"/>
      <c r="J168" s="1"/>
    </row>
    <row r="169" ht="15.75" customHeight="1">
      <c r="A169" s="1"/>
      <c r="B169" s="1"/>
      <c r="C169" s="1"/>
      <c r="D169" s="1"/>
      <c r="E169" s="1"/>
      <c r="F169" s="1"/>
      <c r="G169" s="1"/>
      <c r="H169" s="1"/>
      <c r="I169" s="1"/>
      <c r="J169" s="1"/>
    </row>
    <row r="170" ht="15.75" customHeight="1">
      <c r="A170" s="1"/>
      <c r="B170" s="1"/>
      <c r="C170" s="1"/>
      <c r="D170" s="1"/>
      <c r="E170" s="1"/>
      <c r="F170" s="1"/>
      <c r="G170" s="1"/>
      <c r="H170" s="1"/>
      <c r="I170" s="1"/>
      <c r="J170" s="1"/>
    </row>
    <row r="171" ht="15.75" customHeight="1">
      <c r="A171" s="1"/>
      <c r="B171" s="1"/>
      <c r="C171" s="1"/>
      <c r="D171" s="1"/>
      <c r="E171" s="1"/>
      <c r="F171" s="1"/>
      <c r="G171" s="1"/>
      <c r="H171" s="1"/>
      <c r="I171" s="1"/>
      <c r="J171" s="1"/>
    </row>
    <row r="172" ht="15.75" customHeight="1">
      <c r="A172" s="1"/>
      <c r="B172" s="1"/>
      <c r="C172" s="1"/>
      <c r="D172" s="1"/>
      <c r="E172" s="1"/>
      <c r="F172" s="1"/>
      <c r="G172" s="1"/>
      <c r="H172" s="1"/>
      <c r="I172" s="1"/>
      <c r="J172" s="1"/>
    </row>
    <row r="173" ht="15.75" customHeight="1">
      <c r="A173" s="1"/>
      <c r="B173" s="1"/>
      <c r="C173" s="1"/>
      <c r="D173" s="1"/>
      <c r="E173" s="1"/>
      <c r="F173" s="1"/>
      <c r="G173" s="1"/>
      <c r="H173" s="1"/>
      <c r="I173" s="1"/>
      <c r="J173" s="1"/>
    </row>
    <row r="174" ht="15.75" customHeight="1">
      <c r="A174" s="1"/>
      <c r="B174" s="1"/>
      <c r="C174" s="1"/>
      <c r="D174" s="1"/>
      <c r="E174" s="1"/>
      <c r="F174" s="1"/>
      <c r="G174" s="1"/>
      <c r="H174" s="1"/>
      <c r="I174" s="1"/>
      <c r="J174" s="1"/>
    </row>
    <row r="175" ht="15.75" customHeight="1">
      <c r="A175" s="1"/>
      <c r="B175" s="1"/>
      <c r="C175" s="1"/>
      <c r="D175" s="1"/>
      <c r="E175" s="1"/>
      <c r="F175" s="1"/>
      <c r="G175" s="1"/>
      <c r="H175" s="1"/>
      <c r="I175" s="1"/>
      <c r="J175" s="1"/>
    </row>
    <row r="176" ht="15.75" customHeight="1">
      <c r="A176" s="1"/>
      <c r="B176" s="1"/>
      <c r="C176" s="1"/>
      <c r="D176" s="1"/>
      <c r="E176" s="1"/>
      <c r="F176" s="1"/>
      <c r="G176" s="1"/>
      <c r="H176" s="1"/>
      <c r="I176" s="1"/>
      <c r="J176" s="1"/>
    </row>
    <row r="177" ht="15.75" customHeight="1">
      <c r="A177" s="1"/>
      <c r="B177" s="1"/>
      <c r="C177" s="1"/>
      <c r="D177" s="1"/>
      <c r="E177" s="1"/>
      <c r="F177" s="1"/>
      <c r="G177" s="1"/>
      <c r="H177" s="1"/>
      <c r="I177" s="1"/>
      <c r="J177" s="1"/>
    </row>
    <row r="178" ht="15.75" customHeight="1">
      <c r="A178" s="1"/>
      <c r="B178" s="1"/>
      <c r="C178" s="1"/>
      <c r="D178" s="1"/>
      <c r="E178" s="1"/>
      <c r="F178" s="1"/>
      <c r="G178" s="1"/>
      <c r="H178" s="1"/>
      <c r="I178" s="1"/>
      <c r="J178" s="1"/>
    </row>
    <row r="179" ht="15.75" customHeight="1">
      <c r="A179" s="1"/>
      <c r="B179" s="1"/>
      <c r="C179" s="1"/>
      <c r="D179" s="1"/>
      <c r="E179" s="1"/>
      <c r="F179" s="1"/>
      <c r="G179" s="1"/>
      <c r="H179" s="1"/>
      <c r="I179" s="1"/>
      <c r="J179" s="1"/>
    </row>
    <row r="180" ht="15.75" customHeight="1">
      <c r="A180" s="1"/>
      <c r="B180" s="1"/>
      <c r="C180" s="1"/>
      <c r="D180" s="1"/>
      <c r="E180" s="1"/>
      <c r="F180" s="1"/>
      <c r="G180" s="1"/>
      <c r="H180" s="1"/>
      <c r="I180" s="1"/>
      <c r="J180" s="1"/>
    </row>
    <row r="181" ht="15.75" customHeight="1">
      <c r="A181" s="1"/>
      <c r="B181" s="1"/>
      <c r="C181" s="1"/>
      <c r="D181" s="1"/>
      <c r="E181" s="1"/>
      <c r="F181" s="1"/>
      <c r="G181" s="1"/>
      <c r="H181" s="1"/>
      <c r="I181" s="1"/>
      <c r="J181" s="1"/>
    </row>
    <row r="182" ht="15.75" customHeight="1">
      <c r="A182" s="1"/>
      <c r="B182" s="1"/>
      <c r="C182" s="1"/>
      <c r="D182" s="1"/>
      <c r="E182" s="1"/>
      <c r="F182" s="1"/>
      <c r="G182" s="1"/>
      <c r="H182" s="1"/>
      <c r="I182" s="1"/>
      <c r="J182" s="1"/>
    </row>
    <row r="183" ht="15.75" customHeight="1">
      <c r="A183" s="1"/>
      <c r="B183" s="1"/>
      <c r="C183" s="1"/>
      <c r="D183" s="1"/>
      <c r="E183" s="1"/>
      <c r="F183" s="1"/>
      <c r="G183" s="1"/>
      <c r="H183" s="1"/>
      <c r="I183" s="1"/>
      <c r="J183" s="1"/>
    </row>
    <row r="184" ht="15.75" customHeight="1">
      <c r="A184" s="1"/>
      <c r="B184" s="1"/>
      <c r="C184" s="1"/>
      <c r="D184" s="1"/>
      <c r="E184" s="1"/>
      <c r="F184" s="1"/>
      <c r="G184" s="1"/>
      <c r="H184" s="1"/>
      <c r="I184" s="1"/>
      <c r="J184" s="1"/>
    </row>
    <row r="185" ht="15.75" customHeight="1">
      <c r="A185" s="1"/>
      <c r="B185" s="1"/>
      <c r="C185" s="1"/>
      <c r="D185" s="1"/>
      <c r="E185" s="1"/>
      <c r="F185" s="1"/>
      <c r="G185" s="1"/>
      <c r="H185" s="1"/>
      <c r="I185" s="1"/>
      <c r="J185" s="1"/>
    </row>
    <row r="186" ht="15.75" customHeight="1">
      <c r="A186" s="1"/>
      <c r="B186" s="1"/>
      <c r="C186" s="1"/>
      <c r="D186" s="1"/>
      <c r="E186" s="1"/>
      <c r="F186" s="1"/>
      <c r="G186" s="1"/>
      <c r="H186" s="1"/>
      <c r="I186" s="1"/>
      <c r="J186" s="1"/>
    </row>
    <row r="187" ht="15.75" customHeight="1">
      <c r="A187" s="1"/>
      <c r="B187" s="1"/>
      <c r="C187" s="1"/>
      <c r="D187" s="1"/>
      <c r="E187" s="1"/>
      <c r="F187" s="1"/>
      <c r="G187" s="1"/>
      <c r="H187" s="1"/>
      <c r="I187" s="1"/>
      <c r="J187" s="1"/>
    </row>
    <row r="188" ht="15.75" customHeight="1">
      <c r="A188" s="1"/>
      <c r="B188" s="1"/>
      <c r="C188" s="1"/>
      <c r="D188" s="1"/>
      <c r="E188" s="1"/>
      <c r="F188" s="1"/>
      <c r="G188" s="1"/>
      <c r="H188" s="1"/>
      <c r="I188" s="1"/>
      <c r="J188" s="1"/>
    </row>
    <row r="189" ht="15.75" customHeight="1">
      <c r="A189" s="1"/>
      <c r="B189" s="1"/>
      <c r="C189" s="1"/>
      <c r="D189" s="1"/>
      <c r="E189" s="1"/>
      <c r="F189" s="1"/>
      <c r="G189" s="1"/>
      <c r="H189" s="1"/>
      <c r="I189" s="1"/>
      <c r="J189" s="1"/>
    </row>
    <row r="190" ht="15.75" customHeight="1">
      <c r="A190" s="1"/>
      <c r="B190" s="1"/>
      <c r="C190" s="1"/>
      <c r="D190" s="1"/>
      <c r="E190" s="1"/>
      <c r="F190" s="1"/>
      <c r="G190" s="1"/>
      <c r="H190" s="1"/>
      <c r="I190" s="1"/>
      <c r="J190" s="1"/>
    </row>
    <row r="191" ht="15.75" customHeight="1">
      <c r="A191" s="1"/>
      <c r="B191" s="1"/>
      <c r="C191" s="1"/>
      <c r="D191" s="1"/>
      <c r="E191" s="1"/>
      <c r="F191" s="1"/>
      <c r="G191" s="1"/>
      <c r="H191" s="1"/>
      <c r="I191" s="1"/>
      <c r="J191" s="1"/>
    </row>
    <row r="192" ht="15.75" customHeight="1">
      <c r="A192" s="1"/>
      <c r="B192" s="1"/>
      <c r="C192" s="1"/>
      <c r="D192" s="1"/>
      <c r="E192" s="1"/>
      <c r="F192" s="1"/>
      <c r="G192" s="1"/>
      <c r="H192" s="1"/>
      <c r="I192" s="1"/>
      <c r="J192" s="1"/>
    </row>
    <row r="193" ht="15.75" customHeight="1">
      <c r="A193" s="1"/>
      <c r="B193" s="1"/>
      <c r="C193" s="1"/>
      <c r="D193" s="1"/>
      <c r="E193" s="1"/>
      <c r="F193" s="1"/>
      <c r="G193" s="1"/>
      <c r="H193" s="1"/>
      <c r="I193" s="1"/>
      <c r="J193" s="1"/>
    </row>
    <row r="194" ht="15.75" customHeight="1">
      <c r="A194" s="1"/>
      <c r="B194" s="1"/>
      <c r="C194" s="1"/>
      <c r="D194" s="1"/>
      <c r="E194" s="1"/>
      <c r="F194" s="1"/>
      <c r="G194" s="1"/>
      <c r="H194" s="1"/>
      <c r="I194" s="1"/>
      <c r="J194" s="1"/>
    </row>
    <row r="195" ht="15.75" customHeight="1">
      <c r="A195" s="1"/>
      <c r="B195" s="1"/>
      <c r="C195" s="1"/>
      <c r="D195" s="1"/>
      <c r="E195" s="1"/>
      <c r="F195" s="1"/>
      <c r="G195" s="1"/>
      <c r="H195" s="1"/>
      <c r="I195" s="1"/>
      <c r="J195" s="1"/>
    </row>
    <row r="196" ht="15.75" customHeight="1">
      <c r="A196" s="1"/>
      <c r="B196" s="1"/>
      <c r="C196" s="1"/>
      <c r="D196" s="1"/>
      <c r="E196" s="1"/>
      <c r="F196" s="1"/>
      <c r="G196" s="1"/>
      <c r="H196" s="1"/>
      <c r="I196" s="1"/>
      <c r="J196" s="1"/>
    </row>
    <row r="197" ht="15.75" customHeight="1">
      <c r="A197" s="1"/>
      <c r="B197" s="1"/>
      <c r="C197" s="1"/>
      <c r="D197" s="1"/>
      <c r="E197" s="1"/>
      <c r="F197" s="1"/>
      <c r="G197" s="1"/>
      <c r="H197" s="1"/>
      <c r="I197" s="1"/>
      <c r="J197" s="1"/>
    </row>
    <row r="198" ht="15.75" customHeight="1">
      <c r="A198" s="1"/>
      <c r="B198" s="1"/>
      <c r="C198" s="1"/>
      <c r="D198" s="1"/>
      <c r="E198" s="1"/>
      <c r="F198" s="1"/>
      <c r="G198" s="1"/>
      <c r="H198" s="1"/>
      <c r="I198" s="1"/>
      <c r="J198" s="1"/>
    </row>
    <row r="199" ht="15.75" customHeight="1">
      <c r="A199" s="1"/>
      <c r="B199" s="1"/>
      <c r="C199" s="1"/>
      <c r="D199" s="1"/>
      <c r="E199" s="1"/>
      <c r="F199" s="1"/>
      <c r="G199" s="1"/>
      <c r="H199" s="1"/>
      <c r="I199" s="1"/>
      <c r="J199" s="1"/>
    </row>
    <row r="200" ht="15.75" customHeight="1">
      <c r="A200" s="1"/>
      <c r="B200" s="1"/>
      <c r="C200" s="1"/>
      <c r="D200" s="1"/>
      <c r="E200" s="1"/>
      <c r="F200" s="1"/>
      <c r="G200" s="1"/>
      <c r="H200" s="1"/>
      <c r="I200" s="1"/>
      <c r="J200" s="1"/>
    </row>
    <row r="201" ht="15.75" customHeight="1">
      <c r="A201" s="1"/>
      <c r="B201" s="1"/>
      <c r="C201" s="1"/>
      <c r="D201" s="1"/>
      <c r="E201" s="1"/>
      <c r="F201" s="1"/>
      <c r="G201" s="1"/>
      <c r="H201" s="1"/>
      <c r="I201" s="1"/>
      <c r="J201" s="1"/>
    </row>
    <row r="202" ht="15.75" customHeight="1">
      <c r="A202" s="1"/>
      <c r="B202" s="1"/>
      <c r="C202" s="1"/>
      <c r="D202" s="1"/>
      <c r="E202" s="1"/>
      <c r="F202" s="1"/>
      <c r="G202" s="1"/>
      <c r="H202" s="1"/>
      <c r="I202" s="1"/>
      <c r="J202" s="1"/>
    </row>
    <row r="203" ht="15.75" customHeight="1">
      <c r="A203" s="1"/>
      <c r="B203" s="1"/>
      <c r="C203" s="1"/>
      <c r="D203" s="1"/>
      <c r="E203" s="1"/>
      <c r="F203" s="1"/>
      <c r="G203" s="1"/>
      <c r="H203" s="1"/>
      <c r="I203" s="1"/>
      <c r="J203" s="1"/>
    </row>
    <row r="204" ht="15.75" customHeight="1">
      <c r="A204" s="1"/>
      <c r="B204" s="1"/>
      <c r="C204" s="1"/>
      <c r="D204" s="1"/>
      <c r="E204" s="1"/>
      <c r="F204" s="1"/>
      <c r="G204" s="1"/>
      <c r="H204" s="1"/>
      <c r="I204" s="1"/>
      <c r="J204" s="1"/>
    </row>
    <row r="205" ht="15.75" customHeight="1">
      <c r="A205" s="1"/>
      <c r="B205" s="1"/>
      <c r="C205" s="1"/>
      <c r="D205" s="1"/>
      <c r="E205" s="1"/>
      <c r="F205" s="1"/>
      <c r="G205" s="1"/>
      <c r="H205" s="1"/>
      <c r="I205" s="1"/>
      <c r="J205" s="1"/>
    </row>
    <row r="206" ht="15.75" customHeight="1">
      <c r="A206" s="1"/>
      <c r="B206" s="1"/>
      <c r="C206" s="1"/>
      <c r="D206" s="1"/>
      <c r="E206" s="1"/>
      <c r="F206" s="1"/>
      <c r="G206" s="1"/>
      <c r="H206" s="1"/>
      <c r="I206" s="1"/>
      <c r="J206" s="1"/>
    </row>
    <row r="207" ht="15.75" customHeight="1">
      <c r="A207" s="1"/>
      <c r="B207" s="1"/>
      <c r="C207" s="1"/>
      <c r="D207" s="1"/>
      <c r="E207" s="1"/>
      <c r="F207" s="1"/>
      <c r="G207" s="1"/>
      <c r="H207" s="1"/>
      <c r="I207" s="1"/>
      <c r="J207" s="1"/>
    </row>
    <row r="208" ht="15.75" customHeight="1">
      <c r="A208" s="1"/>
      <c r="B208" s="1"/>
      <c r="C208" s="1"/>
      <c r="D208" s="1"/>
      <c r="E208" s="1"/>
      <c r="F208" s="1"/>
      <c r="G208" s="1"/>
      <c r="H208" s="1"/>
      <c r="I208" s="1"/>
      <c r="J208" s="1"/>
    </row>
    <row r="209" ht="15.75" customHeight="1">
      <c r="A209" s="1"/>
      <c r="B209" s="1"/>
      <c r="C209" s="1"/>
      <c r="D209" s="1"/>
      <c r="E209" s="1"/>
      <c r="F209" s="1"/>
      <c r="G209" s="1"/>
      <c r="H209" s="1"/>
      <c r="I209" s="1"/>
      <c r="J209" s="1"/>
    </row>
    <row r="210" ht="15.75" customHeight="1">
      <c r="A210" s="1"/>
      <c r="B210" s="1"/>
      <c r="C210" s="1"/>
      <c r="D210" s="1"/>
      <c r="E210" s="1"/>
      <c r="F210" s="1"/>
      <c r="G210" s="1"/>
      <c r="H210" s="1"/>
      <c r="I210" s="1"/>
      <c r="J210" s="1"/>
    </row>
    <row r="211" ht="15.75" customHeight="1">
      <c r="A211" s="1"/>
      <c r="B211" s="1"/>
      <c r="C211" s="1"/>
      <c r="D211" s="1"/>
      <c r="E211" s="1"/>
      <c r="F211" s="1"/>
      <c r="G211" s="1"/>
      <c r="H211" s="1"/>
      <c r="I211" s="1"/>
      <c r="J211" s="1"/>
    </row>
    <row r="212" ht="15.75" customHeight="1">
      <c r="A212" s="1"/>
      <c r="B212" s="1"/>
      <c r="C212" s="1"/>
      <c r="D212" s="1"/>
      <c r="E212" s="1"/>
      <c r="F212" s="1"/>
      <c r="G212" s="1"/>
      <c r="H212" s="1"/>
      <c r="I212" s="1"/>
      <c r="J212" s="1"/>
    </row>
    <row r="213" ht="15.75" customHeight="1">
      <c r="A213" s="1"/>
      <c r="B213" s="1"/>
      <c r="C213" s="1"/>
      <c r="D213" s="1"/>
      <c r="E213" s="1"/>
      <c r="F213" s="1"/>
      <c r="G213" s="1"/>
      <c r="H213" s="1"/>
      <c r="I213" s="1"/>
      <c r="J213" s="1"/>
    </row>
    <row r="214" ht="15.75" customHeight="1">
      <c r="A214" s="1"/>
      <c r="B214" s="1"/>
      <c r="C214" s="1"/>
      <c r="D214" s="1"/>
      <c r="E214" s="1"/>
      <c r="F214" s="1"/>
      <c r="G214" s="1"/>
      <c r="H214" s="1"/>
      <c r="I214" s="1"/>
      <c r="J214" s="1"/>
    </row>
    <row r="215" ht="15.75" customHeight="1">
      <c r="A215" s="1"/>
      <c r="B215" s="1"/>
      <c r="C215" s="1"/>
      <c r="D215" s="1"/>
      <c r="E215" s="1"/>
      <c r="F215" s="1"/>
      <c r="G215" s="1"/>
      <c r="H215" s="1"/>
      <c r="I215" s="1"/>
      <c r="J215" s="1"/>
    </row>
    <row r="216" ht="15.75" customHeight="1">
      <c r="A216" s="1"/>
      <c r="B216" s="1"/>
      <c r="C216" s="1"/>
      <c r="D216" s="1"/>
      <c r="E216" s="1"/>
      <c r="F216" s="1"/>
      <c r="G216" s="1"/>
      <c r="H216" s="1"/>
      <c r="I216" s="1"/>
      <c r="J216" s="1"/>
    </row>
    <row r="217" ht="15.75" customHeight="1">
      <c r="A217" s="1"/>
      <c r="B217" s="1"/>
      <c r="C217" s="1"/>
      <c r="D217" s="1"/>
      <c r="E217" s="1"/>
      <c r="F217" s="1"/>
      <c r="G217" s="1"/>
      <c r="H217" s="1"/>
      <c r="I217" s="1"/>
      <c r="J217" s="1"/>
    </row>
    <row r="218" ht="15.75" customHeight="1">
      <c r="A218" s="1"/>
      <c r="B218" s="1"/>
      <c r="C218" s="1"/>
      <c r="D218" s="1"/>
      <c r="E218" s="1"/>
      <c r="F218" s="1"/>
      <c r="G218" s="1"/>
      <c r="H218" s="1"/>
      <c r="I218" s="1"/>
      <c r="J218" s="1"/>
    </row>
    <row r="219" ht="15.75" customHeight="1">
      <c r="A219" s="1"/>
      <c r="B219" s="1"/>
      <c r="C219" s="1"/>
      <c r="D219" s="1"/>
      <c r="E219" s="1"/>
      <c r="F219" s="1"/>
      <c r="G219" s="1"/>
      <c r="H219" s="1"/>
      <c r="I219" s="1"/>
      <c r="J219" s="1"/>
    </row>
    <row r="220" ht="15.75" customHeight="1">
      <c r="A220" s="1"/>
      <c r="B220" s="1"/>
      <c r="C220" s="1"/>
      <c r="D220" s="1"/>
      <c r="E220" s="1"/>
      <c r="F220" s="1"/>
      <c r="G220" s="1"/>
      <c r="H220" s="1"/>
      <c r="I220" s="1"/>
      <c r="J220" s="1"/>
    </row>
    <row r="221" ht="15.75" customHeight="1">
      <c r="A221" s="1"/>
      <c r="B221" s="1"/>
      <c r="C221" s="1"/>
      <c r="D221" s="1"/>
      <c r="E221" s="1"/>
      <c r="F221" s="1"/>
      <c r="G221" s="1"/>
      <c r="H221" s="1"/>
      <c r="I221" s="1"/>
      <c r="J221" s="1"/>
    </row>
    <row r="222" ht="15.75" customHeight="1">
      <c r="A222" s="1"/>
      <c r="B222" s="1"/>
      <c r="C222" s="1"/>
      <c r="D222" s="1"/>
      <c r="E222" s="1"/>
      <c r="F222" s="1"/>
      <c r="G222" s="1"/>
      <c r="H222" s="1"/>
      <c r="I222" s="1"/>
      <c r="J222" s="1"/>
    </row>
    <row r="223" ht="15.75" customHeight="1">
      <c r="A223" s="1"/>
      <c r="B223" s="1"/>
      <c r="C223" s="1"/>
      <c r="D223" s="1"/>
      <c r="E223" s="1"/>
      <c r="F223" s="1"/>
      <c r="G223" s="1"/>
      <c r="H223" s="1"/>
      <c r="I223" s="1"/>
      <c r="J223" s="1"/>
    </row>
    <row r="224" ht="15.75" customHeight="1">
      <c r="A224" s="1"/>
      <c r="B224" s="1"/>
      <c r="C224" s="1"/>
      <c r="D224" s="1"/>
      <c r="E224" s="1"/>
      <c r="F224" s="1"/>
      <c r="G224" s="1"/>
      <c r="H224" s="1"/>
      <c r="I224" s="1"/>
      <c r="J224" s="1"/>
    </row>
    <row r="225" ht="15.75" customHeight="1">
      <c r="A225" s="1"/>
      <c r="B225" s="1"/>
      <c r="C225" s="1"/>
      <c r="D225" s="1"/>
      <c r="E225" s="1"/>
      <c r="F225" s="1"/>
      <c r="G225" s="1"/>
      <c r="H225" s="1"/>
      <c r="I225" s="1"/>
      <c r="J225" s="1"/>
    </row>
    <row r="226" ht="15.75" customHeight="1">
      <c r="A226" s="1"/>
      <c r="B226" s="1"/>
      <c r="C226" s="1"/>
      <c r="D226" s="1"/>
      <c r="E226" s="1"/>
      <c r="F226" s="1"/>
      <c r="G226" s="1"/>
      <c r="H226" s="1"/>
      <c r="I226" s="1"/>
      <c r="J226" s="1"/>
    </row>
    <row r="227" ht="15.75" customHeight="1">
      <c r="A227" s="1"/>
      <c r="B227" s="1"/>
      <c r="C227" s="1"/>
      <c r="D227" s="1"/>
      <c r="E227" s="1"/>
      <c r="F227" s="1"/>
      <c r="G227" s="1"/>
      <c r="H227" s="1"/>
      <c r="I227" s="1"/>
      <c r="J227" s="1"/>
    </row>
    <row r="228" ht="15.75" customHeight="1">
      <c r="A228" s="1"/>
      <c r="B228" s="1"/>
      <c r="C228" s="1"/>
      <c r="D228" s="1"/>
      <c r="E228" s="1"/>
      <c r="F228" s="1"/>
      <c r="G228" s="1"/>
      <c r="H228" s="1"/>
      <c r="I228" s="1"/>
      <c r="J228" s="1"/>
    </row>
    <row r="229" ht="15.75" customHeight="1">
      <c r="A229" s="1"/>
      <c r="B229" s="1"/>
      <c r="C229" s="1"/>
      <c r="D229" s="1"/>
      <c r="E229" s="1"/>
      <c r="F229" s="1"/>
      <c r="G229" s="1"/>
      <c r="H229" s="1"/>
      <c r="I229" s="1"/>
      <c r="J229" s="1"/>
    </row>
    <row r="230" ht="15.75" customHeight="1">
      <c r="A230" s="1"/>
      <c r="B230" s="1"/>
      <c r="C230" s="1"/>
      <c r="D230" s="1"/>
      <c r="E230" s="1"/>
      <c r="F230" s="1"/>
      <c r="G230" s="1"/>
      <c r="H230" s="1"/>
      <c r="I230" s="1"/>
      <c r="J230" s="1"/>
    </row>
    <row r="231" ht="15.75" customHeight="1">
      <c r="A231" s="1"/>
      <c r="B231" s="1"/>
      <c r="C231" s="1"/>
      <c r="D231" s="1"/>
      <c r="E231" s="1"/>
      <c r="F231" s="1"/>
      <c r="G231" s="1"/>
      <c r="H231" s="1"/>
      <c r="I231" s="1"/>
      <c r="J231" s="1"/>
    </row>
    <row r="232" ht="15.75" customHeight="1">
      <c r="A232" s="1"/>
      <c r="B232" s="1"/>
      <c r="C232" s="1"/>
      <c r="D232" s="1"/>
      <c r="E232" s="1"/>
      <c r="F232" s="1"/>
      <c r="G232" s="1"/>
      <c r="H232" s="1"/>
      <c r="I232" s="1"/>
      <c r="J232" s="1"/>
    </row>
    <row r="233" ht="15.75" customHeight="1">
      <c r="A233" s="1"/>
      <c r="B233" s="1"/>
      <c r="C233" s="1"/>
      <c r="D233" s="1"/>
      <c r="E233" s="1"/>
      <c r="F233" s="1"/>
      <c r="G233" s="1"/>
      <c r="H233" s="1"/>
      <c r="I233" s="1"/>
      <c r="J233" s="1"/>
    </row>
    <row r="234" ht="15.75" customHeight="1">
      <c r="A234" s="1"/>
      <c r="B234" s="1"/>
      <c r="C234" s="1"/>
      <c r="D234" s="1"/>
      <c r="E234" s="1"/>
      <c r="F234" s="1"/>
      <c r="G234" s="1"/>
      <c r="H234" s="1"/>
      <c r="I234" s="1"/>
      <c r="J234" s="1"/>
    </row>
    <row r="235" ht="15.75" customHeight="1">
      <c r="A235" s="1"/>
      <c r="B235" s="1"/>
      <c r="C235" s="1"/>
      <c r="D235" s="1"/>
      <c r="E235" s="1"/>
      <c r="F235" s="1"/>
      <c r="G235" s="1"/>
      <c r="H235" s="1"/>
      <c r="I235" s="1"/>
      <c r="J235" s="1"/>
    </row>
    <row r="236" ht="15.75" customHeight="1">
      <c r="A236" s="1"/>
      <c r="B236" s="1"/>
      <c r="C236" s="1"/>
      <c r="D236" s="1"/>
      <c r="E236" s="1"/>
      <c r="F236" s="1"/>
      <c r="G236" s="1"/>
      <c r="H236" s="1"/>
      <c r="I236" s="1"/>
      <c r="J236" s="1"/>
    </row>
    <row r="237" ht="15.75" customHeight="1">
      <c r="A237" s="1"/>
      <c r="B237" s="1"/>
      <c r="C237" s="1"/>
      <c r="D237" s="1"/>
      <c r="E237" s="1"/>
      <c r="F237" s="1"/>
      <c r="G237" s="1"/>
      <c r="H237" s="1"/>
      <c r="I237" s="1"/>
      <c r="J237" s="1"/>
    </row>
    <row r="238" ht="15.75" customHeight="1">
      <c r="A238" s="1"/>
      <c r="B238" s="1"/>
      <c r="C238" s="1"/>
      <c r="D238" s="1"/>
      <c r="E238" s="1"/>
      <c r="F238" s="1"/>
      <c r="G238" s="1"/>
      <c r="H238" s="1"/>
      <c r="I238" s="1"/>
      <c r="J238" s="1"/>
    </row>
    <row r="239" ht="15.75" customHeight="1">
      <c r="A239" s="1"/>
      <c r="B239" s="1"/>
      <c r="C239" s="1"/>
      <c r="D239" s="1"/>
      <c r="E239" s="1"/>
      <c r="F239" s="1"/>
      <c r="G239" s="1"/>
      <c r="H239" s="1"/>
      <c r="I239" s="1"/>
      <c r="J239" s="1"/>
    </row>
    <row r="240" ht="15.75" customHeight="1">
      <c r="A240" s="1"/>
      <c r="B240" s="1"/>
      <c r="C240" s="1"/>
      <c r="D240" s="1"/>
      <c r="E240" s="1"/>
      <c r="F240" s="1"/>
      <c r="G240" s="1"/>
      <c r="H240" s="1"/>
      <c r="I240" s="1"/>
      <c r="J240" s="1"/>
    </row>
    <row r="241" ht="15.75" customHeight="1">
      <c r="A241" s="1"/>
      <c r="B241" s="1"/>
      <c r="C241" s="1"/>
      <c r="D241" s="1"/>
      <c r="E241" s="1"/>
      <c r="F241" s="1"/>
      <c r="G241" s="1"/>
      <c r="H241" s="1"/>
      <c r="I241" s="1"/>
      <c r="J241" s="1"/>
    </row>
    <row r="242" ht="15.75" customHeight="1">
      <c r="A242" s="1"/>
      <c r="B242" s="1"/>
      <c r="C242" s="1"/>
      <c r="D242" s="1"/>
      <c r="E242" s="1"/>
      <c r="F242" s="1"/>
      <c r="G242" s="1"/>
      <c r="H242" s="1"/>
      <c r="I242" s="1"/>
      <c r="J242" s="1"/>
    </row>
    <row r="243" ht="15.75" customHeight="1">
      <c r="A243" s="1"/>
      <c r="B243" s="1"/>
      <c r="C243" s="1"/>
      <c r="D243" s="1"/>
      <c r="E243" s="1"/>
      <c r="F243" s="1"/>
      <c r="G243" s="1"/>
      <c r="H243" s="1"/>
      <c r="I243" s="1"/>
      <c r="J243" s="1"/>
    </row>
    <row r="244" ht="15.75" customHeight="1">
      <c r="A244" s="1"/>
      <c r="B244" s="1"/>
      <c r="C244" s="1"/>
      <c r="D244" s="1"/>
      <c r="E244" s="1"/>
      <c r="F244" s="1"/>
      <c r="G244" s="1"/>
      <c r="H244" s="1"/>
      <c r="I244" s="1"/>
      <c r="J244" s="1"/>
    </row>
    <row r="245" ht="15.75" customHeight="1">
      <c r="A245" s="1"/>
      <c r="B245" s="1"/>
      <c r="C245" s="1"/>
      <c r="D245" s="1"/>
      <c r="E245" s="1"/>
      <c r="F245" s="1"/>
      <c r="G245" s="1"/>
      <c r="H245" s="1"/>
      <c r="I245" s="1"/>
      <c r="J245" s="1"/>
    </row>
    <row r="246" ht="15.75" customHeight="1">
      <c r="A246" s="1"/>
      <c r="B246" s="1"/>
      <c r="C246" s="1"/>
      <c r="D246" s="1"/>
      <c r="E246" s="1"/>
      <c r="F246" s="1"/>
      <c r="G246" s="1"/>
      <c r="H246" s="1"/>
      <c r="I246" s="1"/>
      <c r="J246" s="1"/>
    </row>
    <row r="247" ht="15.75" customHeight="1">
      <c r="A247" s="1"/>
      <c r="B247" s="1"/>
      <c r="C247" s="1"/>
      <c r="D247" s="1"/>
      <c r="E247" s="1"/>
      <c r="F247" s="1"/>
      <c r="G247" s="1"/>
      <c r="H247" s="1"/>
      <c r="I247" s="1"/>
      <c r="J247" s="1"/>
    </row>
    <row r="248" ht="15.75" customHeight="1">
      <c r="A248" s="1"/>
      <c r="B248" s="1"/>
      <c r="C248" s="1"/>
      <c r="D248" s="1"/>
      <c r="E248" s="1"/>
      <c r="F248" s="1"/>
      <c r="G248" s="1"/>
      <c r="H248" s="1"/>
      <c r="I248" s="1"/>
      <c r="J248" s="1"/>
    </row>
    <row r="249" ht="15.75" customHeight="1">
      <c r="A249" s="1"/>
      <c r="B249" s="1"/>
      <c r="C249" s="1"/>
      <c r="D249" s="1"/>
      <c r="E249" s="1"/>
      <c r="F249" s="1"/>
      <c r="G249" s="1"/>
      <c r="H249" s="1"/>
      <c r="I249" s="1"/>
      <c r="J249" s="1"/>
    </row>
    <row r="250" ht="15.75" customHeight="1">
      <c r="A250" s="1"/>
      <c r="B250" s="1"/>
      <c r="C250" s="1"/>
      <c r="D250" s="1"/>
      <c r="E250" s="1"/>
      <c r="F250" s="1"/>
      <c r="G250" s="1"/>
      <c r="H250" s="1"/>
      <c r="I250" s="1"/>
      <c r="J250" s="1"/>
    </row>
    <row r="251" ht="15.75" customHeight="1">
      <c r="A251" s="1"/>
      <c r="B251" s="1"/>
      <c r="C251" s="1"/>
      <c r="D251" s="1"/>
      <c r="E251" s="1"/>
      <c r="F251" s="1"/>
      <c r="G251" s="1"/>
      <c r="H251" s="1"/>
      <c r="I251" s="1"/>
      <c r="J251" s="1"/>
    </row>
    <row r="252" ht="15.75" customHeight="1">
      <c r="A252" s="1"/>
      <c r="B252" s="1"/>
      <c r="C252" s="1"/>
      <c r="D252" s="1"/>
      <c r="E252" s="1"/>
      <c r="F252" s="1"/>
      <c r="G252" s="1"/>
      <c r="H252" s="1"/>
      <c r="I252" s="1"/>
      <c r="J252" s="1"/>
    </row>
    <row r="253" ht="15.75" customHeight="1">
      <c r="A253" s="1"/>
      <c r="B253" s="1"/>
      <c r="C253" s="1"/>
      <c r="D253" s="1"/>
      <c r="E253" s="1"/>
      <c r="F253" s="1"/>
      <c r="G253" s="1"/>
      <c r="H253" s="1"/>
      <c r="I253" s="1"/>
      <c r="J253" s="1"/>
    </row>
    <row r="254" ht="15.75" customHeight="1">
      <c r="A254" s="1"/>
      <c r="B254" s="1"/>
      <c r="C254" s="1"/>
      <c r="D254" s="1"/>
      <c r="E254" s="1"/>
      <c r="F254" s="1"/>
      <c r="G254" s="1"/>
      <c r="H254" s="1"/>
      <c r="I254" s="1"/>
      <c r="J254" s="1"/>
    </row>
    <row r="255" ht="15.75" customHeight="1">
      <c r="A255" s="1"/>
      <c r="B255" s="1"/>
      <c r="C255" s="1"/>
      <c r="D255" s="1"/>
      <c r="E255" s="1"/>
      <c r="F255" s="1"/>
      <c r="G255" s="1"/>
      <c r="H255" s="1"/>
      <c r="I255" s="1"/>
      <c r="J255" s="1"/>
    </row>
    <row r="256" ht="15.75" customHeight="1">
      <c r="A256" s="1"/>
      <c r="B256" s="1"/>
      <c r="C256" s="1"/>
      <c r="D256" s="1"/>
      <c r="E256" s="1"/>
      <c r="F256" s="1"/>
      <c r="G256" s="1"/>
      <c r="H256" s="1"/>
      <c r="I256" s="1"/>
      <c r="J256" s="1"/>
    </row>
    <row r="257" ht="15.75" customHeight="1">
      <c r="A257" s="1"/>
      <c r="B257" s="1"/>
      <c r="C257" s="1"/>
      <c r="D257" s="1"/>
      <c r="E257" s="1"/>
      <c r="F257" s="1"/>
      <c r="G257" s="1"/>
      <c r="H257" s="1"/>
      <c r="I257" s="1"/>
      <c r="J257" s="1"/>
    </row>
    <row r="258" ht="15.75" customHeight="1">
      <c r="A258" s="1"/>
      <c r="B258" s="1"/>
      <c r="C258" s="1"/>
      <c r="D258" s="1"/>
      <c r="E258" s="1"/>
      <c r="F258" s="1"/>
      <c r="G258" s="1"/>
      <c r="H258" s="1"/>
      <c r="I258" s="1"/>
      <c r="J258" s="1"/>
    </row>
    <row r="259" ht="15.75" customHeight="1">
      <c r="A259" s="1"/>
      <c r="B259" s="1"/>
      <c r="C259" s="1"/>
      <c r="D259" s="1"/>
      <c r="E259" s="1"/>
      <c r="F259" s="1"/>
      <c r="G259" s="1"/>
      <c r="H259" s="1"/>
      <c r="I259" s="1"/>
      <c r="J259" s="1"/>
    </row>
    <row r="260" ht="15.75" customHeight="1">
      <c r="A260" s="1"/>
      <c r="B260" s="1"/>
      <c r="C260" s="1"/>
      <c r="D260" s="1"/>
      <c r="E260" s="1"/>
      <c r="F260" s="1"/>
      <c r="G260" s="1"/>
      <c r="H260" s="1"/>
      <c r="I260" s="1"/>
      <c r="J260" s="1"/>
    </row>
    <row r="261" ht="15.75" customHeight="1">
      <c r="A261" s="1"/>
      <c r="B261" s="1"/>
      <c r="C261" s="1"/>
      <c r="D261" s="1"/>
      <c r="E261" s="1"/>
      <c r="F261" s="1"/>
      <c r="G261" s="1"/>
      <c r="H261" s="1"/>
      <c r="I261" s="1"/>
      <c r="J261" s="1"/>
    </row>
    <row r="262" ht="15.75" customHeight="1">
      <c r="A262" s="1"/>
      <c r="B262" s="1"/>
      <c r="C262" s="1"/>
      <c r="D262" s="1"/>
      <c r="E262" s="1"/>
      <c r="F262" s="1"/>
      <c r="G262" s="1"/>
      <c r="H262" s="1"/>
      <c r="I262" s="1"/>
      <c r="J262" s="1"/>
    </row>
    <row r="263" ht="15.75" customHeight="1">
      <c r="A263" s="1"/>
      <c r="B263" s="1"/>
      <c r="C263" s="1"/>
      <c r="D263" s="1"/>
      <c r="E263" s="1"/>
      <c r="F263" s="1"/>
      <c r="G263" s="1"/>
      <c r="H263" s="1"/>
      <c r="I263" s="1"/>
      <c r="J263" s="1"/>
    </row>
    <row r="264" ht="15.75" customHeight="1">
      <c r="A264" s="1"/>
      <c r="B264" s="1"/>
      <c r="C264" s="1"/>
      <c r="D264" s="1"/>
      <c r="E264" s="1"/>
      <c r="F264" s="1"/>
      <c r="G264" s="1"/>
      <c r="H264" s="1"/>
      <c r="I264" s="1"/>
      <c r="J264" s="1"/>
    </row>
    <row r="265" ht="15.75" customHeight="1">
      <c r="A265" s="1"/>
      <c r="B265" s="1"/>
      <c r="C265" s="1"/>
      <c r="D265" s="1"/>
      <c r="E265" s="1"/>
      <c r="F265" s="1"/>
      <c r="G265" s="1"/>
      <c r="H265" s="1"/>
      <c r="I265" s="1"/>
      <c r="J265" s="1"/>
    </row>
    <row r="266" ht="15.75" customHeight="1">
      <c r="A266" s="1"/>
      <c r="B266" s="1"/>
      <c r="C266" s="1"/>
      <c r="D266" s="1"/>
      <c r="E266" s="1"/>
      <c r="F266" s="1"/>
      <c r="G266" s="1"/>
      <c r="H266" s="1"/>
      <c r="I266" s="1"/>
      <c r="J266" s="1"/>
    </row>
    <row r="267" ht="15.75" customHeight="1">
      <c r="A267" s="1"/>
      <c r="B267" s="1"/>
      <c r="C267" s="1"/>
      <c r="D267" s="1"/>
      <c r="E267" s="1"/>
      <c r="F267" s="1"/>
      <c r="G267" s="1"/>
      <c r="H267" s="1"/>
      <c r="I267" s="1"/>
      <c r="J267" s="1"/>
    </row>
    <row r="268" ht="15.75" customHeight="1">
      <c r="A268" s="1"/>
      <c r="B268" s="1"/>
      <c r="C268" s="1"/>
      <c r="D268" s="1"/>
      <c r="E268" s="1"/>
      <c r="F268" s="1"/>
      <c r="G268" s="1"/>
      <c r="H268" s="1"/>
      <c r="I268" s="1"/>
      <c r="J268" s="1"/>
    </row>
    <row r="269" ht="15.75" customHeight="1">
      <c r="A269" s="1"/>
      <c r="B269" s="1"/>
      <c r="C269" s="1"/>
      <c r="D269" s="1"/>
      <c r="E269" s="1"/>
      <c r="F269" s="1"/>
      <c r="G269" s="1"/>
      <c r="H269" s="1"/>
      <c r="I269" s="1"/>
      <c r="J269" s="1"/>
    </row>
    <row r="270" ht="15.75" customHeight="1">
      <c r="A270" s="1"/>
      <c r="B270" s="1"/>
      <c r="C270" s="1"/>
      <c r="D270" s="1"/>
      <c r="E270" s="1"/>
      <c r="F270" s="1"/>
      <c r="G270" s="1"/>
      <c r="H270" s="1"/>
      <c r="I270" s="1"/>
      <c r="J270" s="1"/>
    </row>
    <row r="271" ht="15.75" customHeight="1">
      <c r="A271" s="1"/>
      <c r="B271" s="1"/>
      <c r="C271" s="1"/>
      <c r="D271" s="1"/>
      <c r="E271" s="1"/>
      <c r="F271" s="1"/>
      <c r="G271" s="1"/>
      <c r="H271" s="1"/>
      <c r="I271" s="1"/>
      <c r="J271" s="1"/>
    </row>
    <row r="272" ht="15.75" customHeight="1">
      <c r="A272" s="1"/>
      <c r="B272" s="1"/>
      <c r="C272" s="1"/>
      <c r="D272" s="1"/>
      <c r="E272" s="1"/>
      <c r="F272" s="1"/>
      <c r="G272" s="1"/>
      <c r="H272" s="1"/>
      <c r="I272" s="1"/>
      <c r="J272" s="1"/>
    </row>
    <row r="273" ht="15.75" customHeight="1">
      <c r="A273" s="1"/>
      <c r="B273" s="1"/>
      <c r="C273" s="1"/>
      <c r="D273" s="1"/>
      <c r="E273" s="1"/>
      <c r="F273" s="1"/>
      <c r="G273" s="1"/>
      <c r="H273" s="1"/>
      <c r="I273" s="1"/>
      <c r="J273" s="1"/>
    </row>
    <row r="274" ht="15.75" customHeight="1">
      <c r="A274" s="1"/>
      <c r="B274" s="1"/>
      <c r="C274" s="1"/>
      <c r="D274" s="1"/>
      <c r="E274" s="1"/>
      <c r="F274" s="1"/>
      <c r="G274" s="1"/>
      <c r="H274" s="1"/>
      <c r="I274" s="1"/>
      <c r="J274" s="1"/>
    </row>
    <row r="275" ht="15.75" customHeight="1">
      <c r="A275" s="1"/>
      <c r="B275" s="1"/>
      <c r="C275" s="1"/>
      <c r="D275" s="1"/>
      <c r="E275" s="1"/>
      <c r="F275" s="1"/>
      <c r="G275" s="1"/>
      <c r="H275" s="1"/>
      <c r="I275" s="1"/>
      <c r="J275" s="1"/>
    </row>
    <row r="276" ht="15.75" customHeight="1">
      <c r="A276" s="1"/>
      <c r="B276" s="1"/>
      <c r="C276" s="1"/>
      <c r="D276" s="1"/>
      <c r="E276" s="1"/>
      <c r="F276" s="1"/>
      <c r="G276" s="1"/>
      <c r="H276" s="1"/>
      <c r="I276" s="1"/>
      <c r="J276" s="1"/>
    </row>
    <row r="277" ht="15.75" customHeight="1">
      <c r="A277" s="1"/>
      <c r="B277" s="1"/>
      <c r="C277" s="1"/>
      <c r="D277" s="1"/>
      <c r="E277" s="1"/>
      <c r="F277" s="1"/>
      <c r="G277" s="1"/>
      <c r="H277" s="1"/>
      <c r="I277" s="1"/>
      <c r="J277" s="1"/>
    </row>
    <row r="278" ht="15.75" customHeight="1">
      <c r="A278" s="1"/>
      <c r="B278" s="1"/>
      <c r="C278" s="1"/>
      <c r="D278" s="1"/>
      <c r="E278" s="1"/>
      <c r="F278" s="1"/>
      <c r="G278" s="1"/>
      <c r="H278" s="1"/>
      <c r="I278" s="1"/>
      <c r="J278" s="1"/>
    </row>
    <row r="279" ht="15.75" customHeight="1">
      <c r="A279" s="1"/>
      <c r="B279" s="1"/>
      <c r="C279" s="1"/>
      <c r="D279" s="1"/>
      <c r="E279" s="1"/>
      <c r="F279" s="1"/>
      <c r="G279" s="1"/>
      <c r="H279" s="1"/>
      <c r="I279" s="1"/>
      <c r="J279" s="1"/>
    </row>
    <row r="280" ht="15.75" customHeight="1">
      <c r="A280" s="1"/>
      <c r="B280" s="1"/>
      <c r="C280" s="1"/>
      <c r="D280" s="1"/>
      <c r="E280" s="1"/>
      <c r="F280" s="1"/>
      <c r="G280" s="1"/>
      <c r="H280" s="1"/>
      <c r="I280" s="1"/>
      <c r="J280" s="1"/>
    </row>
    <row r="281" ht="15.75" customHeight="1">
      <c r="A281" s="1"/>
      <c r="B281" s="1"/>
      <c r="C281" s="1"/>
      <c r="D281" s="1"/>
      <c r="E281" s="1"/>
      <c r="F281" s="1"/>
      <c r="G281" s="1"/>
      <c r="H281" s="1"/>
      <c r="I281" s="1"/>
      <c r="J281" s="1"/>
    </row>
    <row r="282" ht="15.75" customHeight="1">
      <c r="A282" s="1"/>
      <c r="B282" s="1"/>
      <c r="C282" s="1"/>
      <c r="D282" s="1"/>
      <c r="E282" s="1"/>
      <c r="F282" s="1"/>
      <c r="G282" s="1"/>
      <c r="H282" s="1"/>
      <c r="I282" s="1"/>
      <c r="J282" s="1"/>
    </row>
    <row r="283" ht="15.75" customHeight="1">
      <c r="A283" s="1"/>
      <c r="B283" s="1"/>
      <c r="C283" s="1"/>
      <c r="D283" s="1"/>
      <c r="E283" s="1"/>
      <c r="F283" s="1"/>
      <c r="G283" s="1"/>
      <c r="H283" s="1"/>
      <c r="I283" s="1"/>
      <c r="J283" s="1"/>
    </row>
    <row r="284" ht="15.75" customHeight="1">
      <c r="A284" s="1"/>
      <c r="B284" s="1"/>
      <c r="C284" s="1"/>
      <c r="D284" s="1"/>
      <c r="E284" s="1"/>
      <c r="F284" s="1"/>
      <c r="G284" s="1"/>
      <c r="H284" s="1"/>
      <c r="I284" s="1"/>
      <c r="J284" s="1"/>
    </row>
    <row r="285" ht="15.75" customHeight="1">
      <c r="A285" s="1"/>
      <c r="B285" s="1"/>
      <c r="C285" s="1"/>
      <c r="D285" s="1"/>
      <c r="E285" s="1"/>
      <c r="F285" s="1"/>
      <c r="G285" s="1"/>
      <c r="H285" s="1"/>
      <c r="I285" s="1"/>
      <c r="J285" s="1"/>
    </row>
    <row r="286" ht="15.75" customHeight="1">
      <c r="A286" s="1"/>
      <c r="B286" s="1"/>
      <c r="C286" s="1"/>
      <c r="D286" s="1"/>
      <c r="E286" s="1"/>
      <c r="F286" s="1"/>
      <c r="G286" s="1"/>
      <c r="H286" s="1"/>
      <c r="I286" s="1"/>
      <c r="J286" s="1"/>
    </row>
    <row r="287" ht="15.75" customHeight="1">
      <c r="A287" s="1"/>
      <c r="B287" s="1"/>
      <c r="C287" s="1"/>
      <c r="D287" s="1"/>
      <c r="E287" s="1"/>
      <c r="F287" s="1"/>
      <c r="G287" s="1"/>
      <c r="H287" s="1"/>
      <c r="I287" s="1"/>
      <c r="J287" s="1"/>
    </row>
    <row r="288" ht="15.75" customHeight="1">
      <c r="A288" s="1"/>
      <c r="B288" s="1"/>
      <c r="C288" s="1"/>
      <c r="D288" s="1"/>
      <c r="E288" s="1"/>
      <c r="F288" s="1"/>
      <c r="G288" s="1"/>
      <c r="H288" s="1"/>
      <c r="I288" s="1"/>
      <c r="J288" s="1"/>
    </row>
    <row r="289" ht="15.75" customHeight="1">
      <c r="A289" s="1"/>
      <c r="B289" s="1"/>
      <c r="C289" s="1"/>
      <c r="D289" s="1"/>
      <c r="E289" s="1"/>
      <c r="F289" s="1"/>
      <c r="G289" s="1"/>
      <c r="H289" s="1"/>
      <c r="I289" s="1"/>
      <c r="J289" s="1"/>
    </row>
    <row r="290" ht="15.75" customHeight="1">
      <c r="A290" s="1"/>
      <c r="B290" s="1"/>
      <c r="C290" s="1"/>
      <c r="D290" s="1"/>
      <c r="E290" s="1"/>
      <c r="F290" s="1"/>
      <c r="G290" s="1"/>
      <c r="H290" s="1"/>
      <c r="I290" s="1"/>
      <c r="J290" s="1"/>
    </row>
    <row r="291" ht="15.75" customHeight="1">
      <c r="A291" s="1"/>
      <c r="B291" s="1"/>
      <c r="C291" s="1"/>
      <c r="D291" s="1"/>
      <c r="E291" s="1"/>
      <c r="F291" s="1"/>
      <c r="G291" s="1"/>
      <c r="H291" s="1"/>
      <c r="I291" s="1"/>
      <c r="J291" s="1"/>
    </row>
    <row r="292" ht="15.75" customHeight="1">
      <c r="A292" s="1"/>
      <c r="B292" s="1"/>
      <c r="C292" s="1"/>
      <c r="D292" s="1"/>
      <c r="E292" s="1"/>
      <c r="F292" s="1"/>
      <c r="G292" s="1"/>
      <c r="H292" s="1"/>
      <c r="I292" s="1"/>
      <c r="J292" s="1"/>
    </row>
    <row r="293" ht="15.75" customHeight="1">
      <c r="A293" s="1"/>
      <c r="B293" s="1"/>
      <c r="C293" s="1"/>
      <c r="D293" s="1"/>
      <c r="E293" s="1"/>
      <c r="F293" s="1"/>
      <c r="G293" s="1"/>
      <c r="H293" s="1"/>
      <c r="I293" s="1"/>
      <c r="J293" s="1"/>
    </row>
    <row r="294" ht="15.75" customHeight="1">
      <c r="A294" s="1"/>
      <c r="B294" s="1"/>
      <c r="C294" s="1"/>
      <c r="D294" s="1"/>
      <c r="E294" s="1"/>
      <c r="F294" s="1"/>
      <c r="G294" s="1"/>
      <c r="H294" s="1"/>
      <c r="I294" s="1"/>
      <c r="J294" s="1"/>
    </row>
    <row r="295" ht="15.75" customHeight="1">
      <c r="A295" s="1"/>
      <c r="B295" s="1"/>
      <c r="C295" s="1"/>
      <c r="D295" s="1"/>
      <c r="E295" s="1"/>
      <c r="F295" s="1"/>
      <c r="G295" s="1"/>
      <c r="H295" s="1"/>
      <c r="I295" s="1"/>
      <c r="J295" s="1"/>
    </row>
    <row r="296" ht="15.75" customHeight="1">
      <c r="A296" s="1"/>
      <c r="B296" s="1"/>
      <c r="C296" s="1"/>
      <c r="D296" s="1"/>
      <c r="E296" s="1"/>
      <c r="F296" s="1"/>
      <c r="G296" s="1"/>
      <c r="H296" s="1"/>
      <c r="I296" s="1"/>
      <c r="J296" s="1"/>
    </row>
    <row r="297" ht="15.75" customHeight="1">
      <c r="A297" s="1"/>
      <c r="B297" s="1"/>
      <c r="C297" s="1"/>
      <c r="D297" s="1"/>
      <c r="E297" s="1"/>
      <c r="F297" s="1"/>
      <c r="G297" s="1"/>
      <c r="H297" s="1"/>
      <c r="I297" s="1"/>
      <c r="J297" s="1"/>
    </row>
    <row r="298" ht="15.75" customHeight="1">
      <c r="A298" s="1"/>
      <c r="B298" s="1"/>
      <c r="C298" s="1"/>
      <c r="D298" s="1"/>
      <c r="E298" s="1"/>
      <c r="F298" s="1"/>
      <c r="G298" s="1"/>
      <c r="H298" s="1"/>
      <c r="I298" s="1"/>
      <c r="J298" s="1"/>
    </row>
    <row r="299" ht="15.75" customHeight="1">
      <c r="A299" s="1"/>
      <c r="B299" s="1"/>
      <c r="C299" s="1"/>
      <c r="D299" s="1"/>
      <c r="E299" s="1"/>
      <c r="F299" s="1"/>
      <c r="G299" s="1"/>
      <c r="H299" s="1"/>
      <c r="I299" s="1"/>
      <c r="J299" s="1"/>
    </row>
    <row r="300" ht="15.75" customHeight="1">
      <c r="A300" s="1"/>
      <c r="B300" s="1"/>
      <c r="C300" s="1"/>
      <c r="D300" s="1"/>
      <c r="E300" s="1"/>
      <c r="F300" s="1"/>
      <c r="G300" s="1"/>
      <c r="H300" s="1"/>
      <c r="I300" s="1"/>
      <c r="J300" s="1"/>
    </row>
    <row r="301" ht="15.75" customHeight="1">
      <c r="A301" s="1"/>
      <c r="B301" s="1"/>
      <c r="C301" s="1"/>
      <c r="D301" s="1"/>
      <c r="E301" s="1"/>
      <c r="F301" s="1"/>
      <c r="G301" s="1"/>
      <c r="H301" s="1"/>
      <c r="I301" s="1"/>
      <c r="J301" s="1"/>
    </row>
    <row r="302" ht="15.75" customHeight="1">
      <c r="A302" s="1"/>
      <c r="B302" s="1"/>
      <c r="C302" s="1"/>
      <c r="D302" s="1"/>
      <c r="E302" s="1"/>
      <c r="F302" s="1"/>
      <c r="G302" s="1"/>
      <c r="H302" s="1"/>
      <c r="I302" s="1"/>
      <c r="J302" s="1"/>
    </row>
    <row r="303" ht="15.75" customHeight="1">
      <c r="A303" s="1"/>
      <c r="B303" s="1"/>
      <c r="C303" s="1"/>
      <c r="D303" s="1"/>
      <c r="E303" s="1"/>
      <c r="F303" s="1"/>
      <c r="G303" s="1"/>
      <c r="H303" s="1"/>
      <c r="I303" s="1"/>
      <c r="J303" s="1"/>
    </row>
    <row r="304" ht="15.75" customHeight="1">
      <c r="A304" s="1"/>
      <c r="B304" s="1"/>
      <c r="C304" s="1"/>
      <c r="D304" s="1"/>
      <c r="E304" s="1"/>
      <c r="F304" s="1"/>
      <c r="G304" s="1"/>
      <c r="H304" s="1"/>
      <c r="I304" s="1"/>
      <c r="J304" s="1"/>
    </row>
    <row r="305" ht="15.75" customHeight="1">
      <c r="A305" s="1"/>
      <c r="B305" s="1"/>
      <c r="C305" s="1"/>
      <c r="D305" s="1"/>
      <c r="E305" s="1"/>
      <c r="F305" s="1"/>
      <c r="G305" s="1"/>
      <c r="H305" s="1"/>
      <c r="I305" s="1"/>
      <c r="J305" s="1"/>
    </row>
    <row r="306" ht="15.75" customHeight="1">
      <c r="A306" s="1"/>
      <c r="B306" s="1"/>
      <c r="C306" s="1"/>
      <c r="D306" s="1"/>
      <c r="E306" s="1"/>
      <c r="F306" s="1"/>
      <c r="G306" s="1"/>
      <c r="H306" s="1"/>
      <c r="I306" s="1"/>
      <c r="J306" s="1"/>
    </row>
    <row r="307" ht="15.75" customHeight="1">
      <c r="A307" s="1"/>
      <c r="B307" s="1"/>
      <c r="C307" s="1"/>
      <c r="D307" s="1"/>
      <c r="E307" s="1"/>
      <c r="F307" s="1"/>
      <c r="G307" s="1"/>
      <c r="H307" s="1"/>
      <c r="I307" s="1"/>
      <c r="J307" s="1"/>
    </row>
    <row r="308" ht="15.75" customHeight="1">
      <c r="A308" s="1"/>
      <c r="B308" s="1"/>
      <c r="C308" s="1"/>
      <c r="D308" s="1"/>
      <c r="E308" s="1"/>
      <c r="F308" s="1"/>
      <c r="G308" s="1"/>
      <c r="H308" s="1"/>
      <c r="I308" s="1"/>
      <c r="J308" s="1"/>
    </row>
    <row r="309" ht="15.75" customHeight="1">
      <c r="A309" s="1"/>
      <c r="B309" s="1"/>
      <c r="C309" s="1"/>
      <c r="D309" s="1"/>
      <c r="E309" s="1"/>
      <c r="F309" s="1"/>
      <c r="G309" s="1"/>
      <c r="H309" s="1"/>
      <c r="I309" s="1"/>
      <c r="J309" s="1"/>
    </row>
    <row r="310" ht="15.75" customHeight="1">
      <c r="A310" s="1"/>
      <c r="B310" s="1"/>
      <c r="C310" s="1"/>
      <c r="D310" s="1"/>
      <c r="E310" s="1"/>
      <c r="F310" s="1"/>
      <c r="G310" s="1"/>
      <c r="H310" s="1"/>
      <c r="I310" s="1"/>
      <c r="J310" s="1"/>
    </row>
    <row r="311" ht="15.75" customHeight="1">
      <c r="A311" s="1"/>
      <c r="B311" s="1"/>
      <c r="C311" s="1"/>
      <c r="D311" s="1"/>
      <c r="E311" s="1"/>
      <c r="F311" s="1"/>
      <c r="G311" s="1"/>
      <c r="H311" s="1"/>
      <c r="I311" s="1"/>
      <c r="J311" s="1"/>
    </row>
    <row r="312" ht="15.75" customHeight="1">
      <c r="A312" s="1"/>
      <c r="B312" s="1"/>
      <c r="C312" s="1"/>
      <c r="D312" s="1"/>
      <c r="E312" s="1"/>
      <c r="F312" s="1"/>
      <c r="G312" s="1"/>
      <c r="H312" s="1"/>
      <c r="I312" s="1"/>
      <c r="J312" s="1"/>
    </row>
    <row r="313" ht="15.75" customHeight="1">
      <c r="A313" s="1"/>
      <c r="B313" s="1"/>
      <c r="C313" s="1"/>
      <c r="D313" s="1"/>
      <c r="E313" s="1"/>
      <c r="F313" s="1"/>
      <c r="G313" s="1"/>
      <c r="H313" s="1"/>
      <c r="I313" s="1"/>
      <c r="J313" s="1"/>
    </row>
    <row r="314" ht="15.75" customHeight="1">
      <c r="A314" s="1"/>
      <c r="B314" s="1"/>
      <c r="C314" s="1"/>
      <c r="D314" s="1"/>
      <c r="E314" s="1"/>
      <c r="F314" s="1"/>
      <c r="G314" s="1"/>
      <c r="H314" s="1"/>
      <c r="I314" s="1"/>
      <c r="J314" s="1"/>
    </row>
    <row r="315" ht="15.75" customHeight="1">
      <c r="A315" s="1"/>
      <c r="B315" s="1"/>
      <c r="C315" s="1"/>
      <c r="D315" s="1"/>
      <c r="E315" s="1"/>
      <c r="F315" s="1"/>
      <c r="G315" s="1"/>
      <c r="H315" s="1"/>
      <c r="I315" s="1"/>
      <c r="J315" s="1"/>
    </row>
    <row r="316" ht="15.75" customHeight="1">
      <c r="A316" s="1"/>
      <c r="B316" s="1"/>
      <c r="C316" s="1"/>
      <c r="D316" s="1"/>
      <c r="E316" s="1"/>
      <c r="F316" s="1"/>
      <c r="G316" s="1"/>
      <c r="H316" s="1"/>
      <c r="I316" s="1"/>
      <c r="J316" s="1"/>
    </row>
    <row r="317" ht="15.75" customHeight="1">
      <c r="A317" s="1"/>
      <c r="B317" s="1"/>
      <c r="C317" s="1"/>
      <c r="D317" s="1"/>
      <c r="E317" s="1"/>
      <c r="F317" s="1"/>
      <c r="G317" s="1"/>
      <c r="H317" s="1"/>
      <c r="I317" s="1"/>
      <c r="J317" s="1"/>
    </row>
    <row r="318" ht="15.75" customHeight="1">
      <c r="A318" s="1"/>
      <c r="B318" s="1"/>
      <c r="C318" s="1"/>
      <c r="D318" s="1"/>
      <c r="E318" s="1"/>
      <c r="F318" s="1"/>
      <c r="G318" s="1"/>
      <c r="H318" s="1"/>
      <c r="I318" s="1"/>
      <c r="J318" s="1"/>
    </row>
    <row r="319" ht="15.75" customHeight="1">
      <c r="A319" s="1"/>
      <c r="B319" s="1"/>
      <c r="C319" s="1"/>
      <c r="D319" s="1"/>
      <c r="E319" s="1"/>
      <c r="F319" s="1"/>
      <c r="G319" s="1"/>
      <c r="H319" s="1"/>
      <c r="I319" s="1"/>
      <c r="J319" s="1"/>
    </row>
    <row r="320" ht="15.75" customHeight="1">
      <c r="A320" s="1"/>
      <c r="B320" s="1"/>
      <c r="C320" s="1"/>
      <c r="D320" s="1"/>
      <c r="E320" s="1"/>
      <c r="F320" s="1"/>
      <c r="G320" s="1"/>
      <c r="H320" s="1"/>
      <c r="I320" s="1"/>
      <c r="J320" s="1"/>
    </row>
    <row r="321" ht="15.75" customHeight="1">
      <c r="A321" s="1"/>
      <c r="B321" s="1"/>
      <c r="C321" s="1"/>
      <c r="D321" s="1"/>
      <c r="E321" s="1"/>
      <c r="F321" s="1"/>
      <c r="G321" s="1"/>
      <c r="H321" s="1"/>
      <c r="I321" s="1"/>
      <c r="J321" s="1"/>
    </row>
    <row r="322" ht="15.75" customHeight="1">
      <c r="A322" s="1"/>
      <c r="B322" s="1"/>
      <c r="C322" s="1"/>
      <c r="D322" s="1"/>
      <c r="E322" s="1"/>
      <c r="F322" s="1"/>
      <c r="G322" s="1"/>
      <c r="H322" s="1"/>
      <c r="I322" s="1"/>
      <c r="J322" s="1"/>
    </row>
    <row r="323" ht="15.75" customHeight="1">
      <c r="A323" s="1"/>
      <c r="B323" s="1"/>
      <c r="C323" s="1"/>
      <c r="D323" s="1"/>
      <c r="E323" s="1"/>
      <c r="F323" s="1"/>
      <c r="G323" s="1"/>
      <c r="H323" s="1"/>
      <c r="I323" s="1"/>
      <c r="J323" s="1"/>
    </row>
    <row r="324" ht="15.75" customHeight="1">
      <c r="A324" s="1"/>
      <c r="B324" s="1"/>
      <c r="C324" s="1"/>
      <c r="D324" s="1"/>
      <c r="E324" s="1"/>
      <c r="F324" s="1"/>
      <c r="G324" s="1"/>
      <c r="H324" s="1"/>
      <c r="I324" s="1"/>
      <c r="J324" s="1"/>
    </row>
    <row r="325" ht="15.75" customHeight="1">
      <c r="A325" s="1"/>
      <c r="B325" s="1"/>
      <c r="C325" s="1"/>
      <c r="D325" s="1"/>
      <c r="E325" s="1"/>
      <c r="F325" s="1"/>
      <c r="G325" s="1"/>
      <c r="H325" s="1"/>
      <c r="I325" s="1"/>
      <c r="J325" s="1"/>
    </row>
    <row r="326" ht="15.75" customHeight="1">
      <c r="A326" s="1"/>
      <c r="B326" s="1"/>
      <c r="C326" s="1"/>
      <c r="D326" s="1"/>
      <c r="E326" s="1"/>
      <c r="F326" s="1"/>
      <c r="G326" s="1"/>
      <c r="H326" s="1"/>
      <c r="I326" s="1"/>
      <c r="J326" s="1"/>
    </row>
    <row r="327" ht="15.75" customHeight="1">
      <c r="A327" s="1"/>
      <c r="B327" s="1"/>
      <c r="C327" s="1"/>
      <c r="D327" s="1"/>
      <c r="E327" s="1"/>
      <c r="F327" s="1"/>
      <c r="G327" s="1"/>
      <c r="H327" s="1"/>
      <c r="I327" s="1"/>
      <c r="J327" s="1"/>
    </row>
    <row r="328" ht="15.75" customHeight="1">
      <c r="A328" s="1"/>
      <c r="B328" s="1"/>
      <c r="C328" s="1"/>
      <c r="D328" s="1"/>
      <c r="E328" s="1"/>
      <c r="F328" s="1"/>
      <c r="G328" s="1"/>
      <c r="H328" s="1"/>
      <c r="I328" s="1"/>
      <c r="J328" s="1"/>
    </row>
    <row r="329" ht="15.75" customHeight="1">
      <c r="A329" s="1"/>
      <c r="B329" s="1"/>
      <c r="C329" s="1"/>
      <c r="D329" s="1"/>
      <c r="E329" s="1"/>
      <c r="F329" s="1"/>
      <c r="G329" s="1"/>
      <c r="H329" s="1"/>
      <c r="I329" s="1"/>
      <c r="J329" s="1"/>
    </row>
    <row r="330" ht="15.75" customHeight="1">
      <c r="A330" s="1"/>
      <c r="B330" s="1"/>
      <c r="C330" s="1"/>
      <c r="D330" s="1"/>
      <c r="E330" s="1"/>
      <c r="F330" s="1"/>
      <c r="G330" s="1"/>
      <c r="H330" s="1"/>
      <c r="I330" s="1"/>
      <c r="J330" s="1"/>
    </row>
    <row r="331" ht="15.75" customHeight="1">
      <c r="A331" s="1"/>
      <c r="B331" s="1"/>
      <c r="C331" s="1"/>
      <c r="D331" s="1"/>
      <c r="E331" s="1"/>
      <c r="F331" s="1"/>
      <c r="G331" s="1"/>
      <c r="H331" s="1"/>
      <c r="I331" s="1"/>
      <c r="J331" s="1"/>
    </row>
    <row r="332" ht="15.75" customHeight="1">
      <c r="A332" s="1"/>
      <c r="B332" s="1"/>
      <c r="C332" s="1"/>
      <c r="D332" s="1"/>
      <c r="E332" s="1"/>
      <c r="F332" s="1"/>
      <c r="G332" s="1"/>
      <c r="H332" s="1"/>
      <c r="I332" s="1"/>
      <c r="J332" s="1"/>
    </row>
    <row r="333" ht="15.75" customHeight="1">
      <c r="A333" s="1"/>
      <c r="B333" s="1"/>
      <c r="C333" s="1"/>
      <c r="D333" s="1"/>
      <c r="E333" s="1"/>
      <c r="F333" s="1"/>
      <c r="G333" s="1"/>
      <c r="H333" s="1"/>
      <c r="I333" s="1"/>
      <c r="J333" s="1"/>
    </row>
    <row r="334" ht="15.75" customHeight="1">
      <c r="A334" s="1"/>
      <c r="B334" s="1"/>
      <c r="C334" s="1"/>
      <c r="D334" s="1"/>
      <c r="E334" s="1"/>
      <c r="F334" s="1"/>
      <c r="G334" s="1"/>
      <c r="H334" s="1"/>
      <c r="I334" s="1"/>
      <c r="J334" s="1"/>
    </row>
    <row r="335" ht="15.75" customHeight="1">
      <c r="A335" s="1"/>
      <c r="B335" s="1"/>
      <c r="C335" s="1"/>
      <c r="D335" s="1"/>
      <c r="E335" s="1"/>
      <c r="F335" s="1"/>
      <c r="G335" s="1"/>
      <c r="H335" s="1"/>
      <c r="I335" s="1"/>
      <c r="J335" s="1"/>
    </row>
    <row r="336" ht="15.75" customHeight="1">
      <c r="A336" s="1"/>
      <c r="B336" s="1"/>
      <c r="C336" s="1"/>
      <c r="D336" s="1"/>
      <c r="E336" s="1"/>
      <c r="F336" s="1"/>
      <c r="G336" s="1"/>
      <c r="H336" s="1"/>
      <c r="I336" s="1"/>
      <c r="J336" s="1"/>
    </row>
    <row r="337" ht="15.75" customHeight="1">
      <c r="A337" s="1"/>
      <c r="B337" s="1"/>
      <c r="C337" s="1"/>
      <c r="D337" s="1"/>
      <c r="E337" s="1"/>
      <c r="F337" s="1"/>
      <c r="G337" s="1"/>
      <c r="H337" s="1"/>
      <c r="I337" s="1"/>
      <c r="J337" s="1"/>
    </row>
    <row r="338" ht="15.75" customHeight="1">
      <c r="A338" s="1"/>
      <c r="B338" s="1"/>
      <c r="C338" s="1"/>
      <c r="D338" s="1"/>
      <c r="E338" s="1"/>
      <c r="F338" s="1"/>
      <c r="G338" s="1"/>
      <c r="H338" s="1"/>
      <c r="I338" s="1"/>
      <c r="J338" s="1"/>
    </row>
    <row r="339" ht="15.75" customHeight="1">
      <c r="A339" s="1"/>
      <c r="B339" s="1"/>
      <c r="C339" s="1"/>
      <c r="D339" s="1"/>
      <c r="E339" s="1"/>
      <c r="F339" s="1"/>
      <c r="G339" s="1"/>
      <c r="H339" s="1"/>
      <c r="I339" s="1"/>
      <c r="J339" s="1"/>
    </row>
    <row r="340" ht="15.75" customHeight="1">
      <c r="A340" s="1"/>
      <c r="B340" s="1"/>
      <c r="C340" s="1"/>
      <c r="D340" s="1"/>
      <c r="E340" s="1"/>
      <c r="F340" s="1"/>
      <c r="G340" s="1"/>
      <c r="H340" s="1"/>
      <c r="I340" s="1"/>
      <c r="J340" s="1"/>
    </row>
    <row r="341" ht="15.75" customHeight="1">
      <c r="A341" s="1"/>
      <c r="B341" s="1"/>
      <c r="C341" s="1"/>
      <c r="D341" s="1"/>
      <c r="E341" s="1"/>
      <c r="F341" s="1"/>
      <c r="G341" s="1"/>
      <c r="H341" s="1"/>
      <c r="I341" s="1"/>
      <c r="J341" s="1"/>
    </row>
    <row r="342" ht="15.75" customHeight="1">
      <c r="A342" s="1"/>
      <c r="B342" s="1"/>
      <c r="C342" s="1"/>
      <c r="D342" s="1"/>
      <c r="E342" s="1"/>
      <c r="F342" s="1"/>
      <c r="G342" s="1"/>
      <c r="H342" s="1"/>
      <c r="I342" s="1"/>
      <c r="J342" s="1"/>
    </row>
    <row r="343" ht="15.75" customHeight="1">
      <c r="A343" s="1"/>
      <c r="B343" s="1"/>
      <c r="C343" s="1"/>
      <c r="D343" s="1"/>
      <c r="E343" s="1"/>
      <c r="F343" s="1"/>
      <c r="G343" s="1"/>
      <c r="H343" s="1"/>
      <c r="I343" s="1"/>
      <c r="J343" s="1"/>
    </row>
    <row r="344" ht="15.75" customHeight="1">
      <c r="A344" s="1"/>
      <c r="B344" s="1"/>
      <c r="C344" s="1"/>
      <c r="D344" s="1"/>
      <c r="E344" s="1"/>
      <c r="F344" s="1"/>
      <c r="G344" s="1"/>
      <c r="H344" s="1"/>
      <c r="I344" s="1"/>
      <c r="J344" s="1"/>
    </row>
    <row r="345" ht="15.75" customHeight="1">
      <c r="A345" s="1"/>
      <c r="B345" s="1"/>
      <c r="C345" s="1"/>
      <c r="D345" s="1"/>
      <c r="E345" s="1"/>
      <c r="F345" s="1"/>
      <c r="G345" s="1"/>
      <c r="H345" s="1"/>
      <c r="I345" s="1"/>
      <c r="J345" s="1"/>
    </row>
    <row r="346" ht="15.75" customHeight="1">
      <c r="A346" s="1"/>
      <c r="B346" s="1"/>
      <c r="C346" s="1"/>
      <c r="D346" s="1"/>
      <c r="E346" s="1"/>
      <c r="F346" s="1"/>
      <c r="G346" s="1"/>
      <c r="H346" s="1"/>
      <c r="I346" s="1"/>
      <c r="J346" s="1"/>
    </row>
    <row r="347" ht="15.75" customHeight="1">
      <c r="A347" s="1"/>
      <c r="B347" s="1"/>
      <c r="C347" s="1"/>
      <c r="D347" s="1"/>
      <c r="E347" s="1"/>
      <c r="F347" s="1"/>
      <c r="G347" s="1"/>
      <c r="H347" s="1"/>
      <c r="I347" s="1"/>
      <c r="J347" s="1"/>
    </row>
    <row r="348" ht="15.75" customHeight="1">
      <c r="A348" s="1"/>
      <c r="B348" s="1"/>
      <c r="C348" s="1"/>
      <c r="D348" s="1"/>
      <c r="E348" s="1"/>
      <c r="F348" s="1"/>
      <c r="G348" s="1"/>
      <c r="H348" s="1"/>
      <c r="I348" s="1"/>
      <c r="J348" s="1"/>
    </row>
    <row r="349" ht="15.75" customHeight="1">
      <c r="A349" s="1"/>
      <c r="B349" s="1"/>
      <c r="C349" s="1"/>
      <c r="D349" s="1"/>
      <c r="E349" s="1"/>
      <c r="F349" s="1"/>
      <c r="G349" s="1"/>
      <c r="H349" s="1"/>
      <c r="I349" s="1"/>
      <c r="J349" s="1"/>
    </row>
    <row r="350" ht="15.75" customHeight="1">
      <c r="A350" s="1"/>
      <c r="B350" s="1"/>
      <c r="C350" s="1"/>
      <c r="D350" s="1"/>
      <c r="E350" s="1"/>
      <c r="F350" s="1"/>
      <c r="G350" s="1"/>
      <c r="H350" s="1"/>
      <c r="I350" s="1"/>
      <c r="J350" s="1"/>
    </row>
    <row r="351" ht="15.75" customHeight="1">
      <c r="A351" s="1"/>
      <c r="B351" s="1"/>
      <c r="C351" s="1"/>
      <c r="D351" s="1"/>
      <c r="E351" s="1"/>
      <c r="F351" s="1"/>
      <c r="G351" s="1"/>
      <c r="H351" s="1"/>
      <c r="I351" s="1"/>
      <c r="J351" s="1"/>
    </row>
    <row r="352" ht="15.75" customHeight="1">
      <c r="A352" s="1"/>
      <c r="B352" s="1"/>
      <c r="C352" s="1"/>
      <c r="D352" s="1"/>
      <c r="E352" s="1"/>
      <c r="F352" s="1"/>
      <c r="G352" s="1"/>
      <c r="H352" s="1"/>
      <c r="I352" s="1"/>
      <c r="J352" s="1"/>
    </row>
    <row r="353" ht="15.75" customHeight="1">
      <c r="A353" s="1"/>
      <c r="B353" s="1"/>
      <c r="C353" s="1"/>
      <c r="D353" s="1"/>
      <c r="E353" s="1"/>
      <c r="F353" s="1"/>
      <c r="G353" s="1"/>
      <c r="H353" s="1"/>
      <c r="I353" s="1"/>
      <c r="J353" s="1"/>
    </row>
    <row r="354" ht="15.75" customHeight="1">
      <c r="A354" s="1"/>
      <c r="B354" s="1"/>
      <c r="C354" s="1"/>
      <c r="D354" s="1"/>
      <c r="E354" s="1"/>
      <c r="F354" s="1"/>
      <c r="G354" s="1"/>
      <c r="H354" s="1"/>
      <c r="I354" s="1"/>
      <c r="J354" s="1"/>
    </row>
    <row r="355" ht="15.75" customHeight="1">
      <c r="A355" s="1"/>
      <c r="B355" s="1"/>
      <c r="C355" s="1"/>
      <c r="D355" s="1"/>
      <c r="E355" s="1"/>
      <c r="F355" s="1"/>
      <c r="G355" s="1"/>
      <c r="H355" s="1"/>
      <c r="I355" s="1"/>
      <c r="J355" s="1"/>
    </row>
    <row r="356" ht="15.75" customHeight="1">
      <c r="A356" s="1"/>
      <c r="B356" s="1"/>
      <c r="C356" s="1"/>
      <c r="D356" s="1"/>
      <c r="E356" s="1"/>
      <c r="F356" s="1"/>
      <c r="G356" s="1"/>
      <c r="H356" s="1"/>
      <c r="I356" s="1"/>
      <c r="J356" s="1"/>
    </row>
    <row r="357" ht="15.75" customHeight="1">
      <c r="A357" s="1"/>
      <c r="B357" s="1"/>
      <c r="C357" s="1"/>
      <c r="D357" s="1"/>
      <c r="E357" s="1"/>
      <c r="F357" s="1"/>
      <c r="G357" s="1"/>
      <c r="H357" s="1"/>
      <c r="I357" s="1"/>
      <c r="J357" s="1"/>
    </row>
    <row r="358" ht="15.75" customHeight="1">
      <c r="A358" s="1"/>
      <c r="B358" s="1"/>
      <c r="C358" s="1"/>
      <c r="D358" s="1"/>
      <c r="E358" s="1"/>
      <c r="F358" s="1"/>
      <c r="G358" s="1"/>
      <c r="H358" s="1"/>
      <c r="I358" s="1"/>
      <c r="J358" s="1"/>
    </row>
    <row r="359" ht="15.75" customHeight="1">
      <c r="A359" s="1"/>
      <c r="B359" s="1"/>
      <c r="C359" s="1"/>
      <c r="D359" s="1"/>
      <c r="E359" s="1"/>
      <c r="F359" s="1"/>
      <c r="G359" s="1"/>
      <c r="H359" s="1"/>
      <c r="I359" s="1"/>
      <c r="J359" s="1"/>
    </row>
    <row r="360" ht="15.75" customHeight="1">
      <c r="A360" s="1"/>
      <c r="B360" s="1"/>
      <c r="C360" s="1"/>
      <c r="D360" s="1"/>
      <c r="E360" s="1"/>
      <c r="F360" s="1"/>
      <c r="G360" s="1"/>
      <c r="H360" s="1"/>
      <c r="I360" s="1"/>
      <c r="J360" s="1"/>
    </row>
    <row r="361" ht="15.75" customHeight="1">
      <c r="A361" s="1"/>
      <c r="B361" s="1"/>
      <c r="C361" s="1"/>
      <c r="D361" s="1"/>
      <c r="E361" s="1"/>
      <c r="F361" s="1"/>
      <c r="G361" s="1"/>
      <c r="H361" s="1"/>
      <c r="I361" s="1"/>
      <c r="J361" s="1"/>
    </row>
    <row r="362" ht="15.75" customHeight="1">
      <c r="A362" s="1"/>
      <c r="B362" s="1"/>
      <c r="C362" s="1"/>
      <c r="D362" s="1"/>
      <c r="E362" s="1"/>
      <c r="F362" s="1"/>
      <c r="G362" s="1"/>
      <c r="H362" s="1"/>
      <c r="I362" s="1"/>
      <c r="J362" s="1"/>
    </row>
    <row r="363" ht="15.75" customHeight="1">
      <c r="A363" s="1"/>
      <c r="B363" s="1"/>
      <c r="C363" s="1"/>
      <c r="D363" s="1"/>
      <c r="E363" s="1"/>
      <c r="F363" s="1"/>
      <c r="G363" s="1"/>
      <c r="H363" s="1"/>
      <c r="I363" s="1"/>
      <c r="J363" s="1"/>
    </row>
    <row r="364" ht="15.75" customHeight="1">
      <c r="A364" s="1"/>
      <c r="B364" s="1"/>
      <c r="C364" s="1"/>
      <c r="D364" s="1"/>
      <c r="E364" s="1"/>
      <c r="F364" s="1"/>
      <c r="G364" s="1"/>
      <c r="H364" s="1"/>
      <c r="I364" s="1"/>
      <c r="J364" s="1"/>
    </row>
    <row r="365" ht="15.75" customHeight="1">
      <c r="A365" s="1"/>
      <c r="B365" s="1"/>
      <c r="C365" s="1"/>
      <c r="D365" s="1"/>
      <c r="E365" s="1"/>
      <c r="F365" s="1"/>
      <c r="G365" s="1"/>
      <c r="H365" s="1"/>
      <c r="I365" s="1"/>
      <c r="J365" s="1"/>
    </row>
    <row r="366" ht="15.75" customHeight="1">
      <c r="A366" s="1"/>
      <c r="B366" s="1"/>
      <c r="C366" s="1"/>
      <c r="D366" s="1"/>
      <c r="E366" s="1"/>
      <c r="F366" s="1"/>
      <c r="G366" s="1"/>
      <c r="H366" s="1"/>
      <c r="I366" s="1"/>
      <c r="J366" s="1"/>
    </row>
    <row r="367" ht="15.75" customHeight="1">
      <c r="A367" s="1"/>
      <c r="B367" s="1"/>
      <c r="C367" s="1"/>
      <c r="D367" s="1"/>
      <c r="E367" s="1"/>
      <c r="F367" s="1"/>
      <c r="G367" s="1"/>
      <c r="H367" s="1"/>
      <c r="I367" s="1"/>
      <c r="J367" s="1"/>
    </row>
    <row r="368" ht="15.75" customHeight="1">
      <c r="A368" s="1"/>
      <c r="B368" s="1"/>
      <c r="C368" s="1"/>
      <c r="D368" s="1"/>
      <c r="E368" s="1"/>
      <c r="F368" s="1"/>
      <c r="G368" s="1"/>
      <c r="H368" s="1"/>
      <c r="I368" s="1"/>
      <c r="J368" s="1"/>
    </row>
    <row r="369" ht="15.75" customHeight="1">
      <c r="A369" s="1"/>
      <c r="B369" s="1"/>
      <c r="C369" s="1"/>
      <c r="D369" s="1"/>
      <c r="E369" s="1"/>
      <c r="F369" s="1"/>
      <c r="G369" s="1"/>
      <c r="H369" s="1"/>
      <c r="I369" s="1"/>
      <c r="J369" s="1"/>
    </row>
    <row r="370" ht="15.75" customHeight="1">
      <c r="A370" s="1"/>
      <c r="B370" s="1"/>
      <c r="C370" s="1"/>
      <c r="D370" s="1"/>
      <c r="E370" s="1"/>
      <c r="F370" s="1"/>
      <c r="G370" s="1"/>
      <c r="H370" s="1"/>
      <c r="I370" s="1"/>
      <c r="J370" s="1"/>
    </row>
    <row r="371" ht="15.75" customHeight="1">
      <c r="A371" s="1"/>
      <c r="B371" s="1"/>
      <c r="C371" s="1"/>
      <c r="D371" s="1"/>
      <c r="E371" s="1"/>
      <c r="F371" s="1"/>
      <c r="G371" s="1"/>
      <c r="H371" s="1"/>
      <c r="I371" s="1"/>
      <c r="J371" s="1"/>
    </row>
    <row r="372" ht="15.75" customHeight="1">
      <c r="A372" s="1"/>
      <c r="B372" s="1"/>
      <c r="C372" s="1"/>
      <c r="D372" s="1"/>
      <c r="E372" s="1"/>
      <c r="F372" s="1"/>
      <c r="G372" s="1"/>
      <c r="H372" s="1"/>
      <c r="I372" s="1"/>
      <c r="J372" s="1"/>
    </row>
    <row r="373" ht="15.75" customHeight="1">
      <c r="A373" s="1"/>
      <c r="B373" s="1"/>
      <c r="C373" s="1"/>
      <c r="D373" s="1"/>
      <c r="E373" s="1"/>
      <c r="F373" s="1"/>
      <c r="G373" s="1"/>
      <c r="H373" s="1"/>
      <c r="I373" s="1"/>
      <c r="J373" s="1"/>
    </row>
    <row r="374" ht="15.75" customHeight="1">
      <c r="A374" s="1"/>
      <c r="B374" s="1"/>
      <c r="C374" s="1"/>
      <c r="D374" s="1"/>
      <c r="E374" s="1"/>
      <c r="F374" s="1"/>
      <c r="G374" s="1"/>
      <c r="H374" s="1"/>
      <c r="I374" s="1"/>
      <c r="J374" s="1"/>
    </row>
    <row r="375" ht="15.75" customHeight="1">
      <c r="A375" s="1"/>
      <c r="B375" s="1"/>
      <c r="C375" s="1"/>
      <c r="D375" s="1"/>
      <c r="E375" s="1"/>
      <c r="F375" s="1"/>
      <c r="G375" s="1"/>
      <c r="H375" s="1"/>
      <c r="I375" s="1"/>
      <c r="J375" s="1"/>
    </row>
    <row r="376" ht="15.75" customHeight="1">
      <c r="A376" s="1"/>
      <c r="B376" s="1"/>
      <c r="C376" s="1"/>
      <c r="D376" s="1"/>
      <c r="E376" s="1"/>
      <c r="F376" s="1"/>
      <c r="G376" s="1"/>
      <c r="H376" s="1"/>
      <c r="I376" s="1"/>
      <c r="J376" s="1"/>
    </row>
    <row r="377" ht="15.75" customHeight="1">
      <c r="A377" s="1"/>
      <c r="B377" s="1"/>
      <c r="C377" s="1"/>
      <c r="D377" s="1"/>
      <c r="E377" s="1"/>
      <c r="F377" s="1"/>
      <c r="G377" s="1"/>
      <c r="H377" s="1"/>
      <c r="I377" s="1"/>
      <c r="J377" s="1"/>
    </row>
    <row r="378" ht="15.75" customHeight="1">
      <c r="A378" s="1"/>
      <c r="B378" s="1"/>
      <c r="C378" s="1"/>
      <c r="D378" s="1"/>
      <c r="E378" s="1"/>
      <c r="F378" s="1"/>
      <c r="G378" s="1"/>
      <c r="H378" s="1"/>
      <c r="I378" s="1"/>
      <c r="J378" s="1"/>
    </row>
    <row r="379" ht="15.75" customHeight="1">
      <c r="A379" s="1"/>
      <c r="B379" s="1"/>
      <c r="C379" s="1"/>
      <c r="D379" s="1"/>
      <c r="E379" s="1"/>
      <c r="F379" s="1"/>
      <c r="G379" s="1"/>
      <c r="H379" s="1"/>
      <c r="I379" s="1"/>
      <c r="J379" s="1"/>
    </row>
    <row r="380" ht="15.75" customHeight="1">
      <c r="A380" s="1"/>
      <c r="B380" s="1"/>
      <c r="C380" s="1"/>
      <c r="D380" s="1"/>
      <c r="E380" s="1"/>
      <c r="F380" s="1"/>
      <c r="G380" s="1"/>
      <c r="H380" s="1"/>
      <c r="I380" s="1"/>
      <c r="J380" s="1"/>
    </row>
    <row r="381" ht="15.75" customHeight="1">
      <c r="A381" s="1"/>
      <c r="B381" s="1"/>
      <c r="C381" s="1"/>
      <c r="D381" s="1"/>
      <c r="E381" s="1"/>
      <c r="F381" s="1"/>
      <c r="G381" s="1"/>
      <c r="H381" s="1"/>
      <c r="I381" s="1"/>
      <c r="J381" s="1"/>
    </row>
    <row r="382" ht="15.75" customHeight="1">
      <c r="A382" s="1"/>
      <c r="B382" s="1"/>
      <c r="C382" s="1"/>
      <c r="D382" s="1"/>
      <c r="E382" s="1"/>
      <c r="F382" s="1"/>
      <c r="G382" s="1"/>
      <c r="H382" s="1"/>
      <c r="I382" s="1"/>
      <c r="J382" s="1"/>
    </row>
    <row r="383" ht="15.75" customHeight="1">
      <c r="A383" s="1"/>
      <c r="B383" s="1"/>
      <c r="C383" s="1"/>
      <c r="D383" s="1"/>
      <c r="E383" s="1"/>
      <c r="F383" s="1"/>
      <c r="G383" s="1"/>
      <c r="H383" s="1"/>
      <c r="I383" s="1"/>
      <c r="J383" s="1"/>
    </row>
    <row r="384" ht="15.75" customHeight="1">
      <c r="A384" s="1"/>
      <c r="B384" s="1"/>
      <c r="C384" s="1"/>
      <c r="D384" s="1"/>
      <c r="E384" s="1"/>
      <c r="F384" s="1"/>
      <c r="G384" s="1"/>
      <c r="H384" s="1"/>
      <c r="I384" s="1"/>
      <c r="J384" s="1"/>
    </row>
    <row r="385" ht="15.75" customHeight="1">
      <c r="A385" s="1"/>
      <c r="B385" s="1"/>
      <c r="C385" s="1"/>
      <c r="D385" s="1"/>
      <c r="E385" s="1"/>
      <c r="F385" s="1"/>
      <c r="G385" s="1"/>
      <c r="H385" s="1"/>
      <c r="I385" s="1"/>
      <c r="J385" s="1"/>
    </row>
    <row r="386" ht="15.75" customHeight="1">
      <c r="A386" s="1"/>
      <c r="B386" s="1"/>
      <c r="C386" s="1"/>
      <c r="D386" s="1"/>
      <c r="E386" s="1"/>
      <c r="F386" s="1"/>
      <c r="G386" s="1"/>
      <c r="H386" s="1"/>
      <c r="I386" s="1"/>
      <c r="J386" s="1"/>
    </row>
    <row r="387" ht="15.75" customHeight="1">
      <c r="A387" s="1"/>
      <c r="B387" s="1"/>
      <c r="C387" s="1"/>
      <c r="D387" s="1"/>
      <c r="E387" s="1"/>
      <c r="F387" s="1"/>
      <c r="G387" s="1"/>
      <c r="H387" s="1"/>
      <c r="I387" s="1"/>
      <c r="J387" s="1"/>
    </row>
    <row r="388" ht="15.75" customHeight="1">
      <c r="A388" s="1"/>
      <c r="B388" s="1"/>
      <c r="C388" s="1"/>
      <c r="D388" s="1"/>
      <c r="E388" s="1"/>
      <c r="F388" s="1"/>
      <c r="G388" s="1"/>
      <c r="H388" s="1"/>
      <c r="I388" s="1"/>
      <c r="J388" s="1"/>
    </row>
    <row r="389" ht="15.75" customHeight="1">
      <c r="A389" s="1"/>
      <c r="B389" s="1"/>
      <c r="C389" s="1"/>
      <c r="D389" s="1"/>
      <c r="E389" s="1"/>
      <c r="F389" s="1"/>
      <c r="G389" s="1"/>
      <c r="H389" s="1"/>
      <c r="I389" s="1"/>
      <c r="J389" s="1"/>
    </row>
    <row r="390" ht="15.75" customHeight="1">
      <c r="A390" s="1"/>
      <c r="B390" s="1"/>
      <c r="C390" s="1"/>
      <c r="D390" s="1"/>
      <c r="E390" s="1"/>
      <c r="F390" s="1"/>
      <c r="G390" s="1"/>
      <c r="H390" s="1"/>
      <c r="I390" s="1"/>
      <c r="J390" s="1"/>
    </row>
    <row r="391" ht="15.75" customHeight="1">
      <c r="A391" s="1"/>
      <c r="B391" s="1"/>
      <c r="C391" s="1"/>
      <c r="D391" s="1"/>
      <c r="E391" s="1"/>
      <c r="F391" s="1"/>
      <c r="G391" s="1"/>
      <c r="H391" s="1"/>
      <c r="I391" s="1"/>
      <c r="J391" s="1"/>
    </row>
    <row r="392" ht="15.75" customHeight="1">
      <c r="A392" s="1"/>
      <c r="B392" s="1"/>
      <c r="C392" s="1"/>
      <c r="D392" s="1"/>
      <c r="E392" s="1"/>
      <c r="F392" s="1"/>
      <c r="G392" s="1"/>
      <c r="H392" s="1"/>
      <c r="I392" s="1"/>
      <c r="J392" s="1"/>
    </row>
    <row r="393" ht="15.75" customHeight="1">
      <c r="A393" s="1"/>
      <c r="B393" s="1"/>
      <c r="C393" s="1"/>
      <c r="D393" s="1"/>
      <c r="E393" s="1"/>
      <c r="F393" s="1"/>
      <c r="G393" s="1"/>
      <c r="H393" s="1"/>
      <c r="I393" s="1"/>
      <c r="J393" s="1"/>
    </row>
    <row r="394" ht="15.75" customHeight="1">
      <c r="A394" s="1"/>
      <c r="B394" s="1"/>
      <c r="C394" s="1"/>
      <c r="D394" s="1"/>
      <c r="E394" s="1"/>
      <c r="F394" s="1"/>
      <c r="G394" s="1"/>
      <c r="H394" s="1"/>
      <c r="I394" s="1"/>
      <c r="J394" s="1"/>
    </row>
    <row r="395" ht="15.75" customHeight="1">
      <c r="A395" s="1"/>
      <c r="B395" s="1"/>
      <c r="C395" s="1"/>
      <c r="D395" s="1"/>
      <c r="E395" s="1"/>
      <c r="F395" s="1"/>
      <c r="G395" s="1"/>
      <c r="H395" s="1"/>
      <c r="I395" s="1"/>
      <c r="J395" s="1"/>
    </row>
    <row r="396" ht="15.75" customHeight="1">
      <c r="A396" s="1"/>
      <c r="B396" s="1"/>
      <c r="C396" s="1"/>
      <c r="D396" s="1"/>
      <c r="E396" s="1"/>
      <c r="F396" s="1"/>
      <c r="G396" s="1"/>
      <c r="H396" s="1"/>
      <c r="I396" s="1"/>
      <c r="J396" s="1"/>
    </row>
    <row r="397" ht="15.75" customHeight="1">
      <c r="A397" s="1"/>
      <c r="B397" s="1"/>
      <c r="C397" s="1"/>
      <c r="D397" s="1"/>
      <c r="E397" s="1"/>
      <c r="F397" s="1"/>
      <c r="G397" s="1"/>
      <c r="H397" s="1"/>
      <c r="I397" s="1"/>
      <c r="J397" s="1"/>
    </row>
    <row r="398" ht="15.75" customHeight="1">
      <c r="A398" s="1"/>
      <c r="B398" s="1"/>
      <c r="C398" s="1"/>
      <c r="D398" s="1"/>
      <c r="E398" s="1"/>
      <c r="F398" s="1"/>
      <c r="G398" s="1"/>
      <c r="H398" s="1"/>
      <c r="I398" s="1"/>
      <c r="J398" s="1"/>
    </row>
    <row r="399" ht="15.75" customHeight="1">
      <c r="A399" s="1"/>
      <c r="B399" s="1"/>
      <c r="C399" s="1"/>
      <c r="D399" s="1"/>
      <c r="E399" s="1"/>
      <c r="F399" s="1"/>
      <c r="G399" s="1"/>
      <c r="H399" s="1"/>
      <c r="I399" s="1"/>
      <c r="J399" s="1"/>
    </row>
    <row r="400" ht="15.75" customHeight="1">
      <c r="A400" s="1"/>
      <c r="B400" s="1"/>
      <c r="C400" s="1"/>
      <c r="D400" s="1"/>
      <c r="E400" s="1"/>
      <c r="F400" s="1"/>
      <c r="G400" s="1"/>
      <c r="H400" s="1"/>
      <c r="I400" s="1"/>
      <c r="J400" s="1"/>
    </row>
    <row r="401" ht="15.75" customHeight="1">
      <c r="A401" s="1"/>
      <c r="B401" s="1"/>
      <c r="C401" s="1"/>
      <c r="D401" s="1"/>
      <c r="E401" s="1"/>
      <c r="F401" s="1"/>
      <c r="G401" s="1"/>
      <c r="H401" s="1"/>
      <c r="I401" s="1"/>
      <c r="J401" s="1"/>
    </row>
    <row r="402" ht="15.75" customHeight="1">
      <c r="A402" s="1"/>
      <c r="B402" s="1"/>
      <c r="C402" s="1"/>
      <c r="D402" s="1"/>
      <c r="E402" s="1"/>
      <c r="F402" s="1"/>
      <c r="G402" s="1"/>
      <c r="H402" s="1"/>
      <c r="I402" s="1"/>
      <c r="J402" s="1"/>
    </row>
    <row r="403" ht="15.75" customHeight="1">
      <c r="A403" s="1"/>
      <c r="B403" s="1"/>
      <c r="C403" s="1"/>
      <c r="D403" s="1"/>
      <c r="E403" s="1"/>
      <c r="F403" s="1"/>
      <c r="G403" s="1"/>
      <c r="H403" s="1"/>
      <c r="I403" s="1"/>
      <c r="J403" s="1"/>
    </row>
    <row r="404" ht="15.75" customHeight="1">
      <c r="A404" s="1"/>
      <c r="B404" s="1"/>
      <c r="C404" s="1"/>
      <c r="D404" s="1"/>
      <c r="E404" s="1"/>
      <c r="F404" s="1"/>
      <c r="G404" s="1"/>
      <c r="H404" s="1"/>
      <c r="I404" s="1"/>
      <c r="J404" s="1"/>
    </row>
    <row r="405" ht="15.75" customHeight="1">
      <c r="A405" s="1"/>
      <c r="B405" s="1"/>
      <c r="C405" s="1"/>
      <c r="D405" s="1"/>
      <c r="E405" s="1"/>
      <c r="F405" s="1"/>
      <c r="G405" s="1"/>
      <c r="H405" s="1"/>
      <c r="I405" s="1"/>
      <c r="J405" s="1"/>
    </row>
    <row r="406" ht="15.75" customHeight="1">
      <c r="A406" s="1"/>
      <c r="B406" s="1"/>
      <c r="C406" s="1"/>
      <c r="D406" s="1"/>
      <c r="E406" s="1"/>
      <c r="F406" s="1"/>
      <c r="G406" s="1"/>
      <c r="H406" s="1"/>
      <c r="I406" s="1"/>
      <c r="J406" s="1"/>
    </row>
    <row r="407" ht="15.75" customHeight="1">
      <c r="A407" s="1"/>
      <c r="B407" s="1"/>
      <c r="C407" s="1"/>
      <c r="D407" s="1"/>
      <c r="E407" s="1"/>
      <c r="F407" s="1"/>
      <c r="G407" s="1"/>
      <c r="H407" s="1"/>
      <c r="I407" s="1"/>
      <c r="J407" s="1"/>
    </row>
    <row r="408" ht="15.75" customHeight="1">
      <c r="A408" s="1"/>
      <c r="B408" s="1"/>
      <c r="C408" s="1"/>
      <c r="D408" s="1"/>
      <c r="E408" s="1"/>
      <c r="F408" s="1"/>
      <c r="G408" s="1"/>
      <c r="H408" s="1"/>
      <c r="I408" s="1"/>
      <c r="J408" s="1"/>
    </row>
    <row r="409" ht="15.75" customHeight="1">
      <c r="A409" s="1"/>
      <c r="B409" s="1"/>
      <c r="C409" s="1"/>
      <c r="D409" s="1"/>
      <c r="E409" s="1"/>
      <c r="F409" s="1"/>
      <c r="G409" s="1"/>
      <c r="H409" s="1"/>
      <c r="I409" s="1"/>
      <c r="J409" s="1"/>
    </row>
    <row r="410" ht="15.75" customHeight="1">
      <c r="A410" s="1"/>
      <c r="B410" s="1"/>
      <c r="C410" s="1"/>
      <c r="D410" s="1"/>
      <c r="E410" s="1"/>
      <c r="F410" s="1"/>
      <c r="G410" s="1"/>
      <c r="H410" s="1"/>
      <c r="I410" s="1"/>
      <c r="J410" s="1"/>
    </row>
    <row r="411" ht="15.75" customHeight="1">
      <c r="A411" s="1"/>
      <c r="B411" s="1"/>
      <c r="C411" s="1"/>
      <c r="D411" s="1"/>
      <c r="E411" s="1"/>
      <c r="F411" s="1"/>
      <c r="G411" s="1"/>
      <c r="H411" s="1"/>
      <c r="I411" s="1"/>
      <c r="J411" s="1"/>
    </row>
    <row r="412" ht="15.75" customHeight="1">
      <c r="A412" s="1"/>
      <c r="B412" s="1"/>
      <c r="C412" s="1"/>
      <c r="D412" s="1"/>
      <c r="E412" s="1"/>
      <c r="F412" s="1"/>
      <c r="G412" s="1"/>
      <c r="H412" s="1"/>
      <c r="I412" s="1"/>
      <c r="J412" s="1"/>
    </row>
    <row r="413" ht="15.75" customHeight="1">
      <c r="A413" s="1"/>
      <c r="B413" s="1"/>
      <c r="C413" s="1"/>
      <c r="D413" s="1"/>
      <c r="E413" s="1"/>
      <c r="F413" s="1"/>
      <c r="G413" s="1"/>
      <c r="H413" s="1"/>
      <c r="I413" s="1"/>
      <c r="J413" s="1"/>
    </row>
    <row r="414" ht="15.75" customHeight="1">
      <c r="A414" s="1"/>
      <c r="B414" s="1"/>
      <c r="C414" s="1"/>
      <c r="D414" s="1"/>
      <c r="E414" s="1"/>
      <c r="F414" s="1"/>
      <c r="G414" s="1"/>
      <c r="H414" s="1"/>
      <c r="I414" s="1"/>
      <c r="J414" s="1"/>
    </row>
    <row r="415" ht="15.75" customHeight="1">
      <c r="A415" s="1"/>
      <c r="B415" s="1"/>
      <c r="C415" s="1"/>
      <c r="D415" s="1"/>
      <c r="E415" s="1"/>
      <c r="F415" s="1"/>
      <c r="G415" s="1"/>
      <c r="H415" s="1"/>
      <c r="I415" s="1"/>
      <c r="J415" s="1"/>
    </row>
    <row r="416" ht="15.75" customHeight="1">
      <c r="A416" s="1"/>
      <c r="B416" s="1"/>
      <c r="C416" s="1"/>
      <c r="D416" s="1"/>
      <c r="E416" s="1"/>
      <c r="F416" s="1"/>
      <c r="G416" s="1"/>
      <c r="H416" s="1"/>
      <c r="I416" s="1"/>
      <c r="J416" s="1"/>
    </row>
    <row r="417" ht="15.75" customHeight="1">
      <c r="A417" s="1"/>
      <c r="B417" s="1"/>
      <c r="C417" s="1"/>
      <c r="D417" s="1"/>
      <c r="E417" s="1"/>
      <c r="F417" s="1"/>
      <c r="G417" s="1"/>
      <c r="H417" s="1"/>
      <c r="I417" s="1"/>
      <c r="J417" s="1"/>
    </row>
    <row r="418" ht="15.75" customHeight="1">
      <c r="A418" s="1"/>
      <c r="B418" s="1"/>
      <c r="C418" s="1"/>
      <c r="D418" s="1"/>
      <c r="E418" s="1"/>
      <c r="F418" s="1"/>
      <c r="G418" s="1"/>
      <c r="H418" s="1"/>
      <c r="I418" s="1"/>
      <c r="J418" s="1"/>
    </row>
    <row r="419" ht="15.75" customHeight="1">
      <c r="A419" s="1"/>
      <c r="B419" s="1"/>
      <c r="C419" s="1"/>
      <c r="D419" s="1"/>
      <c r="E419" s="1"/>
      <c r="F419" s="1"/>
      <c r="G419" s="1"/>
      <c r="H419" s="1"/>
      <c r="I419" s="1"/>
      <c r="J419" s="1"/>
    </row>
    <row r="420" ht="15.75" customHeight="1">
      <c r="A420" s="1"/>
      <c r="B420" s="1"/>
      <c r="C420" s="1"/>
      <c r="D420" s="1"/>
      <c r="E420" s="1"/>
      <c r="F420" s="1"/>
      <c r="G420" s="1"/>
      <c r="H420" s="1"/>
      <c r="I420" s="1"/>
      <c r="J420" s="1"/>
    </row>
    <row r="421" ht="15.75" customHeight="1">
      <c r="A421" s="1"/>
      <c r="B421" s="1"/>
      <c r="C421" s="1"/>
      <c r="D421" s="1"/>
      <c r="E421" s="1"/>
      <c r="F421" s="1"/>
      <c r="G421" s="1"/>
      <c r="H421" s="1"/>
      <c r="I421" s="1"/>
      <c r="J421" s="1"/>
    </row>
    <row r="422" ht="15.75" customHeight="1">
      <c r="A422" s="1"/>
      <c r="B422" s="1"/>
      <c r="C422" s="1"/>
      <c r="D422" s="1"/>
      <c r="E422" s="1"/>
      <c r="F422" s="1"/>
      <c r="G422" s="1"/>
      <c r="H422" s="1"/>
      <c r="I422" s="1"/>
      <c r="J422" s="1"/>
    </row>
    <row r="423" ht="15.75" customHeight="1">
      <c r="A423" s="1"/>
      <c r="B423" s="1"/>
      <c r="C423" s="1"/>
      <c r="D423" s="1"/>
      <c r="E423" s="1"/>
      <c r="F423" s="1"/>
      <c r="G423" s="1"/>
      <c r="H423" s="1"/>
      <c r="I423" s="1"/>
      <c r="J423" s="1"/>
    </row>
    <row r="424" ht="15.75" customHeight="1">
      <c r="A424" s="1"/>
      <c r="B424" s="1"/>
      <c r="C424" s="1"/>
      <c r="D424" s="1"/>
      <c r="E424" s="1"/>
      <c r="F424" s="1"/>
      <c r="G424" s="1"/>
      <c r="H424" s="1"/>
      <c r="I424" s="1"/>
      <c r="J424" s="1"/>
    </row>
    <row r="425" ht="15.75" customHeight="1">
      <c r="A425" s="1"/>
      <c r="B425" s="1"/>
      <c r="C425" s="1"/>
      <c r="D425" s="1"/>
      <c r="E425" s="1"/>
      <c r="F425" s="1"/>
      <c r="G425" s="1"/>
      <c r="H425" s="1"/>
      <c r="I425" s="1"/>
      <c r="J425" s="1"/>
    </row>
    <row r="426" ht="15.75" customHeight="1">
      <c r="A426" s="1"/>
      <c r="B426" s="1"/>
      <c r="C426" s="1"/>
      <c r="D426" s="1"/>
      <c r="E426" s="1"/>
      <c r="F426" s="1"/>
      <c r="G426" s="1"/>
      <c r="H426" s="1"/>
      <c r="I426" s="1"/>
      <c r="J426" s="1"/>
    </row>
    <row r="427" ht="15.75" customHeight="1">
      <c r="A427" s="1"/>
      <c r="B427" s="1"/>
      <c r="C427" s="1"/>
      <c r="D427" s="1"/>
      <c r="E427" s="1"/>
      <c r="F427" s="1"/>
      <c r="G427" s="1"/>
      <c r="H427" s="1"/>
      <c r="I427" s="1"/>
      <c r="J427" s="1"/>
    </row>
    <row r="428" ht="15.75" customHeight="1">
      <c r="A428" s="1"/>
      <c r="B428" s="1"/>
      <c r="C428" s="1"/>
      <c r="D428" s="1"/>
      <c r="E428" s="1"/>
      <c r="F428" s="1"/>
      <c r="G428" s="1"/>
      <c r="H428" s="1"/>
      <c r="I428" s="1"/>
      <c r="J428" s="1"/>
    </row>
    <row r="429" ht="15.75" customHeight="1">
      <c r="A429" s="1"/>
      <c r="B429" s="1"/>
      <c r="C429" s="1"/>
      <c r="D429" s="1"/>
      <c r="E429" s="1"/>
      <c r="F429" s="1"/>
      <c r="G429" s="1"/>
      <c r="H429" s="1"/>
      <c r="I429" s="1"/>
      <c r="J429" s="1"/>
    </row>
    <row r="430" ht="15.75" customHeight="1">
      <c r="A430" s="1"/>
      <c r="B430" s="1"/>
      <c r="C430" s="1"/>
      <c r="D430" s="1"/>
      <c r="E430" s="1"/>
      <c r="F430" s="1"/>
      <c r="G430" s="1"/>
      <c r="H430" s="1"/>
      <c r="I430" s="1"/>
      <c r="J430" s="1"/>
    </row>
    <row r="431" ht="15.75" customHeight="1">
      <c r="A431" s="1"/>
      <c r="B431" s="1"/>
      <c r="C431" s="1"/>
      <c r="D431" s="1"/>
      <c r="E431" s="1"/>
      <c r="F431" s="1"/>
      <c r="G431" s="1"/>
      <c r="H431" s="1"/>
      <c r="I431" s="1"/>
      <c r="J431" s="1"/>
    </row>
    <row r="432" ht="15.75" customHeight="1">
      <c r="A432" s="1"/>
      <c r="B432" s="1"/>
      <c r="C432" s="1"/>
      <c r="D432" s="1"/>
      <c r="E432" s="1"/>
      <c r="F432" s="1"/>
      <c r="G432" s="1"/>
      <c r="H432" s="1"/>
      <c r="I432" s="1"/>
      <c r="J432" s="1"/>
    </row>
    <row r="433" ht="15.75" customHeight="1">
      <c r="A433" s="1"/>
      <c r="B433" s="1"/>
      <c r="C433" s="1"/>
      <c r="D433" s="1"/>
      <c r="E433" s="1"/>
      <c r="F433" s="1"/>
      <c r="G433" s="1"/>
      <c r="H433" s="1"/>
      <c r="I433" s="1"/>
      <c r="J433" s="1"/>
    </row>
    <row r="434" ht="15.75" customHeight="1">
      <c r="A434" s="1"/>
      <c r="B434" s="1"/>
      <c r="C434" s="1"/>
      <c r="D434" s="1"/>
      <c r="E434" s="1"/>
      <c r="F434" s="1"/>
      <c r="G434" s="1"/>
      <c r="H434" s="1"/>
      <c r="I434" s="1"/>
      <c r="J434" s="1"/>
    </row>
    <row r="435" ht="15.75" customHeight="1">
      <c r="A435" s="1"/>
      <c r="B435" s="1"/>
      <c r="C435" s="1"/>
      <c r="D435" s="1"/>
      <c r="E435" s="1"/>
      <c r="F435" s="1"/>
      <c r="G435" s="1"/>
      <c r="H435" s="1"/>
      <c r="I435" s="1"/>
      <c r="J435" s="1"/>
    </row>
    <row r="436" ht="15.75" customHeight="1">
      <c r="A436" s="1"/>
      <c r="B436" s="1"/>
      <c r="C436" s="1"/>
      <c r="D436" s="1"/>
      <c r="E436" s="1"/>
      <c r="F436" s="1"/>
      <c r="G436" s="1"/>
      <c r="H436" s="1"/>
      <c r="I436" s="1"/>
      <c r="J436" s="1"/>
    </row>
    <row r="437" ht="15.75" customHeight="1">
      <c r="A437" s="1"/>
      <c r="B437" s="1"/>
      <c r="C437" s="1"/>
      <c r="D437" s="1"/>
      <c r="E437" s="1"/>
      <c r="F437" s="1"/>
      <c r="G437" s="1"/>
      <c r="H437" s="1"/>
      <c r="I437" s="1"/>
      <c r="J437" s="1"/>
    </row>
    <row r="438" ht="15.75" customHeight="1">
      <c r="A438" s="1"/>
      <c r="B438" s="1"/>
      <c r="C438" s="1"/>
      <c r="D438" s="1"/>
      <c r="E438" s="1"/>
      <c r="F438" s="1"/>
      <c r="G438" s="1"/>
      <c r="H438" s="1"/>
      <c r="I438" s="1"/>
      <c r="J438" s="1"/>
    </row>
    <row r="439" ht="15.75" customHeight="1">
      <c r="A439" s="1"/>
      <c r="B439" s="1"/>
      <c r="C439" s="1"/>
      <c r="D439" s="1"/>
      <c r="E439" s="1"/>
      <c r="F439" s="1"/>
      <c r="G439" s="1"/>
      <c r="H439" s="1"/>
      <c r="I439" s="1"/>
      <c r="J439" s="1"/>
    </row>
    <row r="440" ht="15.75" customHeight="1">
      <c r="A440" s="1"/>
      <c r="B440" s="1"/>
      <c r="C440" s="1"/>
      <c r="D440" s="1"/>
      <c r="E440" s="1"/>
      <c r="F440" s="1"/>
      <c r="G440" s="1"/>
      <c r="H440" s="1"/>
      <c r="I440" s="1"/>
      <c r="J440" s="1"/>
    </row>
    <row r="441" ht="15.75" customHeight="1">
      <c r="A441" s="1"/>
      <c r="B441" s="1"/>
      <c r="C441" s="1"/>
      <c r="D441" s="1"/>
      <c r="E441" s="1"/>
      <c r="F441" s="1"/>
      <c r="G441" s="1"/>
      <c r="H441" s="1"/>
      <c r="I441" s="1"/>
      <c r="J441" s="1"/>
    </row>
    <row r="442" ht="15.75" customHeight="1">
      <c r="A442" s="1"/>
      <c r="B442" s="1"/>
      <c r="C442" s="1"/>
      <c r="D442" s="1"/>
      <c r="E442" s="1"/>
      <c r="F442" s="1"/>
      <c r="G442" s="1"/>
      <c r="H442" s="1"/>
      <c r="I442" s="1"/>
      <c r="J442" s="1"/>
    </row>
    <row r="443" ht="15.75" customHeight="1">
      <c r="A443" s="1"/>
      <c r="B443" s="1"/>
      <c r="C443" s="1"/>
      <c r="D443" s="1"/>
      <c r="E443" s="1"/>
      <c r="F443" s="1"/>
      <c r="G443" s="1"/>
      <c r="H443" s="1"/>
      <c r="I443" s="1"/>
      <c r="J443" s="1"/>
    </row>
    <row r="444" ht="15.75" customHeight="1">
      <c r="A444" s="1"/>
      <c r="B444" s="1"/>
      <c r="C444" s="1"/>
      <c r="D444" s="1"/>
      <c r="E444" s="1"/>
      <c r="F444" s="1"/>
      <c r="G444" s="1"/>
      <c r="H444" s="1"/>
      <c r="I444" s="1"/>
      <c r="J444" s="1"/>
    </row>
    <row r="445" ht="15.75" customHeight="1">
      <c r="A445" s="1"/>
      <c r="B445" s="1"/>
      <c r="C445" s="1"/>
      <c r="D445" s="1"/>
      <c r="E445" s="1"/>
      <c r="F445" s="1"/>
      <c r="G445" s="1"/>
      <c r="H445" s="1"/>
      <c r="I445" s="1"/>
      <c r="J445" s="1"/>
    </row>
    <row r="446" ht="15.75" customHeight="1">
      <c r="A446" s="1"/>
      <c r="B446" s="1"/>
      <c r="C446" s="1"/>
      <c r="D446" s="1"/>
      <c r="E446" s="1"/>
      <c r="F446" s="1"/>
      <c r="G446" s="1"/>
      <c r="H446" s="1"/>
      <c r="I446" s="1"/>
      <c r="J446" s="1"/>
    </row>
    <row r="447" ht="15.75" customHeight="1">
      <c r="A447" s="1"/>
      <c r="B447" s="1"/>
      <c r="C447" s="1"/>
      <c r="D447" s="1"/>
      <c r="E447" s="1"/>
      <c r="F447" s="1"/>
      <c r="G447" s="1"/>
      <c r="H447" s="1"/>
      <c r="I447" s="1"/>
      <c r="J447" s="1"/>
    </row>
    <row r="448" ht="15.75" customHeight="1">
      <c r="A448" s="1"/>
      <c r="B448" s="1"/>
      <c r="C448" s="1"/>
      <c r="D448" s="1"/>
      <c r="E448" s="1"/>
      <c r="F448" s="1"/>
      <c r="G448" s="1"/>
      <c r="H448" s="1"/>
      <c r="I448" s="1"/>
      <c r="J448" s="1"/>
    </row>
    <row r="449" ht="15.75" customHeight="1">
      <c r="A449" s="1"/>
      <c r="B449" s="1"/>
      <c r="C449" s="1"/>
      <c r="D449" s="1"/>
      <c r="E449" s="1"/>
      <c r="F449" s="1"/>
      <c r="G449" s="1"/>
      <c r="H449" s="1"/>
      <c r="I449" s="1"/>
      <c r="J449" s="1"/>
    </row>
    <row r="450" ht="15.75" customHeight="1">
      <c r="A450" s="1"/>
      <c r="B450" s="1"/>
      <c r="C450" s="1"/>
      <c r="D450" s="1"/>
      <c r="E450" s="1"/>
      <c r="F450" s="1"/>
      <c r="G450" s="1"/>
      <c r="H450" s="1"/>
      <c r="I450" s="1"/>
      <c r="J450" s="1"/>
    </row>
    <row r="451" ht="15.75" customHeight="1">
      <c r="A451" s="1"/>
      <c r="B451" s="1"/>
      <c r="C451" s="1"/>
      <c r="D451" s="1"/>
      <c r="E451" s="1"/>
      <c r="F451" s="1"/>
      <c r="G451" s="1"/>
      <c r="H451" s="1"/>
      <c r="I451" s="1"/>
      <c r="J451" s="1"/>
    </row>
    <row r="452" ht="15.75" customHeight="1">
      <c r="A452" s="1"/>
      <c r="B452" s="1"/>
      <c r="C452" s="1"/>
      <c r="D452" s="1"/>
      <c r="E452" s="1"/>
      <c r="F452" s="1"/>
      <c r="G452" s="1"/>
      <c r="H452" s="1"/>
      <c r="I452" s="1"/>
      <c r="J452" s="1"/>
    </row>
    <row r="453" ht="15.75" customHeight="1">
      <c r="A453" s="1"/>
      <c r="B453" s="1"/>
      <c r="C453" s="1"/>
      <c r="D453" s="1"/>
      <c r="E453" s="1"/>
      <c r="F453" s="1"/>
      <c r="G453" s="1"/>
      <c r="H453" s="1"/>
      <c r="I453" s="1"/>
      <c r="J453" s="1"/>
    </row>
    <row r="454" ht="15.75" customHeight="1">
      <c r="A454" s="1"/>
      <c r="B454" s="1"/>
      <c r="C454" s="1"/>
      <c r="D454" s="1"/>
      <c r="E454" s="1"/>
      <c r="F454" s="1"/>
      <c r="G454" s="1"/>
      <c r="H454" s="1"/>
      <c r="I454" s="1"/>
      <c r="J454" s="1"/>
    </row>
    <row r="455" ht="15.75" customHeight="1">
      <c r="A455" s="1"/>
      <c r="B455" s="1"/>
      <c r="C455" s="1"/>
      <c r="D455" s="1"/>
      <c r="E455" s="1"/>
      <c r="F455" s="1"/>
      <c r="G455" s="1"/>
      <c r="H455" s="1"/>
      <c r="I455" s="1"/>
      <c r="J455" s="1"/>
    </row>
    <row r="456" ht="15.75" customHeight="1">
      <c r="A456" s="1"/>
      <c r="B456" s="1"/>
      <c r="C456" s="1"/>
      <c r="D456" s="1"/>
      <c r="E456" s="1"/>
      <c r="F456" s="1"/>
      <c r="G456" s="1"/>
      <c r="H456" s="1"/>
      <c r="I456" s="1"/>
      <c r="J456" s="1"/>
    </row>
    <row r="457" ht="15.75" customHeight="1">
      <c r="A457" s="1"/>
      <c r="B457" s="1"/>
      <c r="C457" s="1"/>
      <c r="D457" s="1"/>
      <c r="E457" s="1"/>
      <c r="F457" s="1"/>
      <c r="G457" s="1"/>
      <c r="H457" s="1"/>
      <c r="I457" s="1"/>
      <c r="J457" s="1"/>
    </row>
    <row r="458" ht="15.75" customHeight="1">
      <c r="A458" s="1"/>
      <c r="B458" s="1"/>
      <c r="C458" s="1"/>
      <c r="D458" s="1"/>
      <c r="E458" s="1"/>
      <c r="F458" s="1"/>
      <c r="G458" s="1"/>
      <c r="H458" s="1"/>
      <c r="I458" s="1"/>
      <c r="J458" s="1"/>
    </row>
    <row r="459" ht="15.75" customHeight="1">
      <c r="A459" s="1"/>
      <c r="B459" s="1"/>
      <c r="C459" s="1"/>
      <c r="D459" s="1"/>
      <c r="E459" s="1"/>
      <c r="F459" s="1"/>
      <c r="G459" s="1"/>
      <c r="H459" s="1"/>
      <c r="I459" s="1"/>
      <c r="J459" s="1"/>
    </row>
    <row r="460" ht="15.75" customHeight="1">
      <c r="A460" s="1"/>
      <c r="B460" s="1"/>
      <c r="C460" s="1"/>
      <c r="D460" s="1"/>
      <c r="E460" s="1"/>
      <c r="F460" s="1"/>
      <c r="G460" s="1"/>
      <c r="H460" s="1"/>
      <c r="I460" s="1"/>
      <c r="J460" s="1"/>
    </row>
    <row r="461" ht="15.75" customHeight="1">
      <c r="A461" s="1"/>
      <c r="B461" s="1"/>
      <c r="C461" s="1"/>
      <c r="D461" s="1"/>
      <c r="E461" s="1"/>
      <c r="F461" s="1"/>
      <c r="G461" s="1"/>
      <c r="H461" s="1"/>
      <c r="I461" s="1"/>
      <c r="J461" s="1"/>
    </row>
    <row r="462" ht="15.75" customHeight="1">
      <c r="A462" s="1"/>
      <c r="B462" s="1"/>
      <c r="C462" s="1"/>
      <c r="D462" s="1"/>
      <c r="E462" s="1"/>
      <c r="F462" s="1"/>
      <c r="G462" s="1"/>
      <c r="H462" s="1"/>
      <c r="I462" s="1"/>
      <c r="J462" s="1"/>
    </row>
    <row r="463" ht="15.75" customHeight="1">
      <c r="A463" s="1"/>
      <c r="B463" s="1"/>
      <c r="C463" s="1"/>
      <c r="D463" s="1"/>
      <c r="E463" s="1"/>
      <c r="F463" s="1"/>
      <c r="G463" s="1"/>
      <c r="H463" s="1"/>
      <c r="I463" s="1"/>
      <c r="J463" s="1"/>
    </row>
    <row r="464" ht="15.75" customHeight="1">
      <c r="A464" s="1"/>
      <c r="B464" s="1"/>
      <c r="C464" s="1"/>
      <c r="D464" s="1"/>
      <c r="E464" s="1"/>
      <c r="F464" s="1"/>
      <c r="G464" s="1"/>
      <c r="H464" s="1"/>
      <c r="I464" s="1"/>
      <c r="J464" s="1"/>
    </row>
    <row r="465" ht="15.75" customHeight="1">
      <c r="A465" s="1"/>
      <c r="B465" s="1"/>
      <c r="C465" s="1"/>
      <c r="D465" s="1"/>
      <c r="E465" s="1"/>
      <c r="F465" s="1"/>
      <c r="G465" s="1"/>
      <c r="H465" s="1"/>
      <c r="I465" s="1"/>
      <c r="J465" s="1"/>
    </row>
    <row r="466" ht="15.75" customHeight="1">
      <c r="A466" s="1"/>
      <c r="B466" s="1"/>
      <c r="C466" s="1"/>
      <c r="D466" s="1"/>
      <c r="E466" s="1"/>
      <c r="F466" s="1"/>
      <c r="G466" s="1"/>
      <c r="H466" s="1"/>
      <c r="I466" s="1"/>
      <c r="J466" s="1"/>
    </row>
    <row r="467" ht="15.75" customHeight="1">
      <c r="A467" s="1"/>
      <c r="B467" s="1"/>
      <c r="C467" s="1"/>
      <c r="D467" s="1"/>
      <c r="E467" s="1"/>
      <c r="F467" s="1"/>
      <c r="G467" s="1"/>
      <c r="H467" s="1"/>
      <c r="I467" s="1"/>
      <c r="J467" s="1"/>
    </row>
    <row r="468" ht="15.75" customHeight="1">
      <c r="A468" s="1"/>
      <c r="B468" s="1"/>
      <c r="C468" s="1"/>
      <c r="D468" s="1"/>
      <c r="E468" s="1"/>
      <c r="F468" s="1"/>
      <c r="G468" s="1"/>
      <c r="H468" s="1"/>
      <c r="I468" s="1"/>
      <c r="J468" s="1"/>
    </row>
    <row r="469" ht="15.75" customHeight="1">
      <c r="A469" s="1"/>
      <c r="B469" s="1"/>
      <c r="C469" s="1"/>
      <c r="D469" s="1"/>
      <c r="E469" s="1"/>
      <c r="F469" s="1"/>
      <c r="G469" s="1"/>
      <c r="H469" s="1"/>
      <c r="I469" s="1"/>
      <c r="J469" s="1"/>
    </row>
    <row r="470" ht="15.75" customHeight="1">
      <c r="A470" s="1"/>
      <c r="B470" s="1"/>
      <c r="C470" s="1"/>
      <c r="D470" s="1"/>
      <c r="E470" s="1"/>
      <c r="F470" s="1"/>
      <c r="G470" s="1"/>
      <c r="H470" s="1"/>
      <c r="I470" s="1"/>
      <c r="J470" s="1"/>
    </row>
    <row r="471" ht="15.75" customHeight="1">
      <c r="A471" s="1"/>
      <c r="B471" s="1"/>
      <c r="C471" s="1"/>
      <c r="D471" s="1"/>
      <c r="E471" s="1"/>
      <c r="F471" s="1"/>
      <c r="G471" s="1"/>
      <c r="H471" s="1"/>
      <c r="I471" s="1"/>
      <c r="J471" s="1"/>
    </row>
    <row r="472" ht="15.75" customHeight="1">
      <c r="A472" s="1"/>
      <c r="B472" s="1"/>
      <c r="C472" s="1"/>
      <c r="D472" s="1"/>
      <c r="E472" s="1"/>
      <c r="F472" s="1"/>
      <c r="G472" s="1"/>
      <c r="H472" s="1"/>
      <c r="I472" s="1"/>
      <c r="J472" s="1"/>
    </row>
    <row r="473" ht="15.75" customHeight="1">
      <c r="A473" s="1"/>
      <c r="B473" s="1"/>
      <c r="C473" s="1"/>
      <c r="D473" s="1"/>
      <c r="E473" s="1"/>
      <c r="F473" s="1"/>
      <c r="G473" s="1"/>
      <c r="H473" s="1"/>
      <c r="I473" s="1"/>
      <c r="J473" s="1"/>
    </row>
    <row r="474" ht="15.75" customHeight="1">
      <c r="A474" s="1"/>
      <c r="B474" s="1"/>
      <c r="C474" s="1"/>
      <c r="D474" s="1"/>
      <c r="E474" s="1"/>
      <c r="F474" s="1"/>
      <c r="G474" s="1"/>
      <c r="H474" s="1"/>
      <c r="I474" s="1"/>
      <c r="J474" s="1"/>
    </row>
    <row r="475" ht="15.75" customHeight="1">
      <c r="A475" s="1"/>
      <c r="B475" s="1"/>
      <c r="C475" s="1"/>
      <c r="D475" s="1"/>
      <c r="E475" s="1"/>
      <c r="F475" s="1"/>
      <c r="G475" s="1"/>
      <c r="H475" s="1"/>
      <c r="I475" s="1"/>
      <c r="J475" s="1"/>
    </row>
    <row r="476" ht="15.75" customHeight="1">
      <c r="A476" s="1"/>
      <c r="B476" s="1"/>
      <c r="C476" s="1"/>
      <c r="D476" s="1"/>
      <c r="E476" s="1"/>
      <c r="F476" s="1"/>
      <c r="G476" s="1"/>
      <c r="H476" s="1"/>
      <c r="I476" s="1"/>
      <c r="J476" s="1"/>
    </row>
    <row r="477" ht="15.75" customHeight="1">
      <c r="A477" s="1"/>
      <c r="B477" s="1"/>
      <c r="C477" s="1"/>
      <c r="D477" s="1"/>
      <c r="E477" s="1"/>
      <c r="F477" s="1"/>
      <c r="G477" s="1"/>
      <c r="H477" s="1"/>
      <c r="I477" s="1"/>
      <c r="J477" s="1"/>
    </row>
    <row r="478" ht="15.75" customHeight="1">
      <c r="A478" s="1"/>
      <c r="B478" s="1"/>
      <c r="C478" s="1"/>
      <c r="D478" s="1"/>
      <c r="E478" s="1"/>
      <c r="F478" s="1"/>
      <c r="G478" s="1"/>
      <c r="H478" s="1"/>
      <c r="I478" s="1"/>
      <c r="J478" s="1"/>
    </row>
    <row r="479" ht="15.75" customHeight="1">
      <c r="A479" s="1"/>
      <c r="B479" s="1"/>
      <c r="C479" s="1"/>
      <c r="D479" s="1"/>
      <c r="E479" s="1"/>
      <c r="F479" s="1"/>
      <c r="G479" s="1"/>
      <c r="H479" s="1"/>
      <c r="I479" s="1"/>
      <c r="J479" s="1"/>
    </row>
    <row r="480" ht="15.75" customHeight="1">
      <c r="A480" s="1"/>
      <c r="B480" s="1"/>
      <c r="C480" s="1"/>
      <c r="D480" s="1"/>
      <c r="E480" s="1"/>
      <c r="F480" s="1"/>
      <c r="G480" s="1"/>
      <c r="H480" s="1"/>
      <c r="I480" s="1"/>
      <c r="J480" s="1"/>
    </row>
    <row r="481" ht="15.75" customHeight="1">
      <c r="A481" s="1"/>
      <c r="B481" s="1"/>
      <c r="C481" s="1"/>
      <c r="D481" s="1"/>
      <c r="E481" s="1"/>
      <c r="F481" s="1"/>
      <c r="G481" s="1"/>
      <c r="H481" s="1"/>
      <c r="I481" s="1"/>
      <c r="J481" s="1"/>
    </row>
    <row r="482" ht="15.75" customHeight="1">
      <c r="A482" s="1"/>
      <c r="B482" s="1"/>
      <c r="C482" s="1"/>
      <c r="D482" s="1"/>
      <c r="E482" s="1"/>
      <c r="F482" s="1"/>
      <c r="G482" s="1"/>
      <c r="H482" s="1"/>
      <c r="I482" s="1"/>
      <c r="J482" s="1"/>
    </row>
    <row r="483" ht="15.75" customHeight="1">
      <c r="A483" s="1"/>
      <c r="B483" s="1"/>
      <c r="C483" s="1"/>
      <c r="D483" s="1"/>
      <c r="E483" s="1"/>
      <c r="F483" s="1"/>
      <c r="G483" s="1"/>
      <c r="H483" s="1"/>
      <c r="I483" s="1"/>
      <c r="J483" s="1"/>
    </row>
    <row r="484" ht="15.75" customHeight="1">
      <c r="A484" s="1"/>
      <c r="B484" s="1"/>
      <c r="C484" s="1"/>
      <c r="D484" s="1"/>
      <c r="E484" s="1"/>
      <c r="F484" s="1"/>
      <c r="G484" s="1"/>
      <c r="H484" s="1"/>
      <c r="I484" s="1"/>
      <c r="J484" s="1"/>
    </row>
    <row r="485" ht="15.75" customHeight="1">
      <c r="A485" s="1"/>
      <c r="B485" s="1"/>
      <c r="C485" s="1"/>
      <c r="D485" s="1"/>
      <c r="E485" s="1"/>
      <c r="F485" s="1"/>
      <c r="G485" s="1"/>
      <c r="H485" s="1"/>
      <c r="I485" s="1"/>
      <c r="J485" s="1"/>
    </row>
    <row r="486" ht="15.75" customHeight="1">
      <c r="A486" s="1"/>
      <c r="B486" s="1"/>
      <c r="C486" s="1"/>
      <c r="D486" s="1"/>
      <c r="E486" s="1"/>
      <c r="F486" s="1"/>
      <c r="G486" s="1"/>
      <c r="H486" s="1"/>
      <c r="I486" s="1"/>
      <c r="J486" s="1"/>
    </row>
    <row r="487" ht="15.75" customHeight="1">
      <c r="A487" s="1"/>
      <c r="B487" s="1"/>
      <c r="C487" s="1"/>
      <c r="D487" s="1"/>
      <c r="E487" s="1"/>
      <c r="F487" s="1"/>
      <c r="G487" s="1"/>
      <c r="H487" s="1"/>
      <c r="I487" s="1"/>
      <c r="J487" s="1"/>
    </row>
    <row r="488" ht="15.75" customHeight="1">
      <c r="A488" s="1"/>
      <c r="B488" s="1"/>
      <c r="C488" s="1"/>
      <c r="D488" s="1"/>
      <c r="E488" s="1"/>
      <c r="F488" s="1"/>
      <c r="G488" s="1"/>
      <c r="H488" s="1"/>
      <c r="I488" s="1"/>
      <c r="J488" s="1"/>
    </row>
    <row r="489" ht="15.75" customHeight="1">
      <c r="A489" s="1"/>
      <c r="B489" s="1"/>
      <c r="C489" s="1"/>
      <c r="D489" s="1"/>
      <c r="E489" s="1"/>
      <c r="F489" s="1"/>
      <c r="G489" s="1"/>
      <c r="H489" s="1"/>
      <c r="I489" s="1"/>
      <c r="J489" s="1"/>
    </row>
    <row r="490" ht="15.75" customHeight="1">
      <c r="A490" s="1"/>
      <c r="B490" s="1"/>
      <c r="C490" s="1"/>
      <c r="D490" s="1"/>
      <c r="E490" s="1"/>
      <c r="F490" s="1"/>
      <c r="G490" s="1"/>
      <c r="H490" s="1"/>
      <c r="I490" s="1"/>
      <c r="J490" s="1"/>
    </row>
    <row r="491" ht="15.75" customHeight="1">
      <c r="A491" s="1"/>
      <c r="B491" s="1"/>
      <c r="C491" s="1"/>
      <c r="D491" s="1"/>
      <c r="E491" s="1"/>
      <c r="F491" s="1"/>
      <c r="G491" s="1"/>
      <c r="H491" s="1"/>
      <c r="I491" s="1"/>
      <c r="J491" s="1"/>
    </row>
    <row r="492" ht="15.75" customHeight="1">
      <c r="A492" s="1"/>
      <c r="B492" s="1"/>
      <c r="C492" s="1"/>
      <c r="D492" s="1"/>
      <c r="E492" s="1"/>
      <c r="F492" s="1"/>
      <c r="G492" s="1"/>
      <c r="H492" s="1"/>
      <c r="I492" s="1"/>
      <c r="J492" s="1"/>
    </row>
    <row r="493" ht="15.75" customHeight="1">
      <c r="A493" s="1"/>
      <c r="B493" s="1"/>
      <c r="C493" s="1"/>
      <c r="D493" s="1"/>
      <c r="E493" s="1"/>
      <c r="F493" s="1"/>
      <c r="G493" s="1"/>
      <c r="H493" s="1"/>
      <c r="I493" s="1"/>
      <c r="J493" s="1"/>
    </row>
    <row r="494" ht="15.75" customHeight="1">
      <c r="A494" s="1"/>
      <c r="B494" s="1"/>
      <c r="C494" s="1"/>
      <c r="D494" s="1"/>
      <c r="E494" s="1"/>
      <c r="F494" s="1"/>
      <c r="G494" s="1"/>
      <c r="H494" s="1"/>
      <c r="I494" s="1"/>
      <c r="J494" s="1"/>
    </row>
    <row r="495" ht="15.75" customHeight="1">
      <c r="A495" s="1"/>
      <c r="B495" s="1"/>
      <c r="C495" s="1"/>
      <c r="D495" s="1"/>
      <c r="E495" s="1"/>
      <c r="F495" s="1"/>
      <c r="G495" s="1"/>
      <c r="H495" s="1"/>
      <c r="I495" s="1"/>
      <c r="J495" s="1"/>
    </row>
    <row r="496" ht="15.75" customHeight="1">
      <c r="A496" s="1"/>
      <c r="B496" s="1"/>
      <c r="C496" s="1"/>
      <c r="D496" s="1"/>
      <c r="E496" s="1"/>
      <c r="F496" s="1"/>
      <c r="G496" s="1"/>
      <c r="H496" s="1"/>
      <c r="I496" s="1"/>
      <c r="J496" s="1"/>
    </row>
    <row r="497" ht="15.75" customHeight="1">
      <c r="A497" s="1"/>
      <c r="B497" s="1"/>
      <c r="C497" s="1"/>
      <c r="D497" s="1"/>
      <c r="E497" s="1"/>
      <c r="F497" s="1"/>
      <c r="G497" s="1"/>
      <c r="H497" s="1"/>
      <c r="I497" s="1"/>
      <c r="J497" s="1"/>
    </row>
    <row r="498" ht="15.75" customHeight="1">
      <c r="A498" s="1"/>
      <c r="B498" s="1"/>
      <c r="C498" s="1"/>
      <c r="D498" s="1"/>
      <c r="E498" s="1"/>
      <c r="F498" s="1"/>
      <c r="G498" s="1"/>
      <c r="H498" s="1"/>
      <c r="I498" s="1"/>
      <c r="J498" s="1"/>
    </row>
    <row r="499" ht="15.75" customHeight="1">
      <c r="A499" s="1"/>
      <c r="B499" s="1"/>
      <c r="C499" s="1"/>
      <c r="D499" s="1"/>
      <c r="E499" s="1"/>
      <c r="F499" s="1"/>
      <c r="G499" s="1"/>
      <c r="H499" s="1"/>
      <c r="I499" s="1"/>
      <c r="J499" s="1"/>
    </row>
    <row r="500" ht="15.75" customHeight="1">
      <c r="A500" s="1"/>
      <c r="B500" s="1"/>
      <c r="C500" s="1"/>
      <c r="D500" s="1"/>
      <c r="E500" s="1"/>
      <c r="F500" s="1"/>
      <c r="G500" s="1"/>
      <c r="H500" s="1"/>
      <c r="I500" s="1"/>
      <c r="J500" s="1"/>
    </row>
    <row r="501" ht="15.75" customHeight="1">
      <c r="A501" s="1"/>
      <c r="B501" s="1"/>
      <c r="C501" s="1"/>
      <c r="D501" s="1"/>
      <c r="E501" s="1"/>
      <c r="F501" s="1"/>
      <c r="G501" s="1"/>
      <c r="H501" s="1"/>
      <c r="I501" s="1"/>
      <c r="J501" s="1"/>
    </row>
    <row r="502" ht="15.75" customHeight="1">
      <c r="A502" s="1"/>
      <c r="B502" s="1"/>
      <c r="C502" s="1"/>
      <c r="D502" s="1"/>
      <c r="E502" s="1"/>
      <c r="F502" s="1"/>
      <c r="G502" s="1"/>
      <c r="H502" s="1"/>
      <c r="I502" s="1"/>
      <c r="J502" s="1"/>
    </row>
    <row r="503" ht="15.75" customHeight="1">
      <c r="A503" s="1"/>
      <c r="B503" s="1"/>
      <c r="C503" s="1"/>
      <c r="D503" s="1"/>
      <c r="E503" s="1"/>
      <c r="F503" s="1"/>
      <c r="G503" s="1"/>
      <c r="H503" s="1"/>
      <c r="I503" s="1"/>
      <c r="J503" s="1"/>
    </row>
    <row r="504" ht="15.75" customHeight="1">
      <c r="A504" s="1"/>
      <c r="B504" s="1"/>
      <c r="C504" s="1"/>
      <c r="D504" s="1"/>
      <c r="E504" s="1"/>
      <c r="F504" s="1"/>
      <c r="G504" s="1"/>
      <c r="H504" s="1"/>
      <c r="I504" s="1"/>
      <c r="J504" s="1"/>
    </row>
    <row r="505" ht="15.75" customHeight="1">
      <c r="A505" s="1"/>
      <c r="B505" s="1"/>
      <c r="C505" s="1"/>
      <c r="D505" s="1"/>
      <c r="E505" s="1"/>
      <c r="F505" s="1"/>
      <c r="G505" s="1"/>
      <c r="H505" s="1"/>
      <c r="I505" s="1"/>
      <c r="J505" s="1"/>
    </row>
    <row r="506" ht="15.75" customHeight="1">
      <c r="A506" s="1"/>
      <c r="B506" s="1"/>
      <c r="C506" s="1"/>
      <c r="D506" s="1"/>
      <c r="E506" s="1"/>
      <c r="F506" s="1"/>
      <c r="G506" s="1"/>
      <c r="H506" s="1"/>
      <c r="I506" s="1"/>
      <c r="J506" s="1"/>
    </row>
    <row r="507" ht="15.75" customHeight="1">
      <c r="A507" s="1"/>
      <c r="B507" s="1"/>
      <c r="C507" s="1"/>
      <c r="D507" s="1"/>
      <c r="E507" s="1"/>
      <c r="F507" s="1"/>
      <c r="G507" s="1"/>
      <c r="H507" s="1"/>
      <c r="I507" s="1"/>
      <c r="J507" s="1"/>
    </row>
    <row r="508" ht="15.75" customHeight="1">
      <c r="A508" s="1"/>
      <c r="B508" s="1"/>
      <c r="C508" s="1"/>
      <c r="D508" s="1"/>
      <c r="E508" s="1"/>
      <c r="F508" s="1"/>
      <c r="G508" s="1"/>
      <c r="H508" s="1"/>
      <c r="I508" s="1"/>
      <c r="J508" s="1"/>
    </row>
    <row r="509" ht="15.75" customHeight="1">
      <c r="A509" s="1"/>
      <c r="B509" s="1"/>
      <c r="C509" s="1"/>
      <c r="D509" s="1"/>
      <c r="E509" s="1"/>
      <c r="F509" s="1"/>
      <c r="G509" s="1"/>
      <c r="H509" s="1"/>
      <c r="I509" s="1"/>
      <c r="J509" s="1"/>
    </row>
    <row r="510" ht="15.75" customHeight="1">
      <c r="A510" s="1"/>
      <c r="B510" s="1"/>
      <c r="C510" s="1"/>
      <c r="D510" s="1"/>
      <c r="E510" s="1"/>
      <c r="F510" s="1"/>
      <c r="G510" s="1"/>
      <c r="H510" s="1"/>
      <c r="I510" s="1"/>
      <c r="J510" s="1"/>
    </row>
    <row r="511" ht="15.75" customHeight="1">
      <c r="A511" s="1"/>
      <c r="B511" s="1"/>
      <c r="C511" s="1"/>
      <c r="D511" s="1"/>
      <c r="E511" s="1"/>
      <c r="F511" s="1"/>
      <c r="G511" s="1"/>
      <c r="H511" s="1"/>
      <c r="I511" s="1"/>
      <c r="J511" s="1"/>
    </row>
    <row r="512" ht="15.75" customHeight="1">
      <c r="A512" s="1"/>
      <c r="B512" s="1"/>
      <c r="C512" s="1"/>
      <c r="D512" s="1"/>
      <c r="E512" s="1"/>
      <c r="F512" s="1"/>
      <c r="G512" s="1"/>
      <c r="H512" s="1"/>
      <c r="I512" s="1"/>
      <c r="J512" s="1"/>
    </row>
    <row r="513" ht="15.75" customHeight="1">
      <c r="A513" s="1"/>
      <c r="B513" s="1"/>
      <c r="C513" s="1"/>
      <c r="D513" s="1"/>
      <c r="E513" s="1"/>
      <c r="F513" s="1"/>
      <c r="G513" s="1"/>
      <c r="H513" s="1"/>
      <c r="I513" s="1"/>
      <c r="J513" s="1"/>
    </row>
    <row r="514" ht="15.75" customHeight="1">
      <c r="A514" s="1"/>
      <c r="B514" s="1"/>
      <c r="C514" s="1"/>
      <c r="D514" s="1"/>
      <c r="E514" s="1"/>
      <c r="F514" s="1"/>
      <c r="G514" s="1"/>
      <c r="H514" s="1"/>
      <c r="I514" s="1"/>
      <c r="J514" s="1"/>
    </row>
    <row r="515" ht="15.75" customHeight="1">
      <c r="A515" s="1"/>
      <c r="B515" s="1"/>
      <c r="C515" s="1"/>
      <c r="D515" s="1"/>
      <c r="E515" s="1"/>
      <c r="F515" s="1"/>
      <c r="G515" s="1"/>
      <c r="H515" s="1"/>
      <c r="I515" s="1"/>
      <c r="J515" s="1"/>
    </row>
    <row r="516" ht="15.75" customHeight="1">
      <c r="A516" s="1"/>
      <c r="B516" s="1"/>
      <c r="C516" s="1"/>
      <c r="D516" s="1"/>
      <c r="E516" s="1"/>
      <c r="F516" s="1"/>
      <c r="G516" s="1"/>
      <c r="H516" s="1"/>
      <c r="I516" s="1"/>
      <c r="J516" s="1"/>
    </row>
    <row r="517" ht="15.75" customHeight="1">
      <c r="A517" s="1"/>
      <c r="B517" s="1"/>
      <c r="C517" s="1"/>
      <c r="D517" s="1"/>
      <c r="E517" s="1"/>
      <c r="F517" s="1"/>
      <c r="G517" s="1"/>
      <c r="H517" s="1"/>
      <c r="I517" s="1"/>
      <c r="J517" s="1"/>
    </row>
    <row r="518" ht="15.75" customHeight="1">
      <c r="A518" s="1"/>
      <c r="B518" s="1"/>
      <c r="C518" s="1"/>
      <c r="D518" s="1"/>
      <c r="E518" s="1"/>
      <c r="F518" s="1"/>
      <c r="G518" s="1"/>
      <c r="H518" s="1"/>
      <c r="I518" s="1"/>
      <c r="J518" s="1"/>
    </row>
    <row r="519" ht="15.75" customHeight="1">
      <c r="A519" s="1"/>
      <c r="B519" s="1"/>
      <c r="C519" s="1"/>
      <c r="D519" s="1"/>
      <c r="E519" s="1"/>
      <c r="F519" s="1"/>
      <c r="G519" s="1"/>
      <c r="H519" s="1"/>
      <c r="I519" s="1"/>
      <c r="J519" s="1"/>
    </row>
    <row r="520" ht="15.75" customHeight="1">
      <c r="A520" s="1"/>
      <c r="B520" s="1"/>
      <c r="C520" s="1"/>
      <c r="D520" s="1"/>
      <c r="E520" s="1"/>
      <c r="F520" s="1"/>
      <c r="G520" s="1"/>
      <c r="H520" s="1"/>
      <c r="I520" s="1"/>
      <c r="J520" s="1"/>
    </row>
    <row r="521" ht="15.75" customHeight="1">
      <c r="A521" s="1"/>
      <c r="B521" s="1"/>
      <c r="C521" s="1"/>
      <c r="D521" s="1"/>
      <c r="E521" s="1"/>
      <c r="F521" s="1"/>
      <c r="G521" s="1"/>
      <c r="H521" s="1"/>
      <c r="I521" s="1"/>
      <c r="J521" s="1"/>
    </row>
    <row r="522" ht="15.75" customHeight="1">
      <c r="A522" s="1"/>
      <c r="B522" s="1"/>
      <c r="C522" s="1"/>
      <c r="D522" s="1"/>
      <c r="E522" s="1"/>
      <c r="F522" s="1"/>
      <c r="G522" s="1"/>
      <c r="H522" s="1"/>
      <c r="I522" s="1"/>
      <c r="J522" s="1"/>
    </row>
    <row r="523" ht="15.75" customHeight="1">
      <c r="A523" s="1"/>
      <c r="B523" s="1"/>
      <c r="C523" s="1"/>
      <c r="D523" s="1"/>
      <c r="E523" s="1"/>
      <c r="F523" s="1"/>
      <c r="G523" s="1"/>
      <c r="H523" s="1"/>
      <c r="I523" s="1"/>
      <c r="J523" s="1"/>
    </row>
    <row r="524" ht="15.75" customHeight="1">
      <c r="A524" s="1"/>
      <c r="B524" s="1"/>
      <c r="C524" s="1"/>
      <c r="D524" s="1"/>
      <c r="E524" s="1"/>
      <c r="F524" s="1"/>
      <c r="G524" s="1"/>
      <c r="H524" s="1"/>
      <c r="I524" s="1"/>
      <c r="J524" s="1"/>
    </row>
    <row r="525" ht="15.75" customHeight="1">
      <c r="A525" s="1"/>
      <c r="B525" s="1"/>
      <c r="C525" s="1"/>
      <c r="D525" s="1"/>
      <c r="E525" s="1"/>
      <c r="F525" s="1"/>
      <c r="G525" s="1"/>
      <c r="H525" s="1"/>
      <c r="I525" s="1"/>
      <c r="J525" s="1"/>
    </row>
    <row r="526" ht="15.75" customHeight="1">
      <c r="A526" s="1"/>
      <c r="B526" s="1"/>
      <c r="C526" s="1"/>
      <c r="D526" s="1"/>
      <c r="E526" s="1"/>
      <c r="F526" s="1"/>
      <c r="G526" s="1"/>
      <c r="H526" s="1"/>
      <c r="I526" s="1"/>
      <c r="J526" s="1"/>
    </row>
    <row r="527" ht="15.75" customHeight="1">
      <c r="A527" s="1"/>
      <c r="B527" s="1"/>
      <c r="C527" s="1"/>
      <c r="D527" s="1"/>
      <c r="E527" s="1"/>
      <c r="F527" s="1"/>
      <c r="G527" s="1"/>
      <c r="H527" s="1"/>
      <c r="I527" s="1"/>
      <c r="J527" s="1"/>
    </row>
    <row r="528" ht="15.75" customHeight="1">
      <c r="A528" s="1"/>
      <c r="B528" s="1"/>
      <c r="C528" s="1"/>
      <c r="D528" s="1"/>
      <c r="E528" s="1"/>
      <c r="F528" s="1"/>
      <c r="G528" s="1"/>
      <c r="H528" s="1"/>
      <c r="I528" s="1"/>
      <c r="J528" s="1"/>
    </row>
    <row r="529" ht="15.75" customHeight="1">
      <c r="A529" s="1"/>
      <c r="B529" s="1"/>
      <c r="C529" s="1"/>
      <c r="D529" s="1"/>
      <c r="E529" s="1"/>
      <c r="F529" s="1"/>
      <c r="G529" s="1"/>
      <c r="H529" s="1"/>
      <c r="I529" s="1"/>
      <c r="J529" s="1"/>
    </row>
    <row r="530" ht="15.75" customHeight="1">
      <c r="A530" s="1"/>
      <c r="B530" s="1"/>
      <c r="C530" s="1"/>
      <c r="D530" s="1"/>
      <c r="E530" s="1"/>
      <c r="F530" s="1"/>
      <c r="G530" s="1"/>
      <c r="H530" s="1"/>
      <c r="I530" s="1"/>
      <c r="J530" s="1"/>
    </row>
    <row r="531" ht="15.75" customHeight="1">
      <c r="A531" s="1"/>
      <c r="B531" s="1"/>
      <c r="C531" s="1"/>
      <c r="D531" s="1"/>
      <c r="E531" s="1"/>
      <c r="F531" s="1"/>
      <c r="G531" s="1"/>
      <c r="H531" s="1"/>
      <c r="I531" s="1"/>
      <c r="J531" s="1"/>
    </row>
    <row r="532" ht="15.75" customHeight="1">
      <c r="A532" s="1"/>
      <c r="B532" s="1"/>
      <c r="C532" s="1"/>
      <c r="D532" s="1"/>
      <c r="E532" s="1"/>
      <c r="F532" s="1"/>
      <c r="G532" s="1"/>
      <c r="H532" s="1"/>
      <c r="I532" s="1"/>
      <c r="J532" s="1"/>
    </row>
    <row r="533" ht="15.75" customHeight="1">
      <c r="A533" s="1"/>
      <c r="B533" s="1"/>
      <c r="C533" s="1"/>
      <c r="D533" s="1"/>
      <c r="E533" s="1"/>
      <c r="F533" s="1"/>
      <c r="G533" s="1"/>
      <c r="H533" s="1"/>
      <c r="I533" s="1"/>
      <c r="J533" s="1"/>
    </row>
    <row r="534" ht="15.75" customHeight="1">
      <c r="A534" s="1"/>
      <c r="B534" s="1"/>
      <c r="C534" s="1"/>
      <c r="D534" s="1"/>
      <c r="E534" s="1"/>
      <c r="F534" s="1"/>
      <c r="G534" s="1"/>
      <c r="H534" s="1"/>
      <c r="I534" s="1"/>
      <c r="J534" s="1"/>
    </row>
    <row r="535" ht="15.75" customHeight="1">
      <c r="A535" s="1"/>
      <c r="B535" s="1"/>
      <c r="C535" s="1"/>
      <c r="D535" s="1"/>
      <c r="E535" s="1"/>
      <c r="F535" s="1"/>
      <c r="G535" s="1"/>
      <c r="H535" s="1"/>
      <c r="I535" s="1"/>
      <c r="J535" s="1"/>
    </row>
    <row r="536" ht="15.75" customHeight="1">
      <c r="A536" s="1"/>
      <c r="B536" s="1"/>
      <c r="C536" s="1"/>
      <c r="D536" s="1"/>
      <c r="E536" s="1"/>
      <c r="F536" s="1"/>
      <c r="G536" s="1"/>
      <c r="H536" s="1"/>
      <c r="I536" s="1"/>
      <c r="J536" s="1"/>
    </row>
    <row r="537" ht="15.75" customHeight="1">
      <c r="A537" s="1"/>
      <c r="B537" s="1"/>
      <c r="C537" s="1"/>
      <c r="D537" s="1"/>
      <c r="E537" s="1"/>
      <c r="F537" s="1"/>
      <c r="G537" s="1"/>
      <c r="H537" s="1"/>
      <c r="I537" s="1"/>
      <c r="J537" s="1"/>
    </row>
    <row r="538" ht="15.75" customHeight="1">
      <c r="A538" s="1"/>
      <c r="B538" s="1"/>
      <c r="C538" s="1"/>
      <c r="D538" s="1"/>
      <c r="E538" s="1"/>
      <c r="F538" s="1"/>
      <c r="G538" s="1"/>
      <c r="H538" s="1"/>
      <c r="I538" s="1"/>
      <c r="J538" s="1"/>
    </row>
    <row r="539" ht="15.75" customHeight="1">
      <c r="A539" s="1"/>
      <c r="B539" s="1"/>
      <c r="C539" s="1"/>
      <c r="D539" s="1"/>
      <c r="E539" s="1"/>
      <c r="F539" s="1"/>
      <c r="G539" s="1"/>
      <c r="H539" s="1"/>
      <c r="I539" s="1"/>
      <c r="J539" s="1"/>
    </row>
    <row r="540" ht="15.75" customHeight="1">
      <c r="A540" s="1"/>
      <c r="B540" s="1"/>
      <c r="C540" s="1"/>
      <c r="D540" s="1"/>
      <c r="E540" s="1"/>
      <c r="F540" s="1"/>
      <c r="G540" s="1"/>
      <c r="H540" s="1"/>
      <c r="I540" s="1"/>
      <c r="J540" s="1"/>
    </row>
    <row r="541" ht="15.75" customHeight="1">
      <c r="A541" s="1"/>
      <c r="B541" s="1"/>
      <c r="C541" s="1"/>
      <c r="D541" s="1"/>
      <c r="E541" s="1"/>
      <c r="F541" s="1"/>
      <c r="G541" s="1"/>
      <c r="H541" s="1"/>
      <c r="I541" s="1"/>
      <c r="J541" s="1"/>
    </row>
    <row r="542" ht="15.75" customHeight="1">
      <c r="A542" s="1"/>
      <c r="B542" s="1"/>
      <c r="C542" s="1"/>
      <c r="D542" s="1"/>
      <c r="E542" s="1"/>
      <c r="F542" s="1"/>
      <c r="G542" s="1"/>
      <c r="H542" s="1"/>
      <c r="I542" s="1"/>
      <c r="J542" s="1"/>
    </row>
    <row r="543" ht="15.75" customHeight="1">
      <c r="A543" s="1"/>
      <c r="B543" s="1"/>
      <c r="C543" s="1"/>
      <c r="D543" s="1"/>
      <c r="E543" s="1"/>
      <c r="F543" s="1"/>
      <c r="G543" s="1"/>
      <c r="H543" s="1"/>
      <c r="I543" s="1"/>
      <c r="J543" s="1"/>
    </row>
    <row r="544" ht="15.75" customHeight="1">
      <c r="A544" s="1"/>
      <c r="B544" s="1"/>
      <c r="C544" s="1"/>
      <c r="D544" s="1"/>
      <c r="E544" s="1"/>
      <c r="F544" s="1"/>
      <c r="G544" s="1"/>
      <c r="H544" s="1"/>
      <c r="I544" s="1"/>
      <c r="J544" s="1"/>
    </row>
    <row r="545" ht="15.75" customHeight="1">
      <c r="A545" s="1"/>
      <c r="B545" s="1"/>
      <c r="C545" s="1"/>
      <c r="D545" s="1"/>
      <c r="E545" s="1"/>
      <c r="F545" s="1"/>
      <c r="G545" s="1"/>
      <c r="H545" s="1"/>
      <c r="I545" s="1"/>
      <c r="J545" s="1"/>
    </row>
    <row r="546" ht="15.75" customHeight="1">
      <c r="A546" s="1"/>
      <c r="B546" s="1"/>
      <c r="C546" s="1"/>
      <c r="D546" s="1"/>
      <c r="E546" s="1"/>
      <c r="F546" s="1"/>
      <c r="G546" s="1"/>
      <c r="H546" s="1"/>
      <c r="I546" s="1"/>
      <c r="J546" s="1"/>
    </row>
    <row r="547" ht="15.75" customHeight="1">
      <c r="A547" s="1"/>
      <c r="B547" s="1"/>
      <c r="C547" s="1"/>
      <c r="D547" s="1"/>
      <c r="E547" s="1"/>
      <c r="F547" s="1"/>
      <c r="G547" s="1"/>
      <c r="H547" s="1"/>
      <c r="I547" s="1"/>
      <c r="J547" s="1"/>
    </row>
    <row r="548" ht="15.75" customHeight="1">
      <c r="A548" s="1"/>
      <c r="B548" s="1"/>
      <c r="C548" s="1"/>
      <c r="D548" s="1"/>
      <c r="E548" s="1"/>
      <c r="F548" s="1"/>
      <c r="G548" s="1"/>
      <c r="H548" s="1"/>
      <c r="I548" s="1"/>
      <c r="J548" s="1"/>
    </row>
    <row r="549" ht="15.75" customHeight="1">
      <c r="A549" s="1"/>
      <c r="B549" s="1"/>
      <c r="C549" s="1"/>
      <c r="D549" s="1"/>
      <c r="E549" s="1"/>
      <c r="F549" s="1"/>
      <c r="G549" s="1"/>
      <c r="H549" s="1"/>
      <c r="I549" s="1"/>
      <c r="J549" s="1"/>
    </row>
    <row r="550" ht="15.75" customHeight="1">
      <c r="A550" s="1"/>
      <c r="B550" s="1"/>
      <c r="C550" s="1"/>
      <c r="D550" s="1"/>
      <c r="E550" s="1"/>
      <c r="F550" s="1"/>
      <c r="G550" s="1"/>
      <c r="H550" s="1"/>
      <c r="I550" s="1"/>
      <c r="J550" s="1"/>
    </row>
    <row r="551" ht="15.75" customHeight="1">
      <c r="A551" s="1"/>
      <c r="B551" s="1"/>
      <c r="C551" s="1"/>
      <c r="D551" s="1"/>
      <c r="E551" s="1"/>
      <c r="F551" s="1"/>
      <c r="G551" s="1"/>
      <c r="H551" s="1"/>
      <c r="I551" s="1"/>
      <c r="J551" s="1"/>
    </row>
    <row r="552" ht="15.75" customHeight="1">
      <c r="A552" s="1"/>
      <c r="B552" s="1"/>
      <c r="C552" s="1"/>
      <c r="D552" s="1"/>
      <c r="E552" s="1"/>
      <c r="F552" s="1"/>
      <c r="G552" s="1"/>
      <c r="H552" s="1"/>
      <c r="I552" s="1"/>
      <c r="J552" s="1"/>
    </row>
    <row r="553" ht="15.75" customHeight="1">
      <c r="A553" s="1"/>
      <c r="B553" s="1"/>
      <c r="C553" s="1"/>
      <c r="D553" s="1"/>
      <c r="E553" s="1"/>
      <c r="F553" s="1"/>
      <c r="G553" s="1"/>
      <c r="H553" s="1"/>
      <c r="I553" s="1"/>
      <c r="J553" s="1"/>
    </row>
    <row r="554" ht="15.75" customHeight="1">
      <c r="A554" s="1"/>
      <c r="B554" s="1"/>
      <c r="C554" s="1"/>
      <c r="D554" s="1"/>
      <c r="E554" s="1"/>
      <c r="F554" s="1"/>
      <c r="G554" s="1"/>
      <c r="H554" s="1"/>
      <c r="I554" s="1"/>
      <c r="J554" s="1"/>
    </row>
    <row r="555" ht="15.75" customHeight="1">
      <c r="A555" s="1"/>
      <c r="B555" s="1"/>
      <c r="C555" s="1"/>
      <c r="D555" s="1"/>
      <c r="E555" s="1"/>
      <c r="F555" s="1"/>
      <c r="G555" s="1"/>
      <c r="H555" s="1"/>
      <c r="I555" s="1"/>
      <c r="J555" s="1"/>
    </row>
    <row r="556" ht="15.75" customHeight="1">
      <c r="A556" s="1"/>
      <c r="B556" s="1"/>
      <c r="C556" s="1"/>
      <c r="D556" s="1"/>
      <c r="E556" s="1"/>
      <c r="F556" s="1"/>
      <c r="G556" s="1"/>
      <c r="H556" s="1"/>
      <c r="I556" s="1"/>
      <c r="J556" s="1"/>
    </row>
    <row r="557" ht="15.75" customHeight="1">
      <c r="A557" s="1"/>
      <c r="B557" s="1"/>
      <c r="C557" s="1"/>
      <c r="D557" s="1"/>
      <c r="E557" s="1"/>
      <c r="F557" s="1"/>
      <c r="G557" s="1"/>
      <c r="H557" s="1"/>
      <c r="I557" s="1"/>
      <c r="J557" s="1"/>
    </row>
    <row r="558" ht="15.75" customHeight="1">
      <c r="A558" s="1"/>
      <c r="B558" s="1"/>
      <c r="C558" s="1"/>
      <c r="D558" s="1"/>
      <c r="E558" s="1"/>
      <c r="F558" s="1"/>
      <c r="G558" s="1"/>
      <c r="H558" s="1"/>
      <c r="I558" s="1"/>
      <c r="J558" s="1"/>
    </row>
    <row r="559" ht="15.75" customHeight="1">
      <c r="A559" s="1"/>
      <c r="B559" s="1"/>
      <c r="C559" s="1"/>
      <c r="D559" s="1"/>
      <c r="E559" s="1"/>
      <c r="F559" s="1"/>
      <c r="G559" s="1"/>
      <c r="H559" s="1"/>
      <c r="I559" s="1"/>
      <c r="J559" s="1"/>
    </row>
    <row r="560" ht="15.75" customHeight="1">
      <c r="A560" s="1"/>
      <c r="B560" s="1"/>
      <c r="C560" s="1"/>
      <c r="D560" s="1"/>
      <c r="E560" s="1"/>
      <c r="F560" s="1"/>
      <c r="G560" s="1"/>
      <c r="H560" s="1"/>
      <c r="I560" s="1"/>
      <c r="J560" s="1"/>
    </row>
    <row r="561" ht="15.75" customHeight="1">
      <c r="A561" s="1"/>
      <c r="B561" s="1"/>
      <c r="C561" s="1"/>
      <c r="D561" s="1"/>
      <c r="E561" s="1"/>
      <c r="F561" s="1"/>
      <c r="G561" s="1"/>
      <c r="H561" s="1"/>
      <c r="I561" s="1"/>
      <c r="J561" s="1"/>
    </row>
    <row r="562" ht="15.75" customHeight="1">
      <c r="A562" s="1"/>
      <c r="B562" s="1"/>
      <c r="C562" s="1"/>
      <c r="D562" s="1"/>
      <c r="E562" s="1"/>
      <c r="F562" s="1"/>
      <c r="G562" s="1"/>
      <c r="H562" s="1"/>
      <c r="I562" s="1"/>
      <c r="J562" s="1"/>
    </row>
    <row r="563" ht="15.75" customHeight="1">
      <c r="A563" s="1"/>
      <c r="B563" s="1"/>
      <c r="C563" s="1"/>
      <c r="D563" s="1"/>
      <c r="E563" s="1"/>
      <c r="F563" s="1"/>
      <c r="G563" s="1"/>
      <c r="H563" s="1"/>
      <c r="I563" s="1"/>
      <c r="J563" s="1"/>
    </row>
    <row r="564" ht="15.75" customHeight="1">
      <c r="A564" s="1"/>
      <c r="B564" s="1"/>
      <c r="C564" s="1"/>
      <c r="D564" s="1"/>
      <c r="E564" s="1"/>
      <c r="F564" s="1"/>
      <c r="G564" s="1"/>
      <c r="H564" s="1"/>
      <c r="I564" s="1"/>
      <c r="J564" s="1"/>
    </row>
    <row r="565" ht="15.75" customHeight="1">
      <c r="A565" s="1"/>
      <c r="B565" s="1"/>
      <c r="C565" s="1"/>
      <c r="D565" s="1"/>
      <c r="E565" s="1"/>
      <c r="F565" s="1"/>
      <c r="G565" s="1"/>
      <c r="H565" s="1"/>
      <c r="I565" s="1"/>
      <c r="J565" s="1"/>
    </row>
    <row r="566" ht="15.75" customHeight="1">
      <c r="A566" s="1"/>
      <c r="B566" s="1"/>
      <c r="C566" s="1"/>
      <c r="D566" s="1"/>
      <c r="E566" s="1"/>
      <c r="F566" s="1"/>
      <c r="G566" s="1"/>
      <c r="H566" s="1"/>
      <c r="I566" s="1"/>
      <c r="J566" s="1"/>
    </row>
    <row r="567" ht="15.75" customHeight="1">
      <c r="A567" s="1"/>
      <c r="B567" s="1"/>
      <c r="C567" s="1"/>
      <c r="D567" s="1"/>
      <c r="E567" s="1"/>
      <c r="F567" s="1"/>
      <c r="G567" s="1"/>
      <c r="H567" s="1"/>
      <c r="I567" s="1"/>
      <c r="J567" s="1"/>
    </row>
    <row r="568" ht="15.75" customHeight="1">
      <c r="A568" s="1"/>
      <c r="B568" s="1"/>
      <c r="C568" s="1"/>
      <c r="D568" s="1"/>
      <c r="E568" s="1"/>
      <c r="F568" s="1"/>
      <c r="G568" s="1"/>
      <c r="H568" s="1"/>
      <c r="I568" s="1"/>
      <c r="J568" s="1"/>
    </row>
    <row r="569" ht="15.75" customHeight="1">
      <c r="A569" s="1"/>
      <c r="B569" s="1"/>
      <c r="C569" s="1"/>
      <c r="D569" s="1"/>
      <c r="E569" s="1"/>
      <c r="F569" s="1"/>
      <c r="G569" s="1"/>
      <c r="H569" s="1"/>
      <c r="I569" s="1"/>
      <c r="J569" s="1"/>
    </row>
    <row r="570" ht="15.75" customHeight="1">
      <c r="A570" s="1"/>
      <c r="B570" s="1"/>
      <c r="C570" s="1"/>
      <c r="D570" s="1"/>
      <c r="E570" s="1"/>
      <c r="F570" s="1"/>
      <c r="G570" s="1"/>
      <c r="H570" s="1"/>
      <c r="I570" s="1"/>
      <c r="J570" s="1"/>
    </row>
    <row r="571" ht="15.75" customHeight="1">
      <c r="A571" s="1"/>
      <c r="B571" s="1"/>
      <c r="C571" s="1"/>
      <c r="D571" s="1"/>
      <c r="E571" s="1"/>
      <c r="F571" s="1"/>
      <c r="G571" s="1"/>
      <c r="H571" s="1"/>
      <c r="I571" s="1"/>
      <c r="J571" s="1"/>
    </row>
    <row r="572" ht="15.75" customHeight="1">
      <c r="A572" s="1"/>
      <c r="B572" s="1"/>
      <c r="C572" s="1"/>
      <c r="D572" s="1"/>
      <c r="E572" s="1"/>
      <c r="F572" s="1"/>
      <c r="G572" s="1"/>
      <c r="H572" s="1"/>
      <c r="I572" s="1"/>
      <c r="J572" s="1"/>
    </row>
    <row r="573" ht="15.75" customHeight="1">
      <c r="A573" s="1"/>
      <c r="B573" s="1"/>
      <c r="C573" s="1"/>
      <c r="D573" s="1"/>
      <c r="E573" s="1"/>
      <c r="F573" s="1"/>
      <c r="G573" s="1"/>
      <c r="H573" s="1"/>
      <c r="I573" s="1"/>
      <c r="J573" s="1"/>
    </row>
    <row r="574" ht="15.75" customHeight="1">
      <c r="A574" s="1"/>
      <c r="B574" s="1"/>
      <c r="C574" s="1"/>
      <c r="D574" s="1"/>
      <c r="E574" s="1"/>
      <c r="F574" s="1"/>
      <c r="G574" s="1"/>
      <c r="H574" s="1"/>
      <c r="I574" s="1"/>
      <c r="J574" s="1"/>
    </row>
    <row r="575" ht="15.75" customHeight="1">
      <c r="A575" s="1"/>
      <c r="B575" s="1"/>
      <c r="C575" s="1"/>
      <c r="D575" s="1"/>
      <c r="E575" s="1"/>
      <c r="F575" s="1"/>
      <c r="G575" s="1"/>
      <c r="H575" s="1"/>
      <c r="I575" s="1"/>
      <c r="J575" s="1"/>
    </row>
    <row r="576" ht="15.75" customHeight="1">
      <c r="A576" s="1"/>
      <c r="B576" s="1"/>
      <c r="C576" s="1"/>
      <c r="D576" s="1"/>
      <c r="E576" s="1"/>
      <c r="F576" s="1"/>
      <c r="G576" s="1"/>
      <c r="H576" s="1"/>
      <c r="I576" s="1"/>
      <c r="J576" s="1"/>
    </row>
    <row r="577" ht="15.75" customHeight="1">
      <c r="A577" s="1"/>
      <c r="B577" s="1"/>
      <c r="C577" s="1"/>
      <c r="D577" s="1"/>
      <c r="E577" s="1"/>
      <c r="F577" s="1"/>
      <c r="G577" s="1"/>
      <c r="H577" s="1"/>
      <c r="I577" s="1"/>
      <c r="J577" s="1"/>
    </row>
    <row r="578" ht="15.75" customHeight="1">
      <c r="A578" s="1"/>
      <c r="B578" s="1"/>
      <c r="C578" s="1"/>
      <c r="D578" s="1"/>
      <c r="E578" s="1"/>
      <c r="F578" s="1"/>
      <c r="G578" s="1"/>
      <c r="H578" s="1"/>
      <c r="I578" s="1"/>
      <c r="J578" s="1"/>
    </row>
    <row r="579" ht="15.75" customHeight="1">
      <c r="A579" s="1"/>
      <c r="B579" s="1"/>
      <c r="C579" s="1"/>
      <c r="D579" s="1"/>
      <c r="E579" s="1"/>
      <c r="F579" s="1"/>
      <c r="G579" s="1"/>
      <c r="H579" s="1"/>
      <c r="I579" s="1"/>
      <c r="J579" s="1"/>
    </row>
    <row r="580" ht="15.75" customHeight="1">
      <c r="A580" s="1"/>
      <c r="B580" s="1"/>
      <c r="C580" s="1"/>
      <c r="D580" s="1"/>
      <c r="E580" s="1"/>
      <c r="F580" s="1"/>
      <c r="G580" s="1"/>
      <c r="H580" s="1"/>
      <c r="I580" s="1"/>
      <c r="J580" s="1"/>
    </row>
    <row r="581" ht="15.75" customHeight="1">
      <c r="A581" s="1"/>
      <c r="B581" s="1"/>
      <c r="C581" s="1"/>
      <c r="D581" s="1"/>
      <c r="E581" s="1"/>
      <c r="F581" s="1"/>
      <c r="G581" s="1"/>
      <c r="H581" s="1"/>
      <c r="I581" s="1"/>
      <c r="J581" s="1"/>
    </row>
    <row r="582" ht="15.75" customHeight="1">
      <c r="A582" s="1"/>
      <c r="B582" s="1"/>
      <c r="C582" s="1"/>
      <c r="D582" s="1"/>
      <c r="E582" s="1"/>
      <c r="F582" s="1"/>
      <c r="G582" s="1"/>
      <c r="H582" s="1"/>
      <c r="I582" s="1"/>
      <c r="J582" s="1"/>
    </row>
    <row r="583" ht="15.75" customHeight="1">
      <c r="A583" s="1"/>
      <c r="B583" s="1"/>
      <c r="C583" s="1"/>
      <c r="D583" s="1"/>
      <c r="E583" s="1"/>
      <c r="F583" s="1"/>
      <c r="G583" s="1"/>
      <c r="H583" s="1"/>
      <c r="I583" s="1"/>
      <c r="J583" s="1"/>
    </row>
    <row r="584" ht="15.75" customHeight="1">
      <c r="A584" s="1"/>
      <c r="B584" s="1"/>
      <c r="C584" s="1"/>
      <c r="D584" s="1"/>
      <c r="E584" s="1"/>
      <c r="F584" s="1"/>
      <c r="G584" s="1"/>
      <c r="H584" s="1"/>
      <c r="I584" s="1"/>
      <c r="J584" s="1"/>
    </row>
    <row r="585" ht="15.75" customHeight="1">
      <c r="A585" s="1"/>
      <c r="B585" s="1"/>
      <c r="C585" s="1"/>
      <c r="D585" s="1"/>
      <c r="E585" s="1"/>
      <c r="F585" s="1"/>
      <c r="G585" s="1"/>
      <c r="H585" s="1"/>
      <c r="I585" s="1"/>
      <c r="J585" s="1"/>
    </row>
    <row r="586" ht="15.75" customHeight="1">
      <c r="A586" s="1"/>
      <c r="B586" s="1"/>
      <c r="C586" s="1"/>
      <c r="D586" s="1"/>
      <c r="E586" s="1"/>
      <c r="F586" s="1"/>
      <c r="G586" s="1"/>
      <c r="H586" s="1"/>
      <c r="I586" s="1"/>
      <c r="J586" s="1"/>
    </row>
    <row r="587" ht="15.75" customHeight="1">
      <c r="A587" s="1"/>
      <c r="B587" s="1"/>
      <c r="C587" s="1"/>
      <c r="D587" s="1"/>
      <c r="E587" s="1"/>
      <c r="F587" s="1"/>
      <c r="G587" s="1"/>
      <c r="H587" s="1"/>
      <c r="I587" s="1"/>
      <c r="J587" s="1"/>
    </row>
    <row r="588" ht="15.75" customHeight="1">
      <c r="A588" s="1"/>
      <c r="B588" s="1"/>
      <c r="C588" s="1"/>
      <c r="D588" s="1"/>
      <c r="E588" s="1"/>
      <c r="F588" s="1"/>
      <c r="G588" s="1"/>
      <c r="H588" s="1"/>
      <c r="I588" s="1"/>
      <c r="J588" s="1"/>
    </row>
    <row r="589" ht="15.75" customHeight="1">
      <c r="A589" s="1"/>
      <c r="B589" s="1"/>
      <c r="C589" s="1"/>
      <c r="D589" s="1"/>
      <c r="E589" s="1"/>
      <c r="F589" s="1"/>
      <c r="G589" s="1"/>
      <c r="H589" s="1"/>
      <c r="I589" s="1"/>
      <c r="J589" s="1"/>
    </row>
    <row r="590" ht="15.75" customHeight="1">
      <c r="A590" s="1"/>
      <c r="B590" s="1"/>
      <c r="C590" s="1"/>
      <c r="D590" s="1"/>
      <c r="E590" s="1"/>
      <c r="F590" s="1"/>
      <c r="G590" s="1"/>
      <c r="H590" s="1"/>
      <c r="I590" s="1"/>
      <c r="J590" s="1"/>
    </row>
    <row r="591" ht="15.75" customHeight="1">
      <c r="A591" s="1"/>
      <c r="B591" s="1"/>
      <c r="C591" s="1"/>
      <c r="D591" s="1"/>
      <c r="E591" s="1"/>
      <c r="F591" s="1"/>
      <c r="G591" s="1"/>
      <c r="H591" s="1"/>
      <c r="I591" s="1"/>
      <c r="J591" s="1"/>
    </row>
    <row r="592" ht="15.75" customHeight="1">
      <c r="A592" s="1"/>
      <c r="B592" s="1"/>
      <c r="C592" s="1"/>
      <c r="D592" s="1"/>
      <c r="E592" s="1"/>
      <c r="F592" s="1"/>
      <c r="G592" s="1"/>
      <c r="H592" s="1"/>
      <c r="I592" s="1"/>
      <c r="J592" s="1"/>
    </row>
    <row r="593" ht="15.75" customHeight="1">
      <c r="A593" s="1"/>
      <c r="B593" s="1"/>
      <c r="C593" s="1"/>
      <c r="D593" s="1"/>
      <c r="E593" s="1"/>
      <c r="F593" s="1"/>
      <c r="G593" s="1"/>
      <c r="H593" s="1"/>
      <c r="I593" s="1"/>
      <c r="J593" s="1"/>
    </row>
    <row r="594" ht="15.75" customHeight="1">
      <c r="A594" s="1"/>
      <c r="B594" s="1"/>
      <c r="C594" s="1"/>
      <c r="D594" s="1"/>
      <c r="E594" s="1"/>
      <c r="F594" s="1"/>
      <c r="G594" s="1"/>
      <c r="H594" s="1"/>
      <c r="I594" s="1"/>
      <c r="J594" s="1"/>
    </row>
    <row r="595" ht="15.75" customHeight="1">
      <c r="A595" s="1"/>
      <c r="B595" s="1"/>
      <c r="C595" s="1"/>
      <c r="D595" s="1"/>
      <c r="E595" s="1"/>
      <c r="F595" s="1"/>
      <c r="G595" s="1"/>
      <c r="H595" s="1"/>
      <c r="I595" s="1"/>
      <c r="J595" s="1"/>
    </row>
    <row r="596" ht="15.75" customHeight="1">
      <c r="A596" s="1"/>
      <c r="B596" s="1"/>
      <c r="C596" s="1"/>
      <c r="D596" s="1"/>
      <c r="E596" s="1"/>
      <c r="F596" s="1"/>
      <c r="G596" s="1"/>
      <c r="H596" s="1"/>
      <c r="I596" s="1"/>
      <c r="J596" s="1"/>
    </row>
    <row r="597" ht="15.75" customHeight="1">
      <c r="A597" s="1"/>
      <c r="B597" s="1"/>
      <c r="C597" s="1"/>
      <c r="D597" s="1"/>
      <c r="E597" s="1"/>
      <c r="F597" s="1"/>
      <c r="G597" s="1"/>
      <c r="H597" s="1"/>
      <c r="I597" s="1"/>
      <c r="J597" s="1"/>
    </row>
    <row r="598" ht="15.75" customHeight="1">
      <c r="A598" s="1"/>
      <c r="B598" s="1"/>
      <c r="C598" s="1"/>
      <c r="D598" s="1"/>
      <c r="E598" s="1"/>
      <c r="F598" s="1"/>
      <c r="G598" s="1"/>
      <c r="H598" s="1"/>
      <c r="I598" s="1"/>
      <c r="J598" s="1"/>
    </row>
    <row r="599" ht="15.75" customHeight="1">
      <c r="A599" s="1"/>
      <c r="B599" s="1"/>
      <c r="C599" s="1"/>
      <c r="D599" s="1"/>
      <c r="E599" s="1"/>
      <c r="F599" s="1"/>
      <c r="G599" s="1"/>
      <c r="H599" s="1"/>
      <c r="I599" s="1"/>
      <c r="J599" s="1"/>
    </row>
    <row r="600" ht="15.75" customHeight="1">
      <c r="A600" s="1"/>
      <c r="B600" s="1"/>
      <c r="C600" s="1"/>
      <c r="D600" s="1"/>
      <c r="E600" s="1"/>
      <c r="F600" s="1"/>
      <c r="G600" s="1"/>
      <c r="H600" s="1"/>
      <c r="I600" s="1"/>
      <c r="J600" s="1"/>
    </row>
    <row r="601" ht="15.75" customHeight="1">
      <c r="A601" s="1"/>
      <c r="B601" s="1"/>
      <c r="C601" s="1"/>
      <c r="D601" s="1"/>
      <c r="E601" s="1"/>
      <c r="F601" s="1"/>
      <c r="G601" s="1"/>
      <c r="H601" s="1"/>
      <c r="I601" s="1"/>
      <c r="J601" s="1"/>
    </row>
    <row r="602" ht="15.75" customHeight="1">
      <c r="A602" s="1"/>
      <c r="B602" s="1"/>
      <c r="C602" s="1"/>
      <c r="D602" s="1"/>
      <c r="E602" s="1"/>
      <c r="F602" s="1"/>
      <c r="G602" s="1"/>
      <c r="H602" s="1"/>
      <c r="I602" s="1"/>
      <c r="J602" s="1"/>
    </row>
    <row r="603" ht="15.75" customHeight="1">
      <c r="A603" s="1"/>
      <c r="B603" s="1"/>
      <c r="C603" s="1"/>
      <c r="D603" s="1"/>
      <c r="E603" s="1"/>
      <c r="F603" s="1"/>
      <c r="G603" s="1"/>
      <c r="H603" s="1"/>
      <c r="I603" s="1"/>
      <c r="J603" s="1"/>
    </row>
    <row r="604" ht="15.75" customHeight="1">
      <c r="A604" s="1"/>
      <c r="B604" s="1"/>
      <c r="C604" s="1"/>
      <c r="D604" s="1"/>
      <c r="E604" s="1"/>
      <c r="F604" s="1"/>
      <c r="G604" s="1"/>
      <c r="H604" s="1"/>
      <c r="I604" s="1"/>
      <c r="J604" s="1"/>
    </row>
    <row r="605" ht="15.75" customHeight="1">
      <c r="A605" s="1"/>
      <c r="B605" s="1"/>
      <c r="C605" s="1"/>
      <c r="D605" s="1"/>
      <c r="E605" s="1"/>
      <c r="F605" s="1"/>
      <c r="G605" s="1"/>
      <c r="H605" s="1"/>
      <c r="I605" s="1"/>
      <c r="J605" s="1"/>
    </row>
    <row r="606" ht="15.75" customHeight="1">
      <c r="A606" s="1"/>
      <c r="B606" s="1"/>
      <c r="C606" s="1"/>
      <c r="D606" s="1"/>
      <c r="E606" s="1"/>
      <c r="F606" s="1"/>
      <c r="G606" s="1"/>
      <c r="H606" s="1"/>
      <c r="I606" s="1"/>
      <c r="J606" s="1"/>
    </row>
    <row r="607" ht="15.75" customHeight="1">
      <c r="A607" s="1"/>
      <c r="B607" s="1"/>
      <c r="C607" s="1"/>
      <c r="D607" s="1"/>
      <c r="E607" s="1"/>
      <c r="F607" s="1"/>
      <c r="G607" s="1"/>
      <c r="H607" s="1"/>
      <c r="I607" s="1"/>
      <c r="J607" s="1"/>
    </row>
    <row r="608" ht="15.75" customHeight="1">
      <c r="A608" s="1"/>
      <c r="B608" s="1"/>
      <c r="C608" s="1"/>
      <c r="D608" s="1"/>
      <c r="E608" s="1"/>
      <c r="F608" s="1"/>
      <c r="G608" s="1"/>
      <c r="H608" s="1"/>
      <c r="I608" s="1"/>
      <c r="J608" s="1"/>
    </row>
    <row r="609" ht="15.75" customHeight="1">
      <c r="A609" s="1"/>
      <c r="B609" s="1"/>
      <c r="C609" s="1"/>
      <c r="D609" s="1"/>
      <c r="E609" s="1"/>
      <c r="F609" s="1"/>
      <c r="G609" s="1"/>
      <c r="H609" s="1"/>
      <c r="I609" s="1"/>
      <c r="J609" s="1"/>
    </row>
    <row r="610" ht="15.75" customHeight="1">
      <c r="A610" s="1"/>
      <c r="B610" s="1"/>
      <c r="C610" s="1"/>
      <c r="D610" s="1"/>
      <c r="E610" s="1"/>
      <c r="F610" s="1"/>
      <c r="G610" s="1"/>
      <c r="H610" s="1"/>
      <c r="I610" s="1"/>
      <c r="J610" s="1"/>
    </row>
    <row r="611" ht="15.75" customHeight="1">
      <c r="A611" s="1"/>
      <c r="B611" s="1"/>
      <c r="C611" s="1"/>
      <c r="D611" s="1"/>
      <c r="E611" s="1"/>
      <c r="F611" s="1"/>
      <c r="G611" s="1"/>
      <c r="H611" s="1"/>
      <c r="I611" s="1"/>
      <c r="J611" s="1"/>
    </row>
    <row r="612" ht="15.75" customHeight="1">
      <c r="A612" s="1"/>
      <c r="B612" s="1"/>
      <c r="C612" s="1"/>
      <c r="D612" s="1"/>
      <c r="E612" s="1"/>
      <c r="F612" s="1"/>
      <c r="G612" s="1"/>
      <c r="H612" s="1"/>
      <c r="I612" s="1"/>
      <c r="J612" s="1"/>
    </row>
    <row r="613" ht="15.75" customHeight="1">
      <c r="A613" s="1"/>
      <c r="B613" s="1"/>
      <c r="C613" s="1"/>
      <c r="D613" s="1"/>
      <c r="E613" s="1"/>
      <c r="F613" s="1"/>
      <c r="G613" s="1"/>
      <c r="H613" s="1"/>
      <c r="I613" s="1"/>
      <c r="J613" s="1"/>
    </row>
    <row r="614" ht="15.75" customHeight="1">
      <c r="A614" s="1"/>
      <c r="B614" s="1"/>
      <c r="C614" s="1"/>
      <c r="D614" s="1"/>
      <c r="E614" s="1"/>
      <c r="F614" s="1"/>
      <c r="G614" s="1"/>
      <c r="H614" s="1"/>
      <c r="I614" s="1"/>
      <c r="J614" s="1"/>
    </row>
    <row r="615" ht="15.75" customHeight="1">
      <c r="A615" s="1"/>
      <c r="B615" s="1"/>
      <c r="C615" s="1"/>
      <c r="D615" s="1"/>
      <c r="E615" s="1"/>
      <c r="F615" s="1"/>
      <c r="G615" s="1"/>
      <c r="H615" s="1"/>
      <c r="I615" s="1"/>
      <c r="J615" s="1"/>
    </row>
    <row r="616" ht="15.75" customHeight="1">
      <c r="A616" s="1"/>
      <c r="B616" s="1"/>
      <c r="C616" s="1"/>
      <c r="D616" s="1"/>
      <c r="E616" s="1"/>
      <c r="F616" s="1"/>
      <c r="G616" s="1"/>
      <c r="H616" s="1"/>
      <c r="I616" s="1"/>
      <c r="J616" s="1"/>
    </row>
    <row r="617" ht="15.75" customHeight="1">
      <c r="A617" s="1"/>
      <c r="B617" s="1"/>
      <c r="C617" s="1"/>
      <c r="D617" s="1"/>
      <c r="E617" s="1"/>
      <c r="F617" s="1"/>
      <c r="G617" s="1"/>
      <c r="H617" s="1"/>
      <c r="I617" s="1"/>
      <c r="J617" s="1"/>
    </row>
    <row r="618" ht="15.75" customHeight="1">
      <c r="A618" s="1"/>
      <c r="B618" s="1"/>
      <c r="C618" s="1"/>
      <c r="D618" s="1"/>
      <c r="E618" s="1"/>
      <c r="F618" s="1"/>
      <c r="G618" s="1"/>
      <c r="H618" s="1"/>
      <c r="I618" s="1"/>
      <c r="J618" s="1"/>
    </row>
    <row r="619" ht="15.75" customHeight="1">
      <c r="A619" s="1"/>
      <c r="B619" s="1"/>
      <c r="C619" s="1"/>
      <c r="D619" s="1"/>
      <c r="E619" s="1"/>
      <c r="F619" s="1"/>
      <c r="G619" s="1"/>
      <c r="H619" s="1"/>
      <c r="I619" s="1"/>
      <c r="J619" s="1"/>
    </row>
    <row r="620" ht="15.75" customHeight="1">
      <c r="A620" s="1"/>
      <c r="B620" s="1"/>
      <c r="C620" s="1"/>
      <c r="D620" s="1"/>
      <c r="E620" s="1"/>
      <c r="F620" s="1"/>
      <c r="G620" s="1"/>
      <c r="H620" s="1"/>
      <c r="I620" s="1"/>
      <c r="J620" s="1"/>
    </row>
    <row r="621" ht="15.75" customHeight="1">
      <c r="A621" s="1"/>
      <c r="B621" s="1"/>
      <c r="C621" s="1"/>
      <c r="D621" s="1"/>
      <c r="E621" s="1"/>
      <c r="F621" s="1"/>
      <c r="G621" s="1"/>
      <c r="H621" s="1"/>
      <c r="I621" s="1"/>
      <c r="J621" s="1"/>
    </row>
    <row r="622" ht="15.75" customHeight="1">
      <c r="A622" s="1"/>
      <c r="B622" s="1"/>
      <c r="C622" s="1"/>
      <c r="D622" s="1"/>
      <c r="E622" s="1"/>
      <c r="F622" s="1"/>
      <c r="G622" s="1"/>
      <c r="H622" s="1"/>
      <c r="I622" s="1"/>
      <c r="J622" s="1"/>
    </row>
    <row r="623" ht="15.75" customHeight="1">
      <c r="A623" s="1"/>
      <c r="B623" s="1"/>
      <c r="C623" s="1"/>
      <c r="D623" s="1"/>
      <c r="E623" s="1"/>
      <c r="F623" s="1"/>
      <c r="G623" s="1"/>
      <c r="H623" s="1"/>
      <c r="I623" s="1"/>
      <c r="J623" s="1"/>
    </row>
    <row r="624" ht="15.75" customHeight="1">
      <c r="A624" s="1"/>
      <c r="B624" s="1"/>
      <c r="C624" s="1"/>
      <c r="D624" s="1"/>
      <c r="E624" s="1"/>
      <c r="F624" s="1"/>
      <c r="G624" s="1"/>
      <c r="H624" s="1"/>
      <c r="I624" s="1"/>
      <c r="J624" s="1"/>
    </row>
    <row r="625" ht="15.75" customHeight="1">
      <c r="A625" s="1"/>
      <c r="B625" s="1"/>
      <c r="C625" s="1"/>
      <c r="D625" s="1"/>
      <c r="E625" s="1"/>
      <c r="F625" s="1"/>
      <c r="G625" s="1"/>
      <c r="H625" s="1"/>
      <c r="I625" s="1"/>
      <c r="J625" s="1"/>
    </row>
    <row r="626" ht="15.75" customHeight="1">
      <c r="A626" s="1"/>
      <c r="B626" s="1"/>
      <c r="C626" s="1"/>
      <c r="D626" s="1"/>
      <c r="E626" s="1"/>
      <c r="F626" s="1"/>
      <c r="G626" s="1"/>
      <c r="H626" s="1"/>
      <c r="I626" s="1"/>
      <c r="J626" s="1"/>
    </row>
    <row r="627" ht="15.75" customHeight="1">
      <c r="A627" s="1"/>
      <c r="B627" s="1"/>
      <c r="C627" s="1"/>
      <c r="D627" s="1"/>
      <c r="E627" s="1"/>
      <c r="F627" s="1"/>
      <c r="G627" s="1"/>
      <c r="H627" s="1"/>
      <c r="I627" s="1"/>
      <c r="J627" s="1"/>
    </row>
    <row r="628" ht="15.75" customHeight="1">
      <c r="A628" s="1"/>
      <c r="B628" s="1"/>
      <c r="C628" s="1"/>
      <c r="D628" s="1"/>
      <c r="E628" s="1"/>
      <c r="F628" s="1"/>
      <c r="G628" s="1"/>
      <c r="H628" s="1"/>
      <c r="I628" s="1"/>
      <c r="J628" s="1"/>
    </row>
    <row r="629" ht="15.75" customHeight="1">
      <c r="A629" s="1"/>
      <c r="B629" s="1"/>
      <c r="C629" s="1"/>
      <c r="D629" s="1"/>
      <c r="E629" s="1"/>
      <c r="F629" s="1"/>
      <c r="G629" s="1"/>
      <c r="H629" s="1"/>
      <c r="I629" s="1"/>
      <c r="J629" s="1"/>
    </row>
    <row r="630" ht="15.75" customHeight="1">
      <c r="A630" s="1"/>
      <c r="B630" s="1"/>
      <c r="C630" s="1"/>
      <c r="D630" s="1"/>
      <c r="E630" s="1"/>
      <c r="F630" s="1"/>
      <c r="G630" s="1"/>
      <c r="H630" s="1"/>
      <c r="I630" s="1"/>
      <c r="J630" s="1"/>
    </row>
    <row r="631" ht="15.75" customHeight="1">
      <c r="A631" s="1"/>
      <c r="B631" s="1"/>
      <c r="C631" s="1"/>
      <c r="D631" s="1"/>
      <c r="E631" s="1"/>
      <c r="F631" s="1"/>
      <c r="G631" s="1"/>
      <c r="H631" s="1"/>
      <c r="I631" s="1"/>
      <c r="J631" s="1"/>
    </row>
    <row r="632" ht="15.75" customHeight="1">
      <c r="A632" s="1"/>
      <c r="B632" s="1"/>
      <c r="C632" s="1"/>
      <c r="D632" s="1"/>
      <c r="E632" s="1"/>
      <c r="F632" s="1"/>
      <c r="G632" s="1"/>
      <c r="H632" s="1"/>
      <c r="I632" s="1"/>
      <c r="J632" s="1"/>
    </row>
    <row r="633" ht="15.75" customHeight="1">
      <c r="A633" s="1"/>
      <c r="B633" s="1"/>
      <c r="C633" s="1"/>
      <c r="D633" s="1"/>
      <c r="E633" s="1"/>
      <c r="F633" s="1"/>
      <c r="G633" s="1"/>
      <c r="H633" s="1"/>
      <c r="I633" s="1"/>
      <c r="J633" s="1"/>
    </row>
    <row r="634" ht="15.75" customHeight="1">
      <c r="A634" s="1"/>
      <c r="B634" s="1"/>
      <c r="C634" s="1"/>
      <c r="D634" s="1"/>
      <c r="E634" s="1"/>
      <c r="F634" s="1"/>
      <c r="G634" s="1"/>
      <c r="H634" s="1"/>
      <c r="I634" s="1"/>
      <c r="J634" s="1"/>
    </row>
    <row r="635" ht="15.75" customHeight="1">
      <c r="A635" s="1"/>
      <c r="B635" s="1"/>
      <c r="C635" s="1"/>
      <c r="D635" s="1"/>
      <c r="E635" s="1"/>
      <c r="F635" s="1"/>
      <c r="G635" s="1"/>
      <c r="H635" s="1"/>
      <c r="I635" s="1"/>
      <c r="J635" s="1"/>
    </row>
    <row r="636" ht="15.75" customHeight="1">
      <c r="A636" s="1"/>
      <c r="B636" s="1"/>
      <c r="C636" s="1"/>
      <c r="D636" s="1"/>
      <c r="E636" s="1"/>
      <c r="F636" s="1"/>
      <c r="G636" s="1"/>
      <c r="H636" s="1"/>
      <c r="I636" s="1"/>
      <c r="J636" s="1"/>
    </row>
    <row r="637" ht="15.75" customHeight="1">
      <c r="A637" s="1"/>
      <c r="B637" s="1"/>
      <c r="C637" s="1"/>
      <c r="D637" s="1"/>
      <c r="E637" s="1"/>
      <c r="F637" s="1"/>
      <c r="G637" s="1"/>
      <c r="H637" s="1"/>
      <c r="I637" s="1"/>
      <c r="J637" s="1"/>
    </row>
    <row r="638" ht="15.75" customHeight="1">
      <c r="A638" s="1"/>
      <c r="B638" s="1"/>
      <c r="C638" s="1"/>
      <c r="D638" s="1"/>
      <c r="E638" s="1"/>
      <c r="F638" s="1"/>
      <c r="G638" s="1"/>
      <c r="H638" s="1"/>
      <c r="I638" s="1"/>
      <c r="J638" s="1"/>
    </row>
    <row r="639" ht="15.75" customHeight="1">
      <c r="A639" s="1"/>
      <c r="B639" s="1"/>
      <c r="C639" s="1"/>
      <c r="D639" s="1"/>
      <c r="E639" s="1"/>
      <c r="F639" s="1"/>
      <c r="G639" s="1"/>
      <c r="H639" s="1"/>
      <c r="I639" s="1"/>
      <c r="J639" s="1"/>
    </row>
    <row r="640" ht="15.75" customHeight="1">
      <c r="A640" s="1"/>
      <c r="B640" s="1"/>
      <c r="C640" s="1"/>
      <c r="D640" s="1"/>
      <c r="E640" s="1"/>
      <c r="F640" s="1"/>
      <c r="G640" s="1"/>
      <c r="H640" s="1"/>
      <c r="I640" s="1"/>
      <c r="J640" s="1"/>
    </row>
    <row r="641" ht="15.75" customHeight="1">
      <c r="A641" s="1"/>
      <c r="B641" s="1"/>
      <c r="C641" s="1"/>
      <c r="D641" s="1"/>
      <c r="E641" s="1"/>
      <c r="F641" s="1"/>
      <c r="G641" s="1"/>
      <c r="H641" s="1"/>
      <c r="I641" s="1"/>
      <c r="J641" s="1"/>
    </row>
    <row r="642" ht="15.75" customHeight="1">
      <c r="A642" s="1"/>
      <c r="B642" s="1"/>
      <c r="C642" s="1"/>
      <c r="D642" s="1"/>
      <c r="E642" s="1"/>
      <c r="F642" s="1"/>
      <c r="G642" s="1"/>
      <c r="H642" s="1"/>
      <c r="I642" s="1"/>
      <c r="J642" s="1"/>
    </row>
    <row r="643" ht="15.75" customHeight="1">
      <c r="A643" s="1"/>
      <c r="B643" s="1"/>
      <c r="C643" s="1"/>
      <c r="D643" s="1"/>
      <c r="E643" s="1"/>
      <c r="F643" s="1"/>
      <c r="G643" s="1"/>
      <c r="H643" s="1"/>
      <c r="I643" s="1"/>
      <c r="J643" s="1"/>
    </row>
    <row r="644" ht="15.75" customHeight="1">
      <c r="A644" s="1"/>
      <c r="B644" s="1"/>
      <c r="C644" s="1"/>
      <c r="D644" s="1"/>
      <c r="E644" s="1"/>
      <c r="F644" s="1"/>
      <c r="G644" s="1"/>
      <c r="H644" s="1"/>
      <c r="I644" s="1"/>
      <c r="J644" s="1"/>
    </row>
    <row r="645" ht="15.75" customHeight="1">
      <c r="A645" s="1"/>
      <c r="B645" s="1"/>
      <c r="C645" s="1"/>
      <c r="D645" s="1"/>
      <c r="E645" s="1"/>
      <c r="F645" s="1"/>
      <c r="G645" s="1"/>
      <c r="H645" s="1"/>
      <c r="I645" s="1"/>
      <c r="J645" s="1"/>
    </row>
    <row r="646" ht="15.75" customHeight="1">
      <c r="A646" s="1"/>
      <c r="B646" s="1"/>
      <c r="C646" s="1"/>
      <c r="D646" s="1"/>
      <c r="E646" s="1"/>
      <c r="F646" s="1"/>
      <c r="G646" s="1"/>
      <c r="H646" s="1"/>
      <c r="I646" s="1"/>
      <c r="J646" s="1"/>
    </row>
    <row r="647" ht="15.75" customHeight="1">
      <c r="A647" s="1"/>
      <c r="B647" s="1"/>
      <c r="C647" s="1"/>
      <c r="D647" s="1"/>
      <c r="E647" s="1"/>
      <c r="F647" s="1"/>
      <c r="G647" s="1"/>
      <c r="H647" s="1"/>
      <c r="I647" s="1"/>
      <c r="J647" s="1"/>
    </row>
    <row r="648" ht="15.75" customHeight="1">
      <c r="A648" s="1"/>
      <c r="B648" s="1"/>
      <c r="C648" s="1"/>
      <c r="D648" s="1"/>
      <c r="E648" s="1"/>
      <c r="F648" s="1"/>
      <c r="G648" s="1"/>
      <c r="H648" s="1"/>
      <c r="I648" s="1"/>
      <c r="J648" s="1"/>
    </row>
    <row r="649" ht="15.75" customHeight="1">
      <c r="A649" s="1"/>
      <c r="B649" s="1"/>
      <c r="C649" s="1"/>
      <c r="D649" s="1"/>
      <c r="E649" s="1"/>
      <c r="F649" s="1"/>
      <c r="G649" s="1"/>
      <c r="H649" s="1"/>
      <c r="I649" s="1"/>
      <c r="J649" s="1"/>
    </row>
    <row r="650" ht="15.75" customHeight="1">
      <c r="A650" s="1"/>
      <c r="B650" s="1"/>
      <c r="C650" s="1"/>
      <c r="D650" s="1"/>
      <c r="E650" s="1"/>
      <c r="F650" s="1"/>
      <c r="G650" s="1"/>
      <c r="H650" s="1"/>
      <c r="I650" s="1"/>
      <c r="J650" s="1"/>
    </row>
    <row r="651" ht="15.75" customHeight="1">
      <c r="A651" s="1"/>
      <c r="B651" s="1"/>
      <c r="C651" s="1"/>
      <c r="D651" s="1"/>
      <c r="E651" s="1"/>
      <c r="F651" s="1"/>
      <c r="G651" s="1"/>
      <c r="H651" s="1"/>
      <c r="I651" s="1"/>
      <c r="J651" s="1"/>
    </row>
    <row r="652" ht="15.75" customHeight="1">
      <c r="A652" s="1"/>
      <c r="B652" s="1"/>
      <c r="C652" s="1"/>
      <c r="D652" s="1"/>
      <c r="E652" s="1"/>
      <c r="F652" s="1"/>
      <c r="G652" s="1"/>
      <c r="H652" s="1"/>
      <c r="I652" s="1"/>
      <c r="J652" s="1"/>
    </row>
    <row r="653" ht="15.75" customHeight="1">
      <c r="A653" s="1"/>
      <c r="B653" s="1"/>
      <c r="C653" s="1"/>
      <c r="D653" s="1"/>
      <c r="E653" s="1"/>
      <c r="F653" s="1"/>
      <c r="G653" s="1"/>
      <c r="H653" s="1"/>
      <c r="I653" s="1"/>
      <c r="J653" s="1"/>
    </row>
    <row r="654" ht="15.75" customHeight="1">
      <c r="A654" s="1"/>
      <c r="B654" s="1"/>
      <c r="C654" s="1"/>
      <c r="D654" s="1"/>
      <c r="E654" s="1"/>
      <c r="F654" s="1"/>
      <c r="G654" s="1"/>
      <c r="H654" s="1"/>
      <c r="I654" s="1"/>
      <c r="J654" s="1"/>
    </row>
    <row r="655" ht="15.75" customHeight="1">
      <c r="A655" s="1"/>
      <c r="B655" s="1"/>
      <c r="C655" s="1"/>
      <c r="D655" s="1"/>
      <c r="E655" s="1"/>
      <c r="F655" s="1"/>
      <c r="G655" s="1"/>
      <c r="H655" s="1"/>
      <c r="I655" s="1"/>
      <c r="J655" s="1"/>
    </row>
    <row r="656" ht="15.75" customHeight="1">
      <c r="A656" s="1"/>
      <c r="B656" s="1"/>
      <c r="C656" s="1"/>
      <c r="D656" s="1"/>
      <c r="E656" s="1"/>
      <c r="F656" s="1"/>
      <c r="G656" s="1"/>
      <c r="H656" s="1"/>
      <c r="I656" s="1"/>
      <c r="J656" s="1"/>
    </row>
    <row r="657" ht="15.75" customHeight="1">
      <c r="A657" s="1"/>
      <c r="B657" s="1"/>
      <c r="C657" s="1"/>
      <c r="D657" s="1"/>
      <c r="E657" s="1"/>
      <c r="F657" s="1"/>
      <c r="G657" s="1"/>
      <c r="H657" s="1"/>
      <c r="I657" s="1"/>
      <c r="J657" s="1"/>
    </row>
    <row r="658" ht="15.75" customHeight="1">
      <c r="A658" s="1"/>
      <c r="B658" s="1"/>
      <c r="C658" s="1"/>
      <c r="D658" s="1"/>
      <c r="E658" s="1"/>
      <c r="F658" s="1"/>
      <c r="G658" s="1"/>
      <c r="H658" s="1"/>
      <c r="I658" s="1"/>
      <c r="J658" s="1"/>
    </row>
    <row r="659" ht="15.75" customHeight="1">
      <c r="A659" s="1"/>
      <c r="B659" s="1"/>
      <c r="C659" s="1"/>
      <c r="D659" s="1"/>
      <c r="E659" s="1"/>
      <c r="F659" s="1"/>
      <c r="G659" s="1"/>
      <c r="H659" s="1"/>
      <c r="I659" s="1"/>
      <c r="J659" s="1"/>
    </row>
    <row r="660" ht="15.75" customHeight="1">
      <c r="A660" s="1"/>
      <c r="B660" s="1"/>
      <c r="C660" s="1"/>
      <c r="D660" s="1"/>
      <c r="E660" s="1"/>
      <c r="F660" s="1"/>
      <c r="G660" s="1"/>
      <c r="H660" s="1"/>
      <c r="I660" s="1"/>
      <c r="J660" s="1"/>
    </row>
    <row r="661" ht="15.75" customHeight="1">
      <c r="A661" s="1"/>
      <c r="B661" s="1"/>
      <c r="C661" s="1"/>
      <c r="D661" s="1"/>
      <c r="E661" s="1"/>
      <c r="F661" s="1"/>
      <c r="G661" s="1"/>
      <c r="H661" s="1"/>
      <c r="I661" s="1"/>
      <c r="J661" s="1"/>
    </row>
    <row r="662" ht="15.75" customHeight="1">
      <c r="A662" s="1"/>
      <c r="B662" s="1"/>
      <c r="C662" s="1"/>
      <c r="D662" s="1"/>
      <c r="E662" s="1"/>
      <c r="F662" s="1"/>
      <c r="G662" s="1"/>
      <c r="H662" s="1"/>
      <c r="I662" s="1"/>
      <c r="J662" s="1"/>
    </row>
    <row r="663" ht="15.75" customHeight="1">
      <c r="A663" s="1"/>
      <c r="B663" s="1"/>
      <c r="C663" s="1"/>
      <c r="D663" s="1"/>
      <c r="E663" s="1"/>
      <c r="F663" s="1"/>
      <c r="G663" s="1"/>
      <c r="H663" s="1"/>
      <c r="I663" s="1"/>
      <c r="J663" s="1"/>
    </row>
    <row r="664" ht="15.75" customHeight="1">
      <c r="A664" s="1"/>
      <c r="B664" s="1"/>
      <c r="C664" s="1"/>
      <c r="D664" s="1"/>
      <c r="E664" s="1"/>
      <c r="F664" s="1"/>
      <c r="G664" s="1"/>
      <c r="H664" s="1"/>
      <c r="I664" s="1"/>
      <c r="J664" s="1"/>
    </row>
    <row r="665" ht="15.75" customHeight="1">
      <c r="A665" s="1"/>
      <c r="B665" s="1"/>
      <c r="C665" s="1"/>
      <c r="D665" s="1"/>
      <c r="E665" s="1"/>
      <c r="F665" s="1"/>
      <c r="G665" s="1"/>
      <c r="H665" s="1"/>
      <c r="I665" s="1"/>
      <c r="J665" s="1"/>
    </row>
    <row r="666" ht="15.75" customHeight="1">
      <c r="A666" s="1"/>
      <c r="B666" s="1"/>
      <c r="C666" s="1"/>
      <c r="D666" s="1"/>
      <c r="E666" s="1"/>
      <c r="F666" s="1"/>
      <c r="G666" s="1"/>
      <c r="H666" s="1"/>
      <c r="I666" s="1"/>
      <c r="J666" s="1"/>
    </row>
    <row r="667" ht="15.75" customHeight="1">
      <c r="A667" s="1"/>
      <c r="B667" s="1"/>
      <c r="C667" s="1"/>
      <c r="D667" s="1"/>
      <c r="E667" s="1"/>
      <c r="F667" s="1"/>
      <c r="G667" s="1"/>
      <c r="H667" s="1"/>
      <c r="I667" s="1"/>
      <c r="J667" s="1"/>
    </row>
    <row r="668" ht="15.75" customHeight="1">
      <c r="A668" s="1"/>
      <c r="B668" s="1"/>
      <c r="C668" s="1"/>
      <c r="D668" s="1"/>
      <c r="E668" s="1"/>
      <c r="F668" s="1"/>
      <c r="G668" s="1"/>
      <c r="H668" s="1"/>
      <c r="I668" s="1"/>
      <c r="J668" s="1"/>
    </row>
    <row r="669" ht="15.75" customHeight="1">
      <c r="A669" s="1"/>
      <c r="B669" s="1"/>
      <c r="C669" s="1"/>
      <c r="D669" s="1"/>
      <c r="E669" s="1"/>
      <c r="F669" s="1"/>
      <c r="G669" s="1"/>
      <c r="H669" s="1"/>
      <c r="I669" s="1"/>
      <c r="J669" s="1"/>
    </row>
    <row r="670" ht="15.75" customHeight="1">
      <c r="A670" s="1"/>
      <c r="B670" s="1"/>
      <c r="C670" s="1"/>
      <c r="D670" s="1"/>
      <c r="E670" s="1"/>
      <c r="F670" s="1"/>
      <c r="G670" s="1"/>
      <c r="H670" s="1"/>
      <c r="I670" s="1"/>
      <c r="J670" s="1"/>
    </row>
    <row r="671" ht="15.75" customHeight="1">
      <c r="A671" s="1"/>
      <c r="B671" s="1"/>
      <c r="C671" s="1"/>
      <c r="D671" s="1"/>
      <c r="E671" s="1"/>
      <c r="F671" s="1"/>
      <c r="G671" s="1"/>
      <c r="H671" s="1"/>
      <c r="I671" s="1"/>
      <c r="J671" s="1"/>
    </row>
    <row r="672" ht="15.75" customHeight="1">
      <c r="A672" s="1"/>
      <c r="B672" s="1"/>
      <c r="C672" s="1"/>
      <c r="D672" s="1"/>
      <c r="E672" s="1"/>
      <c r="F672" s="1"/>
      <c r="G672" s="1"/>
      <c r="H672" s="1"/>
      <c r="I672" s="1"/>
      <c r="J672" s="1"/>
    </row>
    <row r="673" ht="15.75" customHeight="1">
      <c r="A673" s="1"/>
      <c r="B673" s="1"/>
      <c r="C673" s="1"/>
      <c r="D673" s="1"/>
      <c r="E673" s="1"/>
      <c r="F673" s="1"/>
      <c r="G673" s="1"/>
      <c r="H673" s="1"/>
      <c r="I673" s="1"/>
      <c r="J673" s="1"/>
    </row>
    <row r="674" ht="15.75" customHeight="1">
      <c r="A674" s="1"/>
      <c r="B674" s="1"/>
      <c r="C674" s="1"/>
      <c r="D674" s="1"/>
      <c r="E674" s="1"/>
      <c r="F674" s="1"/>
      <c r="G674" s="1"/>
      <c r="H674" s="1"/>
      <c r="I674" s="1"/>
      <c r="J674" s="1"/>
    </row>
    <row r="675" ht="15.75" customHeight="1">
      <c r="A675" s="1"/>
      <c r="B675" s="1"/>
      <c r="C675" s="1"/>
      <c r="D675" s="1"/>
      <c r="E675" s="1"/>
      <c r="F675" s="1"/>
      <c r="G675" s="1"/>
      <c r="H675" s="1"/>
      <c r="I675" s="1"/>
      <c r="J675" s="1"/>
    </row>
    <row r="676" ht="15.75" customHeight="1">
      <c r="A676" s="1"/>
      <c r="B676" s="1"/>
      <c r="C676" s="1"/>
      <c r="D676" s="1"/>
      <c r="E676" s="1"/>
      <c r="F676" s="1"/>
      <c r="G676" s="1"/>
      <c r="H676" s="1"/>
      <c r="I676" s="1"/>
      <c r="J676" s="1"/>
    </row>
    <row r="677" ht="15.75" customHeight="1">
      <c r="A677" s="1"/>
      <c r="B677" s="1"/>
      <c r="C677" s="1"/>
      <c r="D677" s="1"/>
      <c r="E677" s="1"/>
      <c r="F677" s="1"/>
      <c r="G677" s="1"/>
      <c r="H677" s="1"/>
      <c r="I677" s="1"/>
      <c r="J677" s="1"/>
    </row>
    <row r="678" ht="15.75" customHeight="1">
      <c r="A678" s="1"/>
      <c r="B678" s="1"/>
      <c r="C678" s="1"/>
      <c r="D678" s="1"/>
      <c r="E678" s="1"/>
      <c r="F678" s="1"/>
      <c r="G678" s="1"/>
      <c r="H678" s="1"/>
      <c r="I678" s="1"/>
      <c r="J678" s="1"/>
    </row>
    <row r="679" ht="15.75" customHeight="1">
      <c r="A679" s="1"/>
      <c r="B679" s="1"/>
      <c r="C679" s="1"/>
      <c r="D679" s="1"/>
      <c r="E679" s="1"/>
      <c r="F679" s="1"/>
      <c r="G679" s="1"/>
      <c r="H679" s="1"/>
      <c r="I679" s="1"/>
      <c r="J679" s="1"/>
    </row>
    <row r="680" ht="15.75" customHeight="1">
      <c r="A680" s="1"/>
      <c r="B680" s="1"/>
      <c r="C680" s="1"/>
      <c r="D680" s="1"/>
      <c r="E680" s="1"/>
      <c r="F680" s="1"/>
      <c r="G680" s="1"/>
      <c r="H680" s="1"/>
      <c r="I680" s="1"/>
      <c r="J680" s="1"/>
    </row>
    <row r="681" ht="15.75" customHeight="1">
      <c r="A681" s="1"/>
      <c r="B681" s="1"/>
      <c r="C681" s="1"/>
      <c r="D681" s="1"/>
      <c r="E681" s="1"/>
      <c r="F681" s="1"/>
      <c r="G681" s="1"/>
      <c r="H681" s="1"/>
      <c r="I681" s="1"/>
      <c r="J681" s="1"/>
    </row>
    <row r="682" ht="15.75" customHeight="1">
      <c r="A682" s="1"/>
      <c r="B682" s="1"/>
      <c r="C682" s="1"/>
      <c r="D682" s="1"/>
      <c r="E682" s="1"/>
      <c r="F682" s="1"/>
      <c r="G682" s="1"/>
      <c r="H682" s="1"/>
      <c r="I682" s="1"/>
      <c r="J682" s="1"/>
    </row>
    <row r="683" ht="15.75" customHeight="1">
      <c r="A683" s="1"/>
      <c r="B683" s="1"/>
      <c r="C683" s="1"/>
      <c r="D683" s="1"/>
      <c r="E683" s="1"/>
      <c r="F683" s="1"/>
      <c r="G683" s="1"/>
      <c r="H683" s="1"/>
      <c r="I683" s="1"/>
      <c r="J683" s="1"/>
    </row>
    <row r="684" ht="15.75" customHeight="1">
      <c r="A684" s="1"/>
      <c r="B684" s="1"/>
      <c r="C684" s="1"/>
      <c r="D684" s="1"/>
      <c r="E684" s="1"/>
      <c r="F684" s="1"/>
      <c r="G684" s="1"/>
      <c r="H684" s="1"/>
      <c r="I684" s="1"/>
      <c r="J684" s="1"/>
    </row>
    <row r="685" ht="15.75" customHeight="1">
      <c r="A685" s="1"/>
      <c r="B685" s="1"/>
      <c r="C685" s="1"/>
      <c r="D685" s="1"/>
      <c r="E685" s="1"/>
      <c r="F685" s="1"/>
      <c r="G685" s="1"/>
      <c r="H685" s="1"/>
      <c r="I685" s="1"/>
      <c r="J685" s="1"/>
    </row>
    <row r="686" ht="15.75" customHeight="1">
      <c r="A686" s="1"/>
      <c r="B686" s="1"/>
      <c r="C686" s="1"/>
      <c r="D686" s="1"/>
      <c r="E686" s="1"/>
      <c r="F686" s="1"/>
      <c r="G686" s="1"/>
      <c r="H686" s="1"/>
      <c r="I686" s="1"/>
      <c r="J686" s="1"/>
    </row>
    <row r="687" ht="15.75" customHeight="1">
      <c r="A687" s="1"/>
      <c r="B687" s="1"/>
      <c r="C687" s="1"/>
      <c r="D687" s="1"/>
      <c r="E687" s="1"/>
      <c r="F687" s="1"/>
      <c r="G687" s="1"/>
      <c r="H687" s="1"/>
      <c r="I687" s="1"/>
      <c r="J687" s="1"/>
    </row>
    <row r="688" ht="15.75" customHeight="1">
      <c r="A688" s="1"/>
      <c r="B688" s="1"/>
      <c r="C688" s="1"/>
      <c r="D688" s="1"/>
      <c r="E688" s="1"/>
      <c r="F688" s="1"/>
      <c r="G688" s="1"/>
      <c r="H688" s="1"/>
      <c r="I688" s="1"/>
      <c r="J688" s="1"/>
    </row>
    <row r="689" ht="15.75" customHeight="1">
      <c r="A689" s="1"/>
      <c r="B689" s="1"/>
      <c r="C689" s="1"/>
      <c r="D689" s="1"/>
      <c r="E689" s="1"/>
      <c r="F689" s="1"/>
      <c r="G689" s="1"/>
      <c r="H689" s="1"/>
      <c r="I689" s="1"/>
      <c r="J689" s="1"/>
    </row>
    <row r="690" ht="15.75" customHeight="1">
      <c r="A690" s="1"/>
      <c r="B690" s="1"/>
      <c r="C690" s="1"/>
      <c r="D690" s="1"/>
      <c r="E690" s="1"/>
      <c r="F690" s="1"/>
      <c r="G690" s="1"/>
      <c r="H690" s="1"/>
      <c r="I690" s="1"/>
      <c r="J690" s="1"/>
    </row>
    <row r="691" ht="15.75" customHeight="1">
      <c r="A691" s="1"/>
      <c r="B691" s="1"/>
      <c r="C691" s="1"/>
      <c r="D691" s="1"/>
      <c r="E691" s="1"/>
      <c r="F691" s="1"/>
      <c r="G691" s="1"/>
      <c r="H691" s="1"/>
      <c r="I691" s="1"/>
      <c r="J691" s="1"/>
    </row>
    <row r="692" ht="15.75" customHeight="1">
      <c r="A692" s="1"/>
      <c r="B692" s="1"/>
      <c r="C692" s="1"/>
      <c r="D692" s="1"/>
      <c r="E692" s="1"/>
      <c r="F692" s="1"/>
      <c r="G692" s="1"/>
      <c r="H692" s="1"/>
      <c r="I692" s="1"/>
      <c r="J692" s="1"/>
    </row>
    <row r="693" ht="15.75" customHeight="1">
      <c r="A693" s="1"/>
      <c r="B693" s="1"/>
      <c r="C693" s="1"/>
      <c r="D693" s="1"/>
      <c r="E693" s="1"/>
      <c r="F693" s="1"/>
      <c r="G693" s="1"/>
      <c r="H693" s="1"/>
      <c r="I693" s="1"/>
      <c r="J693" s="1"/>
    </row>
    <row r="694" ht="15.75" customHeight="1">
      <c r="A694" s="1"/>
      <c r="B694" s="1"/>
      <c r="C694" s="1"/>
      <c r="D694" s="1"/>
      <c r="E694" s="1"/>
      <c r="F694" s="1"/>
      <c r="G694" s="1"/>
      <c r="H694" s="1"/>
      <c r="I694" s="1"/>
      <c r="J694" s="1"/>
    </row>
    <row r="695" ht="15.75" customHeight="1">
      <c r="A695" s="1"/>
      <c r="B695" s="1"/>
      <c r="C695" s="1"/>
      <c r="D695" s="1"/>
      <c r="E695" s="1"/>
      <c r="F695" s="1"/>
      <c r="G695" s="1"/>
      <c r="H695" s="1"/>
      <c r="I695" s="1"/>
      <c r="J695" s="1"/>
    </row>
    <row r="696" ht="15.75" customHeight="1">
      <c r="A696" s="1"/>
      <c r="B696" s="1"/>
      <c r="C696" s="1"/>
      <c r="D696" s="1"/>
      <c r="E696" s="1"/>
      <c r="F696" s="1"/>
      <c r="G696" s="1"/>
      <c r="H696" s="1"/>
      <c r="I696" s="1"/>
      <c r="J696" s="1"/>
    </row>
    <row r="697" ht="15.75" customHeight="1">
      <c r="A697" s="1"/>
      <c r="B697" s="1"/>
      <c r="C697" s="1"/>
      <c r="D697" s="1"/>
      <c r="E697" s="1"/>
      <c r="F697" s="1"/>
      <c r="G697" s="1"/>
      <c r="H697" s="1"/>
      <c r="I697" s="1"/>
      <c r="J697" s="1"/>
    </row>
    <row r="698" ht="15.75" customHeight="1">
      <c r="A698" s="1"/>
      <c r="B698" s="1"/>
      <c r="C698" s="1"/>
      <c r="D698" s="1"/>
      <c r="E698" s="1"/>
      <c r="F698" s="1"/>
      <c r="G698" s="1"/>
      <c r="H698" s="1"/>
      <c r="I698" s="1"/>
      <c r="J698" s="1"/>
    </row>
    <row r="699" ht="15.75" customHeight="1">
      <c r="A699" s="1"/>
      <c r="B699" s="1"/>
      <c r="C699" s="1"/>
      <c r="D699" s="1"/>
      <c r="E699" s="1"/>
      <c r="F699" s="1"/>
      <c r="G699" s="1"/>
      <c r="H699" s="1"/>
      <c r="I699" s="1"/>
      <c r="J699" s="1"/>
    </row>
    <row r="700" ht="15.75" customHeight="1">
      <c r="A700" s="1"/>
      <c r="B700" s="1"/>
      <c r="C700" s="1"/>
      <c r="D700" s="1"/>
      <c r="E700" s="1"/>
      <c r="F700" s="1"/>
      <c r="G700" s="1"/>
      <c r="H700" s="1"/>
      <c r="I700" s="1"/>
      <c r="J700" s="1"/>
    </row>
    <row r="701" ht="15.75" customHeight="1">
      <c r="A701" s="1"/>
      <c r="B701" s="1"/>
      <c r="C701" s="1"/>
      <c r="D701" s="1"/>
      <c r="E701" s="1"/>
      <c r="F701" s="1"/>
      <c r="G701" s="1"/>
      <c r="H701" s="1"/>
      <c r="I701" s="1"/>
      <c r="J701" s="1"/>
    </row>
    <row r="702" ht="15.75" customHeight="1">
      <c r="A702" s="1"/>
      <c r="B702" s="1"/>
      <c r="C702" s="1"/>
      <c r="D702" s="1"/>
      <c r="E702" s="1"/>
      <c r="F702" s="1"/>
      <c r="G702" s="1"/>
      <c r="H702" s="1"/>
      <c r="I702" s="1"/>
      <c r="J702" s="1"/>
    </row>
    <row r="703" ht="15.75" customHeight="1">
      <c r="A703" s="1"/>
      <c r="B703" s="1"/>
      <c r="C703" s="1"/>
      <c r="D703" s="1"/>
      <c r="E703" s="1"/>
      <c r="F703" s="1"/>
      <c r="G703" s="1"/>
      <c r="H703" s="1"/>
      <c r="I703" s="1"/>
      <c r="J703" s="1"/>
    </row>
    <row r="704" ht="15.75" customHeight="1">
      <c r="A704" s="1"/>
      <c r="B704" s="1"/>
      <c r="C704" s="1"/>
      <c r="D704" s="1"/>
      <c r="E704" s="1"/>
      <c r="F704" s="1"/>
      <c r="G704" s="1"/>
      <c r="H704" s="1"/>
      <c r="I704" s="1"/>
      <c r="J704" s="1"/>
    </row>
    <row r="705" ht="15.75" customHeight="1">
      <c r="A705" s="1"/>
      <c r="B705" s="1"/>
      <c r="C705" s="1"/>
      <c r="D705" s="1"/>
      <c r="E705" s="1"/>
      <c r="F705" s="1"/>
      <c r="G705" s="1"/>
      <c r="H705" s="1"/>
      <c r="I705" s="1"/>
      <c r="J705" s="1"/>
    </row>
    <row r="706" ht="15.75" customHeight="1">
      <c r="A706" s="1"/>
      <c r="B706" s="1"/>
      <c r="C706" s="1"/>
      <c r="D706" s="1"/>
      <c r="E706" s="1"/>
      <c r="F706" s="1"/>
      <c r="G706" s="1"/>
      <c r="H706" s="1"/>
      <c r="I706" s="1"/>
      <c r="J706" s="1"/>
    </row>
    <row r="707" ht="15.75" customHeight="1">
      <c r="A707" s="1"/>
      <c r="B707" s="1"/>
      <c r="C707" s="1"/>
      <c r="D707" s="1"/>
      <c r="E707" s="1"/>
      <c r="F707" s="1"/>
      <c r="G707" s="1"/>
      <c r="H707" s="1"/>
      <c r="I707" s="1"/>
      <c r="J707" s="1"/>
    </row>
    <row r="708" ht="15.75" customHeight="1">
      <c r="A708" s="1"/>
      <c r="B708" s="1"/>
      <c r="C708" s="1"/>
      <c r="D708" s="1"/>
      <c r="E708" s="1"/>
      <c r="F708" s="1"/>
      <c r="G708" s="1"/>
      <c r="H708" s="1"/>
      <c r="I708" s="1"/>
      <c r="J708" s="1"/>
    </row>
    <row r="709" ht="15.75" customHeight="1">
      <c r="A709" s="1"/>
      <c r="B709" s="1"/>
      <c r="C709" s="1"/>
      <c r="D709" s="1"/>
      <c r="E709" s="1"/>
      <c r="F709" s="1"/>
      <c r="G709" s="1"/>
      <c r="H709" s="1"/>
      <c r="I709" s="1"/>
      <c r="J709" s="1"/>
    </row>
    <row r="710" ht="15.75" customHeight="1">
      <c r="A710" s="1"/>
      <c r="B710" s="1"/>
      <c r="C710" s="1"/>
      <c r="D710" s="1"/>
      <c r="E710" s="1"/>
      <c r="F710" s="1"/>
      <c r="G710" s="1"/>
      <c r="H710" s="1"/>
      <c r="I710" s="1"/>
      <c r="J710" s="1"/>
    </row>
    <row r="711" ht="15.75" customHeight="1">
      <c r="A711" s="1"/>
      <c r="B711" s="1"/>
      <c r="C711" s="1"/>
      <c r="D711" s="1"/>
      <c r="E711" s="1"/>
      <c r="F711" s="1"/>
      <c r="G711" s="1"/>
      <c r="H711" s="1"/>
      <c r="I711" s="1"/>
      <c r="J711" s="1"/>
    </row>
    <row r="712" ht="15.75" customHeight="1">
      <c r="A712" s="1"/>
      <c r="B712" s="1"/>
      <c r="C712" s="1"/>
      <c r="D712" s="1"/>
      <c r="E712" s="1"/>
      <c r="F712" s="1"/>
      <c r="G712" s="1"/>
      <c r="H712" s="1"/>
      <c r="I712" s="1"/>
      <c r="J712" s="1"/>
    </row>
    <row r="713" ht="15.75" customHeight="1">
      <c r="A713" s="1"/>
      <c r="B713" s="1"/>
      <c r="C713" s="1"/>
      <c r="D713" s="1"/>
      <c r="E713" s="1"/>
      <c r="F713" s="1"/>
      <c r="G713" s="1"/>
      <c r="H713" s="1"/>
      <c r="I713" s="1"/>
      <c r="J713" s="1"/>
    </row>
    <row r="714" ht="15.75" customHeight="1">
      <c r="A714" s="1"/>
      <c r="B714" s="1"/>
      <c r="C714" s="1"/>
      <c r="D714" s="1"/>
      <c r="E714" s="1"/>
      <c r="F714" s="1"/>
      <c r="G714" s="1"/>
      <c r="H714" s="1"/>
      <c r="I714" s="1"/>
      <c r="J714" s="1"/>
    </row>
    <row r="715" ht="15.75" customHeight="1">
      <c r="A715" s="1"/>
      <c r="B715" s="1"/>
      <c r="C715" s="1"/>
      <c r="D715" s="1"/>
      <c r="E715" s="1"/>
      <c r="F715" s="1"/>
      <c r="G715" s="1"/>
      <c r="H715" s="1"/>
      <c r="I715" s="1"/>
      <c r="J715" s="1"/>
    </row>
    <row r="716" ht="15.75" customHeight="1">
      <c r="A716" s="1"/>
      <c r="B716" s="1"/>
      <c r="C716" s="1"/>
      <c r="D716" s="1"/>
      <c r="E716" s="1"/>
      <c r="F716" s="1"/>
      <c r="G716" s="1"/>
      <c r="H716" s="1"/>
      <c r="I716" s="1"/>
      <c r="J716" s="1"/>
    </row>
    <row r="717" ht="15.75" customHeight="1">
      <c r="A717" s="1"/>
      <c r="B717" s="1"/>
      <c r="C717" s="1"/>
      <c r="D717" s="1"/>
      <c r="E717" s="1"/>
      <c r="F717" s="1"/>
      <c r="G717" s="1"/>
      <c r="H717" s="1"/>
      <c r="I717" s="1"/>
      <c r="J717" s="1"/>
    </row>
    <row r="718" ht="15.75" customHeight="1">
      <c r="A718" s="1"/>
      <c r="B718" s="1"/>
      <c r="C718" s="1"/>
      <c r="D718" s="1"/>
      <c r="E718" s="1"/>
      <c r="F718" s="1"/>
      <c r="G718" s="1"/>
      <c r="H718" s="1"/>
      <c r="I718" s="1"/>
      <c r="J718" s="1"/>
    </row>
    <row r="719" ht="15.75" customHeight="1">
      <c r="A719" s="1"/>
      <c r="B719" s="1"/>
      <c r="C719" s="1"/>
      <c r="D719" s="1"/>
      <c r="E719" s="1"/>
      <c r="F719" s="1"/>
      <c r="G719" s="1"/>
      <c r="H719" s="1"/>
      <c r="I719" s="1"/>
      <c r="J719" s="1"/>
    </row>
    <row r="720" ht="15.75" customHeight="1">
      <c r="A720" s="1"/>
      <c r="B720" s="1"/>
      <c r="C720" s="1"/>
      <c r="D720" s="1"/>
      <c r="E720" s="1"/>
      <c r="F720" s="1"/>
      <c r="G720" s="1"/>
      <c r="H720" s="1"/>
      <c r="I720" s="1"/>
      <c r="J720" s="1"/>
    </row>
    <row r="721" ht="15.75" customHeight="1">
      <c r="A721" s="1"/>
      <c r="B721" s="1"/>
      <c r="C721" s="1"/>
      <c r="D721" s="1"/>
      <c r="E721" s="1"/>
      <c r="F721" s="1"/>
      <c r="G721" s="1"/>
      <c r="H721" s="1"/>
      <c r="I721" s="1"/>
      <c r="J721" s="1"/>
    </row>
    <row r="722" ht="15.75" customHeight="1">
      <c r="A722" s="1"/>
      <c r="B722" s="1"/>
      <c r="C722" s="1"/>
      <c r="D722" s="1"/>
      <c r="E722" s="1"/>
      <c r="F722" s="1"/>
      <c r="G722" s="1"/>
      <c r="H722" s="1"/>
      <c r="I722" s="1"/>
      <c r="J722" s="1"/>
    </row>
    <row r="723" ht="15.75" customHeight="1">
      <c r="A723" s="1"/>
      <c r="B723" s="1"/>
      <c r="C723" s="1"/>
      <c r="D723" s="1"/>
      <c r="E723" s="1"/>
      <c r="F723" s="1"/>
      <c r="G723" s="1"/>
      <c r="H723" s="1"/>
      <c r="I723" s="1"/>
      <c r="J723" s="1"/>
    </row>
    <row r="724" ht="15.75" customHeight="1">
      <c r="A724" s="1"/>
      <c r="B724" s="1"/>
      <c r="C724" s="1"/>
      <c r="D724" s="1"/>
      <c r="E724" s="1"/>
      <c r="F724" s="1"/>
      <c r="G724" s="1"/>
      <c r="H724" s="1"/>
      <c r="I724" s="1"/>
      <c r="J724" s="1"/>
    </row>
    <row r="725" ht="15.75" customHeight="1">
      <c r="A725" s="1"/>
      <c r="B725" s="1"/>
      <c r="C725" s="1"/>
      <c r="D725" s="1"/>
      <c r="E725" s="1"/>
      <c r="F725" s="1"/>
      <c r="G725" s="1"/>
      <c r="H725" s="1"/>
      <c r="I725" s="1"/>
      <c r="J725" s="1"/>
    </row>
    <row r="726" ht="15.75" customHeight="1">
      <c r="A726" s="1"/>
      <c r="B726" s="1"/>
      <c r="C726" s="1"/>
      <c r="D726" s="1"/>
      <c r="E726" s="1"/>
      <c r="F726" s="1"/>
      <c r="G726" s="1"/>
      <c r="H726" s="1"/>
      <c r="I726" s="1"/>
      <c r="J726" s="1"/>
    </row>
    <row r="727" ht="15.75" customHeight="1">
      <c r="A727" s="1"/>
      <c r="B727" s="1"/>
      <c r="C727" s="1"/>
      <c r="D727" s="1"/>
      <c r="E727" s="1"/>
      <c r="F727" s="1"/>
      <c r="G727" s="1"/>
      <c r="H727" s="1"/>
      <c r="I727" s="1"/>
      <c r="J727" s="1"/>
    </row>
    <row r="728" ht="15.75" customHeight="1">
      <c r="A728" s="1"/>
      <c r="B728" s="1"/>
      <c r="C728" s="1"/>
      <c r="D728" s="1"/>
      <c r="E728" s="1"/>
      <c r="F728" s="1"/>
      <c r="G728" s="1"/>
      <c r="H728" s="1"/>
      <c r="I728" s="1"/>
      <c r="J728" s="1"/>
    </row>
    <row r="729" ht="15.75" customHeight="1">
      <c r="A729" s="1"/>
      <c r="B729" s="1"/>
      <c r="C729" s="1"/>
      <c r="D729" s="1"/>
      <c r="E729" s="1"/>
      <c r="F729" s="1"/>
      <c r="G729" s="1"/>
      <c r="H729" s="1"/>
      <c r="I729" s="1"/>
      <c r="J729" s="1"/>
    </row>
    <row r="730" ht="15.75" customHeight="1">
      <c r="A730" s="1"/>
      <c r="B730" s="1"/>
      <c r="C730" s="1"/>
      <c r="D730" s="1"/>
      <c r="E730" s="1"/>
      <c r="F730" s="1"/>
      <c r="G730" s="1"/>
      <c r="H730" s="1"/>
      <c r="I730" s="1"/>
      <c r="J730" s="1"/>
    </row>
    <row r="731" ht="15.75" customHeight="1">
      <c r="A731" s="1"/>
      <c r="B731" s="1"/>
      <c r="C731" s="1"/>
      <c r="D731" s="1"/>
      <c r="E731" s="1"/>
      <c r="F731" s="1"/>
      <c r="G731" s="1"/>
      <c r="H731" s="1"/>
      <c r="I731" s="1"/>
      <c r="J731" s="1"/>
    </row>
    <row r="732" ht="15.75" customHeight="1">
      <c r="A732" s="1"/>
      <c r="B732" s="1"/>
      <c r="C732" s="1"/>
      <c r="D732" s="1"/>
      <c r="E732" s="1"/>
      <c r="F732" s="1"/>
      <c r="G732" s="1"/>
      <c r="H732" s="1"/>
      <c r="I732" s="1"/>
      <c r="J732" s="1"/>
    </row>
    <row r="733" ht="15.75" customHeight="1">
      <c r="A733" s="1"/>
      <c r="B733" s="1"/>
      <c r="C733" s="1"/>
      <c r="D733" s="1"/>
      <c r="E733" s="1"/>
      <c r="F733" s="1"/>
      <c r="G733" s="1"/>
      <c r="H733" s="1"/>
      <c r="I733" s="1"/>
      <c r="J733" s="1"/>
    </row>
    <row r="734" ht="15.75" customHeight="1">
      <c r="A734" s="1"/>
      <c r="B734" s="1"/>
      <c r="C734" s="1"/>
      <c r="D734" s="1"/>
      <c r="E734" s="1"/>
      <c r="F734" s="1"/>
      <c r="G734" s="1"/>
      <c r="H734" s="1"/>
      <c r="I734" s="1"/>
      <c r="J734" s="1"/>
    </row>
    <row r="735" ht="15.75" customHeight="1">
      <c r="A735" s="1"/>
      <c r="B735" s="1"/>
      <c r="C735" s="1"/>
      <c r="D735" s="1"/>
      <c r="E735" s="1"/>
      <c r="F735" s="1"/>
      <c r="G735" s="1"/>
      <c r="H735" s="1"/>
      <c r="I735" s="1"/>
      <c r="J735" s="1"/>
    </row>
    <row r="736" ht="15.75" customHeight="1">
      <c r="A736" s="1"/>
      <c r="B736" s="1"/>
      <c r="C736" s="1"/>
      <c r="D736" s="1"/>
      <c r="E736" s="1"/>
      <c r="F736" s="1"/>
      <c r="G736" s="1"/>
      <c r="H736" s="1"/>
      <c r="I736" s="1"/>
      <c r="J736" s="1"/>
    </row>
    <row r="737" ht="15.75" customHeight="1">
      <c r="A737" s="1"/>
      <c r="B737" s="1"/>
      <c r="C737" s="1"/>
      <c r="D737" s="1"/>
      <c r="E737" s="1"/>
      <c r="F737" s="1"/>
      <c r="G737" s="1"/>
      <c r="H737" s="1"/>
      <c r="I737" s="1"/>
      <c r="J737" s="1"/>
    </row>
    <row r="738" ht="15.75" customHeight="1">
      <c r="A738" s="1"/>
      <c r="B738" s="1"/>
      <c r="C738" s="1"/>
      <c r="D738" s="1"/>
      <c r="E738" s="1"/>
      <c r="F738" s="1"/>
      <c r="G738" s="1"/>
      <c r="H738" s="1"/>
      <c r="I738" s="1"/>
      <c r="J738" s="1"/>
    </row>
    <row r="739" ht="15.75" customHeight="1">
      <c r="A739" s="1"/>
      <c r="B739" s="1"/>
      <c r="C739" s="1"/>
      <c r="D739" s="1"/>
      <c r="E739" s="1"/>
      <c r="F739" s="1"/>
      <c r="G739" s="1"/>
      <c r="H739" s="1"/>
      <c r="I739" s="1"/>
      <c r="J739" s="1"/>
    </row>
    <row r="740" ht="15.75" customHeight="1">
      <c r="A740" s="1"/>
      <c r="B740" s="1"/>
      <c r="C740" s="1"/>
      <c r="D740" s="1"/>
      <c r="E740" s="1"/>
      <c r="F740" s="1"/>
      <c r="G740" s="1"/>
      <c r="H740" s="1"/>
      <c r="I740" s="1"/>
      <c r="J740" s="1"/>
    </row>
    <row r="741" ht="15.75" customHeight="1">
      <c r="A741" s="1"/>
      <c r="B741" s="1"/>
      <c r="C741" s="1"/>
      <c r="D741" s="1"/>
      <c r="E741" s="1"/>
      <c r="F741" s="1"/>
      <c r="G741" s="1"/>
      <c r="H741" s="1"/>
      <c r="I741" s="1"/>
      <c r="J741" s="1"/>
    </row>
    <row r="742" ht="15.75" customHeight="1">
      <c r="A742" s="1"/>
      <c r="B742" s="1"/>
      <c r="C742" s="1"/>
      <c r="D742" s="1"/>
      <c r="E742" s="1"/>
      <c r="F742" s="1"/>
      <c r="G742" s="1"/>
      <c r="H742" s="1"/>
      <c r="I742" s="1"/>
      <c r="J742" s="1"/>
    </row>
    <row r="743" ht="15.75" customHeight="1">
      <c r="A743" s="1"/>
      <c r="B743" s="1"/>
      <c r="C743" s="1"/>
      <c r="D743" s="1"/>
      <c r="E743" s="1"/>
      <c r="F743" s="1"/>
      <c r="G743" s="1"/>
      <c r="H743" s="1"/>
      <c r="I743" s="1"/>
      <c r="J743" s="1"/>
    </row>
    <row r="744" ht="15.75" customHeight="1">
      <c r="A744" s="1"/>
      <c r="B744" s="1"/>
      <c r="C744" s="1"/>
      <c r="D744" s="1"/>
      <c r="E744" s="1"/>
      <c r="F744" s="1"/>
      <c r="G744" s="1"/>
      <c r="H744" s="1"/>
      <c r="I744" s="1"/>
      <c r="J744" s="1"/>
    </row>
    <row r="745" ht="15.75" customHeight="1">
      <c r="A745" s="1"/>
      <c r="B745" s="1"/>
      <c r="C745" s="1"/>
      <c r="D745" s="1"/>
      <c r="E745" s="1"/>
      <c r="F745" s="1"/>
      <c r="G745" s="1"/>
      <c r="H745" s="1"/>
      <c r="I745" s="1"/>
      <c r="J745" s="1"/>
    </row>
    <row r="746" ht="15.75" customHeight="1">
      <c r="A746" s="1"/>
      <c r="B746" s="1"/>
      <c r="C746" s="1"/>
      <c r="D746" s="1"/>
      <c r="E746" s="1"/>
      <c r="F746" s="1"/>
      <c r="G746" s="1"/>
      <c r="H746" s="1"/>
      <c r="I746" s="1"/>
      <c r="J746" s="1"/>
    </row>
    <row r="747" ht="15.75" customHeight="1">
      <c r="A747" s="1"/>
      <c r="B747" s="1"/>
      <c r="C747" s="1"/>
      <c r="D747" s="1"/>
      <c r="E747" s="1"/>
      <c r="F747" s="1"/>
      <c r="G747" s="1"/>
      <c r="H747" s="1"/>
      <c r="I747" s="1"/>
      <c r="J747" s="1"/>
    </row>
    <row r="748" ht="15.75" customHeight="1">
      <c r="A748" s="1"/>
      <c r="B748" s="1"/>
      <c r="C748" s="1"/>
      <c r="D748" s="1"/>
      <c r="E748" s="1"/>
      <c r="F748" s="1"/>
      <c r="G748" s="1"/>
      <c r="H748" s="1"/>
      <c r="I748" s="1"/>
      <c r="J748" s="1"/>
    </row>
    <row r="749" ht="15.75" customHeight="1">
      <c r="A749" s="1"/>
      <c r="B749" s="1"/>
      <c r="C749" s="1"/>
      <c r="D749" s="1"/>
      <c r="E749" s="1"/>
      <c r="F749" s="1"/>
      <c r="G749" s="1"/>
      <c r="H749" s="1"/>
      <c r="I749" s="1"/>
      <c r="J749" s="1"/>
    </row>
    <row r="750" ht="15.75" customHeight="1">
      <c r="A750" s="1"/>
      <c r="B750" s="1"/>
      <c r="C750" s="1"/>
      <c r="D750" s="1"/>
      <c r="E750" s="1"/>
      <c r="F750" s="1"/>
      <c r="G750" s="1"/>
      <c r="H750" s="1"/>
      <c r="I750" s="1"/>
      <c r="J750" s="1"/>
    </row>
    <row r="751" ht="15.75" customHeight="1">
      <c r="A751" s="1"/>
      <c r="B751" s="1"/>
      <c r="C751" s="1"/>
      <c r="D751" s="1"/>
      <c r="E751" s="1"/>
      <c r="F751" s="1"/>
      <c r="G751" s="1"/>
      <c r="H751" s="1"/>
      <c r="I751" s="1"/>
      <c r="J751" s="1"/>
    </row>
    <row r="752" ht="15.75" customHeight="1">
      <c r="A752" s="1"/>
      <c r="B752" s="1"/>
      <c r="C752" s="1"/>
      <c r="D752" s="1"/>
      <c r="E752" s="1"/>
      <c r="F752" s="1"/>
      <c r="G752" s="1"/>
      <c r="H752" s="1"/>
      <c r="I752" s="1"/>
      <c r="J752" s="1"/>
    </row>
    <row r="753" ht="15.75" customHeight="1">
      <c r="A753" s="1"/>
      <c r="B753" s="1"/>
      <c r="C753" s="1"/>
      <c r="D753" s="1"/>
      <c r="E753" s="1"/>
      <c r="F753" s="1"/>
      <c r="G753" s="1"/>
      <c r="H753" s="1"/>
      <c r="I753" s="1"/>
      <c r="J753" s="1"/>
    </row>
    <row r="754" ht="15.75" customHeight="1">
      <c r="A754" s="1"/>
      <c r="B754" s="1"/>
      <c r="C754" s="1"/>
      <c r="D754" s="1"/>
      <c r="E754" s="1"/>
      <c r="F754" s="1"/>
      <c r="G754" s="1"/>
      <c r="H754" s="1"/>
      <c r="I754" s="1"/>
      <c r="J754" s="1"/>
    </row>
    <row r="755" ht="15.75" customHeight="1">
      <c r="A755" s="1"/>
      <c r="B755" s="1"/>
      <c r="C755" s="1"/>
      <c r="D755" s="1"/>
      <c r="E755" s="1"/>
      <c r="F755" s="1"/>
      <c r="G755" s="1"/>
      <c r="H755" s="1"/>
      <c r="I755" s="1"/>
      <c r="J755" s="1"/>
    </row>
    <row r="756" ht="15.75" customHeight="1">
      <c r="A756" s="1"/>
      <c r="B756" s="1"/>
      <c r="C756" s="1"/>
      <c r="D756" s="1"/>
      <c r="E756" s="1"/>
      <c r="F756" s="1"/>
      <c r="G756" s="1"/>
      <c r="H756" s="1"/>
      <c r="I756" s="1"/>
      <c r="J756" s="1"/>
    </row>
    <row r="757" ht="15.75" customHeight="1">
      <c r="A757" s="1"/>
      <c r="B757" s="1"/>
      <c r="C757" s="1"/>
      <c r="D757" s="1"/>
      <c r="E757" s="1"/>
      <c r="F757" s="1"/>
      <c r="G757" s="1"/>
      <c r="H757" s="1"/>
      <c r="I757" s="1"/>
      <c r="J757" s="1"/>
    </row>
    <row r="758" ht="15.75" customHeight="1">
      <c r="A758" s="1"/>
      <c r="B758" s="1"/>
      <c r="C758" s="1"/>
      <c r="D758" s="1"/>
      <c r="E758" s="1"/>
      <c r="F758" s="1"/>
      <c r="G758" s="1"/>
      <c r="H758" s="1"/>
      <c r="I758" s="1"/>
      <c r="J758" s="1"/>
    </row>
    <row r="759" ht="15.75" customHeight="1">
      <c r="A759" s="1"/>
      <c r="B759" s="1"/>
      <c r="C759" s="1"/>
      <c r="D759" s="1"/>
      <c r="E759" s="1"/>
      <c r="F759" s="1"/>
      <c r="G759" s="1"/>
      <c r="H759" s="1"/>
      <c r="I759" s="1"/>
      <c r="J759" s="1"/>
    </row>
    <row r="760" ht="15.75" customHeight="1">
      <c r="A760" s="1"/>
      <c r="B760" s="1"/>
      <c r="C760" s="1"/>
      <c r="D760" s="1"/>
      <c r="E760" s="1"/>
      <c r="F760" s="1"/>
      <c r="G760" s="1"/>
      <c r="H760" s="1"/>
      <c r="I760" s="1"/>
      <c r="J760" s="1"/>
    </row>
    <row r="761" ht="15.75" customHeight="1">
      <c r="A761" s="1"/>
      <c r="B761" s="1"/>
      <c r="C761" s="1"/>
      <c r="D761" s="1"/>
      <c r="E761" s="1"/>
      <c r="F761" s="1"/>
      <c r="G761" s="1"/>
      <c r="H761" s="1"/>
      <c r="I761" s="1"/>
      <c r="J761" s="1"/>
    </row>
    <row r="762" ht="15.75" customHeight="1">
      <c r="A762" s="1"/>
      <c r="B762" s="1"/>
      <c r="C762" s="1"/>
      <c r="D762" s="1"/>
      <c r="E762" s="1"/>
      <c r="F762" s="1"/>
      <c r="G762" s="1"/>
      <c r="H762" s="1"/>
      <c r="I762" s="1"/>
      <c r="J762" s="1"/>
    </row>
    <row r="763" ht="15.75" customHeight="1">
      <c r="A763" s="1"/>
      <c r="B763" s="1"/>
      <c r="C763" s="1"/>
      <c r="D763" s="1"/>
      <c r="E763" s="1"/>
      <c r="F763" s="1"/>
      <c r="G763" s="1"/>
      <c r="H763" s="1"/>
      <c r="I763" s="1"/>
      <c r="J763" s="1"/>
    </row>
    <row r="764" ht="15.75" customHeight="1">
      <c r="A764" s="1"/>
      <c r="B764" s="1"/>
      <c r="C764" s="1"/>
      <c r="D764" s="1"/>
      <c r="E764" s="1"/>
      <c r="F764" s="1"/>
      <c r="G764" s="1"/>
      <c r="H764" s="1"/>
      <c r="I764" s="1"/>
      <c r="J764" s="1"/>
    </row>
    <row r="765" ht="15.75" customHeight="1">
      <c r="A765" s="1"/>
      <c r="B765" s="1"/>
      <c r="C765" s="1"/>
      <c r="D765" s="1"/>
      <c r="E765" s="1"/>
      <c r="F765" s="1"/>
      <c r="G765" s="1"/>
      <c r="H765" s="1"/>
      <c r="I765" s="1"/>
      <c r="J765" s="1"/>
    </row>
    <row r="766" ht="15.75" customHeight="1">
      <c r="A766" s="1"/>
      <c r="B766" s="1"/>
      <c r="C766" s="1"/>
      <c r="D766" s="1"/>
      <c r="E766" s="1"/>
      <c r="F766" s="1"/>
      <c r="G766" s="1"/>
      <c r="H766" s="1"/>
      <c r="I766" s="1"/>
      <c r="J766" s="1"/>
    </row>
    <row r="767" ht="15.75" customHeight="1">
      <c r="A767" s="1"/>
      <c r="B767" s="1"/>
      <c r="C767" s="1"/>
      <c r="D767" s="1"/>
      <c r="E767" s="1"/>
      <c r="F767" s="1"/>
      <c r="G767" s="1"/>
      <c r="H767" s="1"/>
      <c r="I767" s="1"/>
      <c r="J767" s="1"/>
    </row>
    <row r="768" ht="15.75" customHeight="1">
      <c r="A768" s="1"/>
      <c r="B768" s="1"/>
      <c r="C768" s="1"/>
      <c r="D768" s="1"/>
      <c r="E768" s="1"/>
      <c r="F768" s="1"/>
      <c r="G768" s="1"/>
      <c r="H768" s="1"/>
      <c r="I768" s="1"/>
      <c r="J768" s="1"/>
    </row>
    <row r="769" ht="15.75" customHeight="1">
      <c r="A769" s="1"/>
      <c r="B769" s="1"/>
      <c r="C769" s="1"/>
      <c r="D769" s="1"/>
      <c r="E769" s="1"/>
      <c r="F769" s="1"/>
      <c r="G769" s="1"/>
      <c r="H769" s="1"/>
      <c r="I769" s="1"/>
      <c r="J769" s="1"/>
    </row>
    <row r="770" ht="15.75" customHeight="1">
      <c r="A770" s="1"/>
      <c r="B770" s="1"/>
      <c r="C770" s="1"/>
      <c r="D770" s="1"/>
      <c r="E770" s="1"/>
      <c r="F770" s="1"/>
      <c r="G770" s="1"/>
      <c r="H770" s="1"/>
      <c r="I770" s="1"/>
      <c r="J770" s="1"/>
    </row>
    <row r="771" ht="15.75" customHeight="1">
      <c r="A771" s="1"/>
      <c r="B771" s="1"/>
      <c r="C771" s="1"/>
      <c r="D771" s="1"/>
      <c r="E771" s="1"/>
      <c r="F771" s="1"/>
      <c r="G771" s="1"/>
      <c r="H771" s="1"/>
      <c r="I771" s="1"/>
      <c r="J771" s="1"/>
    </row>
    <row r="772" ht="15.75" customHeight="1">
      <c r="A772" s="1"/>
      <c r="B772" s="1"/>
      <c r="C772" s="1"/>
      <c r="D772" s="1"/>
      <c r="E772" s="1"/>
      <c r="F772" s="1"/>
      <c r="G772" s="1"/>
      <c r="H772" s="1"/>
      <c r="I772" s="1"/>
      <c r="J772" s="1"/>
    </row>
    <row r="773" ht="15.75" customHeight="1">
      <c r="A773" s="1"/>
      <c r="B773" s="1"/>
      <c r="C773" s="1"/>
      <c r="D773" s="1"/>
      <c r="E773" s="1"/>
      <c r="F773" s="1"/>
      <c r="G773" s="1"/>
      <c r="H773" s="1"/>
      <c r="I773" s="1"/>
      <c r="J773" s="1"/>
    </row>
    <row r="774" ht="15.75" customHeight="1">
      <c r="A774" s="1"/>
      <c r="B774" s="1"/>
      <c r="C774" s="1"/>
      <c r="D774" s="1"/>
      <c r="E774" s="1"/>
      <c r="F774" s="1"/>
      <c r="G774" s="1"/>
      <c r="H774" s="1"/>
      <c r="I774" s="1"/>
      <c r="J774" s="1"/>
    </row>
    <row r="775" ht="15.75" customHeight="1">
      <c r="A775" s="1"/>
      <c r="B775" s="1"/>
      <c r="C775" s="1"/>
      <c r="D775" s="1"/>
      <c r="E775" s="1"/>
      <c r="F775" s="1"/>
      <c r="G775" s="1"/>
      <c r="H775" s="1"/>
      <c r="I775" s="1"/>
      <c r="J775" s="1"/>
    </row>
    <row r="776" ht="15.75" customHeight="1">
      <c r="A776" s="1"/>
      <c r="B776" s="1"/>
      <c r="C776" s="1"/>
      <c r="D776" s="1"/>
      <c r="E776" s="1"/>
      <c r="F776" s="1"/>
      <c r="G776" s="1"/>
      <c r="H776" s="1"/>
      <c r="I776" s="1"/>
      <c r="J776" s="1"/>
    </row>
    <row r="777" ht="15.75" customHeight="1">
      <c r="A777" s="1"/>
      <c r="B777" s="1"/>
      <c r="C777" s="1"/>
      <c r="D777" s="1"/>
      <c r="E777" s="1"/>
      <c r="F777" s="1"/>
      <c r="G777" s="1"/>
      <c r="H777" s="1"/>
      <c r="I777" s="1"/>
      <c r="J777" s="1"/>
    </row>
    <row r="778" ht="15.75" customHeight="1">
      <c r="A778" s="1"/>
      <c r="B778" s="1"/>
      <c r="C778" s="1"/>
      <c r="D778" s="1"/>
      <c r="E778" s="1"/>
      <c r="F778" s="1"/>
      <c r="G778" s="1"/>
      <c r="H778" s="1"/>
      <c r="I778" s="1"/>
      <c r="J778" s="1"/>
    </row>
    <row r="779" ht="15.75" customHeight="1">
      <c r="A779" s="1"/>
      <c r="B779" s="1"/>
      <c r="C779" s="1"/>
      <c r="D779" s="1"/>
      <c r="E779" s="1"/>
      <c r="F779" s="1"/>
      <c r="G779" s="1"/>
      <c r="H779" s="1"/>
      <c r="I779" s="1"/>
      <c r="J779" s="1"/>
    </row>
    <row r="780" ht="15.75" customHeight="1">
      <c r="A780" s="1"/>
      <c r="B780" s="1"/>
      <c r="C780" s="1"/>
      <c r="D780" s="1"/>
      <c r="E780" s="1"/>
      <c r="F780" s="1"/>
      <c r="G780" s="1"/>
      <c r="H780" s="1"/>
      <c r="I780" s="1"/>
      <c r="J780" s="1"/>
    </row>
    <row r="781" ht="15.75" customHeight="1">
      <c r="A781" s="1"/>
      <c r="B781" s="1"/>
      <c r="C781" s="1"/>
      <c r="D781" s="1"/>
      <c r="E781" s="1"/>
      <c r="F781" s="1"/>
      <c r="G781" s="1"/>
      <c r="H781" s="1"/>
      <c r="I781" s="1"/>
      <c r="J781" s="1"/>
    </row>
    <row r="782" ht="15.75" customHeight="1">
      <c r="A782" s="1"/>
      <c r="B782" s="1"/>
      <c r="C782" s="1"/>
      <c r="D782" s="1"/>
      <c r="E782" s="1"/>
      <c r="F782" s="1"/>
      <c r="G782" s="1"/>
      <c r="H782" s="1"/>
      <c r="I782" s="1"/>
      <c r="J782" s="1"/>
    </row>
    <row r="783" ht="15.75" customHeight="1">
      <c r="A783" s="1"/>
      <c r="B783" s="1"/>
      <c r="C783" s="1"/>
      <c r="D783" s="1"/>
      <c r="E783" s="1"/>
      <c r="F783" s="1"/>
      <c r="G783" s="1"/>
      <c r="H783" s="1"/>
      <c r="I783" s="1"/>
      <c r="J783" s="1"/>
    </row>
    <row r="784" ht="15.75" customHeight="1">
      <c r="A784" s="1"/>
      <c r="B784" s="1"/>
      <c r="C784" s="1"/>
      <c r="D784" s="1"/>
      <c r="E784" s="1"/>
      <c r="F784" s="1"/>
      <c r="G784" s="1"/>
      <c r="H784" s="1"/>
      <c r="I784" s="1"/>
      <c r="J784" s="1"/>
    </row>
    <row r="785" ht="15.75" customHeight="1">
      <c r="A785" s="1"/>
      <c r="B785" s="1"/>
      <c r="C785" s="1"/>
      <c r="D785" s="1"/>
      <c r="E785" s="1"/>
      <c r="F785" s="1"/>
      <c r="G785" s="1"/>
      <c r="H785" s="1"/>
      <c r="I785" s="1"/>
      <c r="J785" s="1"/>
    </row>
    <row r="786" ht="15.75" customHeight="1">
      <c r="A786" s="1"/>
      <c r="B786" s="1"/>
      <c r="C786" s="1"/>
      <c r="D786" s="1"/>
      <c r="E786" s="1"/>
      <c r="F786" s="1"/>
      <c r="G786" s="1"/>
      <c r="H786" s="1"/>
      <c r="I786" s="1"/>
      <c r="J786" s="1"/>
    </row>
    <row r="787" ht="15.75" customHeight="1">
      <c r="A787" s="1"/>
      <c r="B787" s="1"/>
      <c r="C787" s="1"/>
      <c r="D787" s="1"/>
      <c r="E787" s="1"/>
      <c r="F787" s="1"/>
      <c r="G787" s="1"/>
      <c r="H787" s="1"/>
      <c r="I787" s="1"/>
      <c r="J787" s="1"/>
    </row>
    <row r="788" ht="15.75" customHeight="1">
      <c r="A788" s="1"/>
      <c r="B788" s="1"/>
      <c r="C788" s="1"/>
      <c r="D788" s="1"/>
      <c r="E788" s="1"/>
      <c r="F788" s="1"/>
      <c r="G788" s="1"/>
      <c r="H788" s="1"/>
      <c r="I788" s="1"/>
      <c r="J788" s="1"/>
    </row>
    <row r="789" ht="15.75" customHeight="1">
      <c r="A789" s="1"/>
      <c r="B789" s="1"/>
      <c r="C789" s="1"/>
      <c r="D789" s="1"/>
      <c r="E789" s="1"/>
      <c r="F789" s="1"/>
      <c r="G789" s="1"/>
      <c r="H789" s="1"/>
      <c r="I789" s="1"/>
      <c r="J789" s="1"/>
    </row>
    <row r="790" ht="15.75" customHeight="1">
      <c r="A790" s="1"/>
      <c r="B790" s="1"/>
      <c r="C790" s="1"/>
      <c r="D790" s="1"/>
      <c r="E790" s="1"/>
      <c r="F790" s="1"/>
      <c r="G790" s="1"/>
      <c r="H790" s="1"/>
      <c r="I790" s="1"/>
      <c r="J790" s="1"/>
    </row>
    <row r="791" ht="15.75" customHeight="1">
      <c r="A791" s="1"/>
      <c r="B791" s="1"/>
      <c r="C791" s="1"/>
      <c r="D791" s="1"/>
      <c r="E791" s="1"/>
      <c r="F791" s="1"/>
      <c r="G791" s="1"/>
      <c r="H791" s="1"/>
      <c r="I791" s="1"/>
      <c r="J791" s="1"/>
    </row>
    <row r="792" ht="15.75" customHeight="1">
      <c r="A792" s="1"/>
      <c r="B792" s="1"/>
      <c r="C792" s="1"/>
      <c r="D792" s="1"/>
      <c r="E792" s="1"/>
      <c r="F792" s="1"/>
      <c r="G792" s="1"/>
      <c r="H792" s="1"/>
      <c r="I792" s="1"/>
      <c r="J792" s="1"/>
    </row>
    <row r="793" ht="15.75" customHeight="1">
      <c r="A793" s="1"/>
      <c r="B793" s="1"/>
      <c r="C793" s="1"/>
      <c r="D793" s="1"/>
      <c r="E793" s="1"/>
      <c r="F793" s="1"/>
      <c r="G793" s="1"/>
      <c r="H793" s="1"/>
      <c r="I793" s="1"/>
      <c r="J793" s="1"/>
    </row>
    <row r="794" ht="15.75" customHeight="1">
      <c r="A794" s="1"/>
      <c r="B794" s="1"/>
      <c r="C794" s="1"/>
      <c r="D794" s="1"/>
      <c r="E794" s="1"/>
      <c r="F794" s="1"/>
      <c r="G794" s="1"/>
      <c r="H794" s="1"/>
      <c r="I794" s="1"/>
      <c r="J794" s="1"/>
    </row>
    <row r="795" ht="15.75" customHeight="1">
      <c r="A795" s="1"/>
      <c r="B795" s="1"/>
      <c r="C795" s="1"/>
      <c r="D795" s="1"/>
      <c r="E795" s="1"/>
      <c r="F795" s="1"/>
      <c r="G795" s="1"/>
      <c r="H795" s="1"/>
      <c r="I795" s="1"/>
      <c r="J795" s="1"/>
    </row>
    <row r="796" ht="15.75" customHeight="1">
      <c r="A796" s="1"/>
      <c r="B796" s="1"/>
      <c r="C796" s="1"/>
      <c r="D796" s="1"/>
      <c r="E796" s="1"/>
      <c r="F796" s="1"/>
      <c r="G796" s="1"/>
      <c r="H796" s="1"/>
      <c r="I796" s="1"/>
      <c r="J796" s="1"/>
    </row>
    <row r="797" ht="15.75" customHeight="1">
      <c r="A797" s="1"/>
      <c r="B797" s="1"/>
      <c r="C797" s="1"/>
      <c r="D797" s="1"/>
      <c r="E797" s="1"/>
      <c r="F797" s="1"/>
      <c r="G797" s="1"/>
      <c r="H797" s="1"/>
      <c r="I797" s="1"/>
      <c r="J797" s="1"/>
    </row>
    <row r="798" ht="15.75" customHeight="1">
      <c r="A798" s="1"/>
      <c r="B798" s="1"/>
      <c r="C798" s="1"/>
      <c r="D798" s="1"/>
      <c r="E798" s="1"/>
      <c r="F798" s="1"/>
      <c r="G798" s="1"/>
      <c r="H798" s="1"/>
      <c r="I798" s="1"/>
      <c r="J798" s="1"/>
    </row>
    <row r="799" ht="15.75" customHeight="1">
      <c r="A799" s="1"/>
      <c r="B799" s="1"/>
      <c r="C799" s="1"/>
      <c r="D799" s="1"/>
      <c r="E799" s="1"/>
      <c r="F799" s="1"/>
      <c r="G799" s="1"/>
      <c r="H799" s="1"/>
      <c r="I799" s="1"/>
      <c r="J799" s="1"/>
    </row>
    <row r="800" ht="15.75" customHeight="1">
      <c r="A800" s="1"/>
      <c r="B800" s="1"/>
      <c r="C800" s="1"/>
      <c r="D800" s="1"/>
      <c r="E800" s="1"/>
      <c r="F800" s="1"/>
      <c r="G800" s="1"/>
      <c r="H800" s="1"/>
      <c r="I800" s="1"/>
      <c r="J800" s="1"/>
    </row>
    <row r="801" ht="15.75" customHeight="1">
      <c r="A801" s="1"/>
      <c r="B801" s="1"/>
      <c r="C801" s="1"/>
      <c r="D801" s="1"/>
      <c r="E801" s="1"/>
      <c r="F801" s="1"/>
      <c r="G801" s="1"/>
      <c r="H801" s="1"/>
      <c r="I801" s="1"/>
      <c r="J801" s="1"/>
    </row>
    <row r="802" ht="15.75" customHeight="1">
      <c r="A802" s="1"/>
      <c r="B802" s="1"/>
      <c r="C802" s="1"/>
      <c r="D802" s="1"/>
      <c r="E802" s="1"/>
      <c r="F802" s="1"/>
      <c r="G802" s="1"/>
      <c r="H802" s="1"/>
      <c r="I802" s="1"/>
      <c r="J802" s="1"/>
    </row>
    <row r="803" ht="15.75" customHeight="1">
      <c r="A803" s="1"/>
      <c r="B803" s="1"/>
      <c r="C803" s="1"/>
      <c r="D803" s="1"/>
      <c r="E803" s="1"/>
      <c r="F803" s="1"/>
      <c r="G803" s="1"/>
      <c r="H803" s="1"/>
      <c r="I803" s="1"/>
      <c r="J803" s="1"/>
    </row>
    <row r="804" ht="15.75" customHeight="1">
      <c r="A804" s="1"/>
      <c r="B804" s="1"/>
      <c r="C804" s="1"/>
      <c r="D804" s="1"/>
      <c r="E804" s="1"/>
      <c r="F804" s="1"/>
      <c r="G804" s="1"/>
      <c r="H804" s="1"/>
      <c r="I804" s="1"/>
      <c r="J804" s="1"/>
    </row>
    <row r="805" ht="15.75" customHeight="1">
      <c r="A805" s="1"/>
      <c r="B805" s="1"/>
      <c r="C805" s="1"/>
      <c r="D805" s="1"/>
      <c r="E805" s="1"/>
      <c r="F805" s="1"/>
      <c r="G805" s="1"/>
      <c r="H805" s="1"/>
      <c r="I805" s="1"/>
      <c r="J805" s="1"/>
    </row>
    <row r="806" ht="15.75" customHeight="1">
      <c r="A806" s="1"/>
      <c r="B806" s="1"/>
      <c r="C806" s="1"/>
      <c r="D806" s="1"/>
      <c r="E806" s="1"/>
      <c r="F806" s="1"/>
      <c r="G806" s="1"/>
      <c r="H806" s="1"/>
      <c r="I806" s="1"/>
      <c r="J806" s="1"/>
    </row>
    <row r="807" ht="15.75" customHeight="1">
      <c r="A807" s="1"/>
      <c r="B807" s="1"/>
      <c r="C807" s="1"/>
      <c r="D807" s="1"/>
      <c r="E807" s="1"/>
      <c r="F807" s="1"/>
      <c r="G807" s="1"/>
      <c r="H807" s="1"/>
      <c r="I807" s="1"/>
      <c r="J807" s="1"/>
    </row>
    <row r="808" ht="15.75" customHeight="1">
      <c r="A808" s="1"/>
      <c r="B808" s="1"/>
      <c r="C808" s="1"/>
      <c r="D808" s="1"/>
      <c r="E808" s="1"/>
      <c r="F808" s="1"/>
      <c r="G808" s="1"/>
      <c r="H808" s="1"/>
      <c r="I808" s="1"/>
      <c r="J808" s="1"/>
    </row>
    <row r="809" ht="15.75" customHeight="1">
      <c r="A809" s="1"/>
      <c r="B809" s="1"/>
      <c r="C809" s="1"/>
      <c r="D809" s="1"/>
      <c r="E809" s="1"/>
      <c r="F809" s="1"/>
      <c r="G809" s="1"/>
      <c r="H809" s="1"/>
      <c r="I809" s="1"/>
      <c r="J809" s="1"/>
    </row>
    <row r="810" ht="15.75" customHeight="1">
      <c r="A810" s="1"/>
      <c r="B810" s="1"/>
      <c r="C810" s="1"/>
      <c r="D810" s="1"/>
      <c r="E810" s="1"/>
      <c r="F810" s="1"/>
      <c r="G810" s="1"/>
      <c r="H810" s="1"/>
      <c r="I810" s="1"/>
      <c r="J810" s="1"/>
    </row>
    <row r="811" ht="15.75" customHeight="1">
      <c r="A811" s="1"/>
      <c r="B811" s="1"/>
      <c r="C811" s="1"/>
      <c r="D811" s="1"/>
      <c r="E811" s="1"/>
      <c r="F811" s="1"/>
      <c r="G811" s="1"/>
      <c r="H811" s="1"/>
      <c r="I811" s="1"/>
      <c r="J811" s="1"/>
    </row>
    <row r="812" ht="15.75" customHeight="1">
      <c r="A812" s="1"/>
      <c r="B812" s="1"/>
      <c r="C812" s="1"/>
      <c r="D812" s="1"/>
      <c r="E812" s="1"/>
      <c r="F812" s="1"/>
      <c r="G812" s="1"/>
      <c r="H812" s="1"/>
      <c r="I812" s="1"/>
      <c r="J812" s="1"/>
    </row>
    <row r="813" ht="15.75" customHeight="1">
      <c r="A813" s="1"/>
      <c r="B813" s="1"/>
      <c r="C813" s="1"/>
      <c r="D813" s="1"/>
      <c r="E813" s="1"/>
      <c r="F813" s="1"/>
      <c r="G813" s="1"/>
      <c r="H813" s="1"/>
      <c r="I813" s="1"/>
      <c r="J813" s="1"/>
    </row>
    <row r="814" ht="15.75" customHeight="1">
      <c r="A814" s="1"/>
      <c r="B814" s="1"/>
      <c r="C814" s="1"/>
      <c r="D814" s="1"/>
      <c r="E814" s="1"/>
      <c r="F814" s="1"/>
      <c r="G814" s="1"/>
      <c r="H814" s="1"/>
      <c r="I814" s="1"/>
      <c r="J814" s="1"/>
    </row>
    <row r="815" ht="15.75" customHeight="1">
      <c r="A815" s="1"/>
      <c r="B815" s="1"/>
      <c r="C815" s="1"/>
      <c r="D815" s="1"/>
      <c r="E815" s="1"/>
      <c r="F815" s="1"/>
      <c r="G815" s="1"/>
      <c r="H815" s="1"/>
      <c r="I815" s="1"/>
      <c r="J815" s="1"/>
    </row>
    <row r="816" ht="15.75" customHeight="1">
      <c r="A816" s="1"/>
      <c r="B816" s="1"/>
      <c r="C816" s="1"/>
      <c r="D816" s="1"/>
      <c r="E816" s="1"/>
      <c r="F816" s="1"/>
      <c r="G816" s="1"/>
      <c r="H816" s="1"/>
      <c r="I816" s="1"/>
      <c r="J816" s="1"/>
    </row>
    <row r="817" ht="15.75" customHeight="1">
      <c r="A817" s="1"/>
      <c r="B817" s="1"/>
      <c r="C817" s="1"/>
      <c r="D817" s="1"/>
      <c r="E817" s="1"/>
      <c r="F817" s="1"/>
      <c r="G817" s="1"/>
      <c r="H817" s="1"/>
      <c r="I817" s="1"/>
      <c r="J817" s="1"/>
    </row>
    <row r="818" ht="15.75" customHeight="1">
      <c r="A818" s="1"/>
      <c r="B818" s="1"/>
      <c r="C818" s="1"/>
      <c r="D818" s="1"/>
      <c r="E818" s="1"/>
      <c r="F818" s="1"/>
      <c r="G818" s="1"/>
      <c r="H818" s="1"/>
      <c r="I818" s="1"/>
      <c r="J818" s="1"/>
    </row>
    <row r="819" ht="15.75" customHeight="1">
      <c r="A819" s="1"/>
      <c r="B819" s="1"/>
      <c r="C819" s="1"/>
      <c r="D819" s="1"/>
      <c r="E819" s="1"/>
      <c r="F819" s="1"/>
      <c r="G819" s="1"/>
      <c r="H819" s="1"/>
      <c r="I819" s="1"/>
      <c r="J819" s="1"/>
    </row>
    <row r="820" ht="15.75" customHeight="1">
      <c r="A820" s="1"/>
      <c r="B820" s="1"/>
      <c r="C820" s="1"/>
      <c r="D820" s="1"/>
      <c r="E820" s="1"/>
      <c r="F820" s="1"/>
      <c r="G820" s="1"/>
      <c r="H820" s="1"/>
      <c r="I820" s="1"/>
      <c r="J820" s="1"/>
    </row>
    <row r="821" ht="15.75" customHeight="1">
      <c r="A821" s="1"/>
      <c r="B821" s="1"/>
      <c r="C821" s="1"/>
      <c r="D821" s="1"/>
      <c r="E821" s="1"/>
      <c r="F821" s="1"/>
      <c r="G821" s="1"/>
      <c r="H821" s="1"/>
      <c r="I821" s="1"/>
      <c r="J821" s="1"/>
    </row>
    <row r="822" ht="15.75" customHeight="1">
      <c r="A822" s="1"/>
      <c r="B822" s="1"/>
      <c r="C822" s="1"/>
      <c r="D822" s="1"/>
      <c r="E822" s="1"/>
      <c r="F822" s="1"/>
      <c r="G822" s="1"/>
      <c r="H822" s="1"/>
      <c r="I822" s="1"/>
      <c r="J822" s="1"/>
    </row>
    <row r="823" ht="15.75" customHeight="1">
      <c r="A823" s="1"/>
      <c r="B823" s="1"/>
      <c r="C823" s="1"/>
      <c r="D823" s="1"/>
      <c r="E823" s="1"/>
      <c r="F823" s="1"/>
      <c r="G823" s="1"/>
      <c r="H823" s="1"/>
      <c r="I823" s="1"/>
      <c r="J823" s="1"/>
    </row>
    <row r="824" ht="15.75" customHeight="1">
      <c r="A824" s="1"/>
      <c r="B824" s="1"/>
      <c r="C824" s="1"/>
      <c r="D824" s="1"/>
      <c r="E824" s="1"/>
      <c r="F824" s="1"/>
      <c r="G824" s="1"/>
      <c r="H824" s="1"/>
      <c r="I824" s="1"/>
      <c r="J824" s="1"/>
    </row>
    <row r="825" ht="15.75" customHeight="1">
      <c r="A825" s="1"/>
      <c r="B825" s="1"/>
      <c r="C825" s="1"/>
      <c r="D825" s="1"/>
      <c r="E825" s="1"/>
      <c r="F825" s="1"/>
      <c r="G825" s="1"/>
      <c r="H825" s="1"/>
      <c r="I825" s="1"/>
      <c r="J825" s="1"/>
    </row>
    <row r="826" ht="15.75" customHeight="1">
      <c r="A826" s="1"/>
      <c r="B826" s="1"/>
      <c r="C826" s="1"/>
      <c r="D826" s="1"/>
      <c r="E826" s="1"/>
      <c r="F826" s="1"/>
      <c r="G826" s="1"/>
      <c r="H826" s="1"/>
      <c r="I826" s="1"/>
      <c r="J826" s="1"/>
    </row>
    <row r="827" ht="15.75" customHeight="1">
      <c r="A827" s="1"/>
      <c r="B827" s="1"/>
      <c r="C827" s="1"/>
      <c r="D827" s="1"/>
      <c r="E827" s="1"/>
      <c r="F827" s="1"/>
      <c r="G827" s="1"/>
      <c r="H827" s="1"/>
      <c r="I827" s="1"/>
      <c r="J827" s="1"/>
    </row>
    <row r="828" ht="15.75" customHeight="1">
      <c r="A828" s="1"/>
      <c r="B828" s="1"/>
      <c r="C828" s="1"/>
      <c r="D828" s="1"/>
      <c r="E828" s="1"/>
      <c r="F828" s="1"/>
      <c r="G828" s="1"/>
      <c r="H828" s="1"/>
      <c r="I828" s="1"/>
      <c r="J828" s="1"/>
    </row>
    <row r="829" ht="15.75" customHeight="1">
      <c r="A829" s="1"/>
      <c r="B829" s="1"/>
      <c r="C829" s="1"/>
      <c r="D829" s="1"/>
      <c r="E829" s="1"/>
      <c r="F829" s="1"/>
      <c r="G829" s="1"/>
      <c r="H829" s="1"/>
      <c r="I829" s="1"/>
      <c r="J829" s="1"/>
    </row>
    <row r="830" ht="15.75" customHeight="1">
      <c r="A830" s="1"/>
      <c r="B830" s="1"/>
      <c r="C830" s="1"/>
      <c r="D830" s="1"/>
      <c r="E830" s="1"/>
      <c r="F830" s="1"/>
      <c r="G830" s="1"/>
      <c r="H830" s="1"/>
      <c r="I830" s="1"/>
      <c r="J830" s="1"/>
    </row>
    <row r="831" ht="15.75" customHeight="1">
      <c r="A831" s="1"/>
      <c r="B831" s="1"/>
      <c r="C831" s="1"/>
      <c r="D831" s="1"/>
      <c r="E831" s="1"/>
      <c r="F831" s="1"/>
      <c r="G831" s="1"/>
      <c r="H831" s="1"/>
      <c r="I831" s="1"/>
      <c r="J831" s="1"/>
    </row>
    <row r="832" ht="15.75" customHeight="1">
      <c r="A832" s="1"/>
      <c r="B832" s="1"/>
      <c r="C832" s="1"/>
      <c r="D832" s="1"/>
      <c r="E832" s="1"/>
      <c r="F832" s="1"/>
      <c r="G832" s="1"/>
      <c r="H832" s="1"/>
      <c r="I832" s="1"/>
      <c r="J832" s="1"/>
    </row>
    <row r="833" ht="15.75" customHeight="1">
      <c r="A833" s="1"/>
      <c r="B833" s="1"/>
      <c r="C833" s="1"/>
      <c r="D833" s="1"/>
      <c r="E833" s="1"/>
      <c r="F833" s="1"/>
      <c r="G833" s="1"/>
      <c r="H833" s="1"/>
      <c r="I833" s="1"/>
      <c r="J833" s="1"/>
    </row>
    <row r="834" ht="15.75" customHeight="1">
      <c r="A834" s="1"/>
      <c r="B834" s="1"/>
      <c r="C834" s="1"/>
      <c r="D834" s="1"/>
      <c r="E834" s="1"/>
      <c r="F834" s="1"/>
      <c r="G834" s="1"/>
      <c r="H834" s="1"/>
      <c r="I834" s="1"/>
      <c r="J834" s="1"/>
    </row>
    <row r="835" ht="15.75" customHeight="1">
      <c r="A835" s="1"/>
      <c r="B835" s="1"/>
      <c r="C835" s="1"/>
      <c r="D835" s="1"/>
      <c r="E835" s="1"/>
      <c r="F835" s="1"/>
      <c r="G835" s="1"/>
      <c r="H835" s="1"/>
      <c r="I835" s="1"/>
      <c r="J835" s="1"/>
    </row>
    <row r="836" ht="15.75" customHeight="1">
      <c r="A836" s="1"/>
      <c r="B836" s="1"/>
      <c r="C836" s="1"/>
      <c r="D836" s="1"/>
      <c r="E836" s="1"/>
      <c r="F836" s="1"/>
      <c r="G836" s="1"/>
      <c r="H836" s="1"/>
      <c r="I836" s="1"/>
      <c r="J836" s="1"/>
    </row>
    <row r="837" ht="15.75" customHeight="1">
      <c r="A837" s="1"/>
      <c r="B837" s="1"/>
      <c r="C837" s="1"/>
      <c r="D837" s="1"/>
      <c r="E837" s="1"/>
      <c r="F837" s="1"/>
      <c r="G837" s="1"/>
      <c r="H837" s="1"/>
      <c r="I837" s="1"/>
      <c r="J837" s="1"/>
    </row>
    <row r="838" ht="15.75" customHeight="1">
      <c r="A838" s="1"/>
      <c r="B838" s="1"/>
      <c r="C838" s="1"/>
      <c r="D838" s="1"/>
      <c r="E838" s="1"/>
      <c r="F838" s="1"/>
      <c r="G838" s="1"/>
      <c r="H838" s="1"/>
      <c r="I838" s="1"/>
      <c r="J838" s="1"/>
    </row>
    <row r="839" ht="15.75" customHeight="1">
      <c r="A839" s="1"/>
      <c r="B839" s="1"/>
      <c r="C839" s="1"/>
      <c r="D839" s="1"/>
      <c r="E839" s="1"/>
      <c r="F839" s="1"/>
      <c r="G839" s="1"/>
      <c r="H839" s="1"/>
      <c r="I839" s="1"/>
      <c r="J839" s="1"/>
    </row>
    <row r="840" ht="15.75" customHeight="1">
      <c r="A840" s="1"/>
      <c r="B840" s="1"/>
      <c r="C840" s="1"/>
      <c r="D840" s="1"/>
      <c r="E840" s="1"/>
      <c r="F840" s="1"/>
      <c r="G840" s="1"/>
      <c r="H840" s="1"/>
      <c r="I840" s="1"/>
      <c r="J840" s="1"/>
    </row>
    <row r="841" ht="15.75" customHeight="1">
      <c r="A841" s="1"/>
      <c r="B841" s="1"/>
      <c r="C841" s="1"/>
      <c r="D841" s="1"/>
      <c r="E841" s="1"/>
      <c r="F841" s="1"/>
      <c r="G841" s="1"/>
      <c r="H841" s="1"/>
      <c r="I841" s="1"/>
      <c r="J841" s="1"/>
    </row>
    <row r="842" ht="15.75" customHeight="1">
      <c r="A842" s="1"/>
      <c r="B842" s="1"/>
      <c r="C842" s="1"/>
      <c r="D842" s="1"/>
      <c r="E842" s="1"/>
      <c r="F842" s="1"/>
      <c r="G842" s="1"/>
      <c r="H842" s="1"/>
      <c r="I842" s="1"/>
      <c r="J842" s="1"/>
    </row>
    <row r="843" ht="15.75" customHeight="1">
      <c r="A843" s="1"/>
      <c r="B843" s="1"/>
      <c r="C843" s="1"/>
      <c r="D843" s="1"/>
      <c r="E843" s="1"/>
      <c r="F843" s="1"/>
      <c r="G843" s="1"/>
      <c r="H843" s="1"/>
      <c r="I843" s="1"/>
      <c r="J843" s="1"/>
    </row>
    <row r="844" ht="15.75" customHeight="1">
      <c r="A844" s="1"/>
      <c r="B844" s="1"/>
      <c r="C844" s="1"/>
      <c r="D844" s="1"/>
      <c r="E844" s="1"/>
      <c r="F844" s="1"/>
      <c r="G844" s="1"/>
      <c r="H844" s="1"/>
      <c r="I844" s="1"/>
      <c r="J844" s="1"/>
    </row>
    <row r="845" ht="15.75" customHeight="1">
      <c r="A845" s="1"/>
      <c r="B845" s="1"/>
      <c r="C845" s="1"/>
      <c r="D845" s="1"/>
      <c r="E845" s="1"/>
      <c r="F845" s="1"/>
      <c r="G845" s="1"/>
      <c r="H845" s="1"/>
      <c r="I845" s="1"/>
      <c r="J845" s="1"/>
    </row>
    <row r="846" ht="15.75" customHeight="1">
      <c r="A846" s="1"/>
      <c r="B846" s="1"/>
      <c r="C846" s="1"/>
      <c r="D846" s="1"/>
      <c r="E846" s="1"/>
      <c r="F846" s="1"/>
      <c r="G846" s="1"/>
      <c r="H846" s="1"/>
      <c r="I846" s="1"/>
      <c r="J846" s="1"/>
    </row>
    <row r="847" ht="15.75" customHeight="1">
      <c r="A847" s="1"/>
      <c r="B847" s="1"/>
      <c r="C847" s="1"/>
      <c r="D847" s="1"/>
      <c r="E847" s="1"/>
      <c r="F847" s="1"/>
      <c r="G847" s="1"/>
      <c r="H847" s="1"/>
      <c r="I847" s="1"/>
      <c r="J847" s="1"/>
    </row>
    <row r="848" ht="15.75" customHeight="1">
      <c r="A848" s="1"/>
      <c r="B848" s="1"/>
      <c r="C848" s="1"/>
      <c r="D848" s="1"/>
      <c r="E848" s="1"/>
      <c r="F848" s="1"/>
      <c r="G848" s="1"/>
      <c r="H848" s="1"/>
      <c r="I848" s="1"/>
      <c r="J848" s="1"/>
    </row>
    <row r="849" ht="15.75" customHeight="1">
      <c r="A849" s="1"/>
      <c r="B849" s="1"/>
      <c r="C849" s="1"/>
      <c r="D849" s="1"/>
      <c r="E849" s="1"/>
      <c r="F849" s="1"/>
      <c r="G849" s="1"/>
      <c r="H849" s="1"/>
      <c r="I849" s="1"/>
      <c r="J849" s="1"/>
    </row>
    <row r="850" ht="15.75" customHeight="1">
      <c r="A850" s="1"/>
      <c r="B850" s="1"/>
      <c r="C850" s="1"/>
      <c r="D850" s="1"/>
      <c r="E850" s="1"/>
      <c r="F850" s="1"/>
      <c r="G850" s="1"/>
      <c r="H850" s="1"/>
      <c r="I850" s="1"/>
      <c r="J850" s="1"/>
    </row>
    <row r="851" ht="15.75" customHeight="1">
      <c r="A851" s="1"/>
      <c r="B851" s="1"/>
      <c r="C851" s="1"/>
      <c r="D851" s="1"/>
      <c r="E851" s="1"/>
      <c r="F851" s="1"/>
      <c r="G851" s="1"/>
      <c r="H851" s="1"/>
      <c r="I851" s="1"/>
      <c r="J851" s="1"/>
    </row>
    <row r="852" ht="15.75" customHeight="1">
      <c r="A852" s="1"/>
      <c r="B852" s="1"/>
      <c r="C852" s="1"/>
      <c r="D852" s="1"/>
      <c r="E852" s="1"/>
      <c r="F852" s="1"/>
      <c r="G852" s="1"/>
      <c r="H852" s="1"/>
      <c r="I852" s="1"/>
      <c r="J852" s="1"/>
    </row>
    <row r="853" ht="15.75" customHeight="1">
      <c r="A853" s="1"/>
      <c r="B853" s="1"/>
      <c r="C853" s="1"/>
      <c r="D853" s="1"/>
      <c r="E853" s="1"/>
      <c r="F853" s="1"/>
      <c r="G853" s="1"/>
      <c r="H853" s="1"/>
      <c r="I853" s="1"/>
      <c r="J853" s="1"/>
    </row>
    <row r="854" ht="15.75" customHeight="1">
      <c r="A854" s="1"/>
      <c r="B854" s="1"/>
      <c r="C854" s="1"/>
      <c r="D854" s="1"/>
      <c r="E854" s="1"/>
      <c r="F854" s="1"/>
      <c r="G854" s="1"/>
      <c r="H854" s="1"/>
      <c r="I854" s="1"/>
      <c r="J854" s="1"/>
    </row>
    <row r="855" ht="15.75" customHeight="1">
      <c r="A855" s="1"/>
      <c r="B855" s="1"/>
      <c r="C855" s="1"/>
      <c r="D855" s="1"/>
      <c r="E855" s="1"/>
      <c r="F855" s="1"/>
      <c r="G855" s="1"/>
      <c r="H855" s="1"/>
      <c r="I855" s="1"/>
      <c r="J855" s="1"/>
    </row>
    <row r="856" ht="15.75" customHeight="1">
      <c r="A856" s="1"/>
      <c r="B856" s="1"/>
      <c r="C856" s="1"/>
      <c r="D856" s="1"/>
      <c r="E856" s="1"/>
      <c r="F856" s="1"/>
      <c r="G856" s="1"/>
      <c r="H856" s="1"/>
      <c r="I856" s="1"/>
      <c r="J856" s="1"/>
    </row>
    <row r="857" ht="15.75" customHeight="1">
      <c r="A857" s="1"/>
      <c r="B857" s="1"/>
      <c r="C857" s="1"/>
      <c r="D857" s="1"/>
      <c r="E857" s="1"/>
      <c r="F857" s="1"/>
      <c r="G857" s="1"/>
      <c r="H857" s="1"/>
      <c r="I857" s="1"/>
      <c r="J857" s="1"/>
    </row>
    <row r="858" ht="15.75" customHeight="1">
      <c r="A858" s="1"/>
      <c r="B858" s="1"/>
      <c r="C858" s="1"/>
      <c r="D858" s="1"/>
      <c r="E858" s="1"/>
      <c r="F858" s="1"/>
      <c r="G858" s="1"/>
      <c r="H858" s="1"/>
      <c r="I858" s="1"/>
      <c r="J858" s="1"/>
    </row>
    <row r="859" ht="15.75" customHeight="1">
      <c r="A859" s="1"/>
      <c r="B859" s="1"/>
      <c r="C859" s="1"/>
      <c r="D859" s="1"/>
      <c r="E859" s="1"/>
      <c r="F859" s="1"/>
      <c r="G859" s="1"/>
      <c r="H859" s="1"/>
      <c r="I859" s="1"/>
      <c r="J859" s="1"/>
    </row>
    <row r="860" ht="15.75" customHeight="1">
      <c r="A860" s="1"/>
      <c r="B860" s="1"/>
      <c r="C860" s="1"/>
      <c r="D860" s="1"/>
      <c r="E860" s="1"/>
      <c r="F860" s="1"/>
      <c r="G860" s="1"/>
      <c r="H860" s="1"/>
      <c r="I860" s="1"/>
      <c r="J860" s="1"/>
    </row>
    <row r="861" ht="15.75" customHeight="1">
      <c r="A861" s="1"/>
      <c r="B861" s="1"/>
      <c r="C861" s="1"/>
      <c r="D861" s="1"/>
      <c r="E861" s="1"/>
      <c r="F861" s="1"/>
      <c r="G861" s="1"/>
      <c r="H861" s="1"/>
      <c r="I861" s="1"/>
      <c r="J861" s="1"/>
    </row>
    <row r="862" ht="15.75" customHeight="1">
      <c r="A862" s="1"/>
      <c r="B862" s="1"/>
      <c r="C862" s="1"/>
      <c r="D862" s="1"/>
      <c r="E862" s="1"/>
      <c r="F862" s="1"/>
      <c r="G862" s="1"/>
      <c r="H862" s="1"/>
      <c r="I862" s="1"/>
      <c r="J862" s="1"/>
    </row>
    <row r="863" ht="15.75" customHeight="1">
      <c r="A863" s="1"/>
      <c r="B863" s="1"/>
      <c r="C863" s="1"/>
      <c r="D863" s="1"/>
      <c r="E863" s="1"/>
      <c r="F863" s="1"/>
      <c r="G863" s="1"/>
      <c r="H863" s="1"/>
      <c r="I863" s="1"/>
      <c r="J863" s="1"/>
    </row>
    <row r="864" ht="15.75" customHeight="1">
      <c r="A864" s="1"/>
      <c r="B864" s="1"/>
      <c r="C864" s="1"/>
      <c r="D864" s="1"/>
      <c r="E864" s="1"/>
      <c r="F864" s="1"/>
      <c r="G864" s="1"/>
      <c r="H864" s="1"/>
      <c r="I864" s="1"/>
      <c r="J864" s="1"/>
    </row>
    <row r="865" ht="15.75" customHeight="1">
      <c r="A865" s="1"/>
      <c r="B865" s="1"/>
      <c r="C865" s="1"/>
      <c r="D865" s="1"/>
      <c r="E865" s="1"/>
      <c r="F865" s="1"/>
      <c r="G865" s="1"/>
      <c r="H865" s="1"/>
      <c r="I865" s="1"/>
      <c r="J865" s="1"/>
    </row>
    <row r="866" ht="15.75" customHeight="1">
      <c r="A866" s="1"/>
      <c r="B866" s="1"/>
      <c r="C866" s="1"/>
      <c r="D866" s="1"/>
      <c r="E866" s="1"/>
      <c r="F866" s="1"/>
      <c r="G866" s="1"/>
      <c r="H866" s="1"/>
      <c r="I866" s="1"/>
      <c r="J866" s="1"/>
    </row>
    <row r="867" ht="15.75" customHeight="1">
      <c r="A867" s="1"/>
      <c r="B867" s="1"/>
      <c r="C867" s="1"/>
      <c r="D867" s="1"/>
      <c r="E867" s="1"/>
      <c r="F867" s="1"/>
      <c r="G867" s="1"/>
      <c r="H867" s="1"/>
      <c r="I867" s="1"/>
      <c r="J867" s="1"/>
    </row>
    <row r="868" ht="15.75" customHeight="1">
      <c r="A868" s="1"/>
      <c r="B868" s="1"/>
      <c r="C868" s="1"/>
      <c r="D868" s="1"/>
      <c r="E868" s="1"/>
      <c r="F868" s="1"/>
      <c r="G868" s="1"/>
      <c r="H868" s="1"/>
      <c r="I868" s="1"/>
      <c r="J868" s="1"/>
    </row>
    <row r="869" ht="15.75" customHeight="1">
      <c r="A869" s="1"/>
      <c r="B869" s="1"/>
      <c r="C869" s="1"/>
      <c r="D869" s="1"/>
      <c r="E869" s="1"/>
      <c r="F869" s="1"/>
      <c r="G869" s="1"/>
      <c r="H869" s="1"/>
      <c r="I869" s="1"/>
      <c r="J869" s="1"/>
    </row>
    <row r="870" ht="15.75" customHeight="1">
      <c r="A870" s="1"/>
      <c r="B870" s="1"/>
      <c r="C870" s="1"/>
      <c r="D870" s="1"/>
      <c r="E870" s="1"/>
      <c r="F870" s="1"/>
      <c r="G870" s="1"/>
      <c r="H870" s="1"/>
      <c r="I870" s="1"/>
      <c r="J870" s="1"/>
    </row>
    <row r="871" ht="15.75" customHeight="1">
      <c r="A871" s="1"/>
      <c r="B871" s="1"/>
      <c r="C871" s="1"/>
      <c r="D871" s="1"/>
      <c r="E871" s="1"/>
      <c r="F871" s="1"/>
      <c r="G871" s="1"/>
      <c r="H871" s="1"/>
      <c r="I871" s="1"/>
      <c r="J871" s="1"/>
    </row>
    <row r="872" ht="15.75" customHeight="1">
      <c r="A872" s="1"/>
      <c r="B872" s="1"/>
      <c r="C872" s="1"/>
      <c r="D872" s="1"/>
      <c r="E872" s="1"/>
      <c r="F872" s="1"/>
      <c r="G872" s="1"/>
      <c r="H872" s="1"/>
      <c r="I872" s="1"/>
      <c r="J872" s="1"/>
    </row>
    <row r="873" ht="15.75" customHeight="1">
      <c r="A873" s="1"/>
      <c r="B873" s="1"/>
      <c r="C873" s="1"/>
      <c r="D873" s="1"/>
      <c r="E873" s="1"/>
      <c r="F873" s="1"/>
      <c r="G873" s="1"/>
      <c r="H873" s="1"/>
      <c r="I873" s="1"/>
      <c r="J873" s="1"/>
    </row>
    <row r="874" ht="15.75" customHeight="1">
      <c r="A874" s="1"/>
      <c r="B874" s="1"/>
      <c r="C874" s="1"/>
      <c r="D874" s="1"/>
      <c r="E874" s="1"/>
      <c r="F874" s="1"/>
      <c r="G874" s="1"/>
      <c r="H874" s="1"/>
      <c r="I874" s="1"/>
      <c r="J874" s="1"/>
    </row>
    <row r="875" ht="15.75" customHeight="1">
      <c r="A875" s="1"/>
      <c r="B875" s="1"/>
      <c r="C875" s="1"/>
      <c r="D875" s="1"/>
      <c r="E875" s="1"/>
      <c r="F875" s="1"/>
      <c r="G875" s="1"/>
      <c r="H875" s="1"/>
      <c r="I875" s="1"/>
      <c r="J875" s="1"/>
    </row>
    <row r="876" ht="15.75" customHeight="1">
      <c r="A876" s="1"/>
      <c r="B876" s="1"/>
      <c r="C876" s="1"/>
      <c r="D876" s="1"/>
      <c r="E876" s="1"/>
      <c r="F876" s="1"/>
      <c r="G876" s="1"/>
      <c r="H876" s="1"/>
      <c r="I876" s="1"/>
      <c r="J876" s="1"/>
    </row>
    <row r="877" ht="15.75" customHeight="1">
      <c r="A877" s="1"/>
      <c r="B877" s="1"/>
      <c r="C877" s="1"/>
      <c r="D877" s="1"/>
      <c r="E877" s="1"/>
      <c r="F877" s="1"/>
      <c r="G877" s="1"/>
      <c r="H877" s="1"/>
      <c r="I877" s="1"/>
      <c r="J877" s="1"/>
    </row>
    <row r="878" ht="15.75" customHeight="1">
      <c r="A878" s="1"/>
      <c r="B878" s="1"/>
      <c r="C878" s="1"/>
      <c r="D878" s="1"/>
      <c r="E878" s="1"/>
      <c r="F878" s="1"/>
      <c r="G878" s="1"/>
      <c r="H878" s="1"/>
      <c r="I878" s="1"/>
      <c r="J878" s="1"/>
    </row>
    <row r="879" ht="15.75" customHeight="1">
      <c r="A879" s="1"/>
      <c r="B879" s="1"/>
      <c r="C879" s="1"/>
      <c r="D879" s="1"/>
      <c r="E879" s="1"/>
      <c r="F879" s="1"/>
      <c r="G879" s="1"/>
      <c r="H879" s="1"/>
      <c r="I879" s="1"/>
      <c r="J879" s="1"/>
    </row>
    <row r="880" ht="15.75" customHeight="1">
      <c r="A880" s="1"/>
      <c r="B880" s="1"/>
      <c r="C880" s="1"/>
      <c r="D880" s="1"/>
      <c r="E880" s="1"/>
      <c r="F880" s="1"/>
      <c r="G880" s="1"/>
      <c r="H880" s="1"/>
      <c r="I880" s="1"/>
      <c r="J880" s="1"/>
    </row>
    <row r="881" ht="15.75" customHeight="1">
      <c r="A881" s="1"/>
      <c r="B881" s="1"/>
      <c r="C881" s="1"/>
      <c r="D881" s="1"/>
      <c r="E881" s="1"/>
      <c r="F881" s="1"/>
      <c r="G881" s="1"/>
      <c r="H881" s="1"/>
      <c r="I881" s="1"/>
      <c r="J881" s="1"/>
    </row>
    <row r="882" ht="15.75" customHeight="1">
      <c r="A882" s="1"/>
      <c r="B882" s="1"/>
      <c r="C882" s="1"/>
      <c r="D882" s="1"/>
      <c r="E882" s="1"/>
      <c r="F882" s="1"/>
      <c r="G882" s="1"/>
      <c r="H882" s="1"/>
      <c r="I882" s="1"/>
      <c r="J882" s="1"/>
    </row>
    <row r="883" ht="15.75" customHeight="1">
      <c r="A883" s="1"/>
      <c r="B883" s="1"/>
      <c r="C883" s="1"/>
      <c r="D883" s="1"/>
      <c r="E883" s="1"/>
      <c r="F883" s="1"/>
      <c r="G883" s="1"/>
      <c r="H883" s="1"/>
      <c r="I883" s="1"/>
      <c r="J883" s="1"/>
    </row>
    <row r="884" ht="15.75" customHeight="1">
      <c r="A884" s="1"/>
      <c r="B884" s="1"/>
      <c r="C884" s="1"/>
      <c r="D884" s="1"/>
      <c r="E884" s="1"/>
      <c r="F884" s="1"/>
      <c r="G884" s="1"/>
      <c r="H884" s="1"/>
      <c r="I884" s="1"/>
      <c r="J884" s="1"/>
    </row>
    <row r="885" ht="15.75" customHeight="1">
      <c r="A885" s="1"/>
      <c r="B885" s="1"/>
      <c r="C885" s="1"/>
      <c r="D885" s="1"/>
      <c r="E885" s="1"/>
      <c r="F885" s="1"/>
      <c r="G885" s="1"/>
      <c r="H885" s="1"/>
      <c r="I885" s="1"/>
      <c r="J885" s="1"/>
    </row>
    <row r="886" ht="15.75" customHeight="1">
      <c r="A886" s="1"/>
      <c r="B886" s="1"/>
      <c r="C886" s="1"/>
      <c r="D886" s="1"/>
      <c r="E886" s="1"/>
      <c r="F886" s="1"/>
      <c r="G886" s="1"/>
      <c r="H886" s="1"/>
      <c r="I886" s="1"/>
      <c r="J886" s="1"/>
    </row>
    <row r="887" ht="15.75" customHeight="1">
      <c r="A887" s="1"/>
      <c r="B887" s="1"/>
      <c r="C887" s="1"/>
      <c r="D887" s="1"/>
      <c r="E887" s="1"/>
      <c r="F887" s="1"/>
      <c r="G887" s="1"/>
      <c r="H887" s="1"/>
      <c r="I887" s="1"/>
      <c r="J887" s="1"/>
    </row>
    <row r="888" ht="15.75" customHeight="1">
      <c r="A888" s="1"/>
      <c r="B888" s="1"/>
      <c r="C888" s="1"/>
      <c r="D888" s="1"/>
      <c r="E888" s="1"/>
      <c r="F888" s="1"/>
      <c r="G888" s="1"/>
      <c r="H888" s="1"/>
      <c r="I888" s="1"/>
      <c r="J888" s="1"/>
    </row>
    <row r="889" ht="15.75" customHeight="1">
      <c r="A889" s="1"/>
      <c r="B889" s="1"/>
      <c r="C889" s="1"/>
      <c r="D889" s="1"/>
      <c r="E889" s="1"/>
      <c r="F889" s="1"/>
      <c r="G889" s="1"/>
      <c r="H889" s="1"/>
      <c r="I889" s="1"/>
      <c r="J889" s="1"/>
    </row>
    <row r="890" ht="15.75" customHeight="1">
      <c r="A890" s="1"/>
      <c r="B890" s="1"/>
      <c r="C890" s="1"/>
      <c r="D890" s="1"/>
      <c r="E890" s="1"/>
      <c r="F890" s="1"/>
      <c r="G890" s="1"/>
      <c r="H890" s="1"/>
      <c r="I890" s="1"/>
      <c r="J890" s="1"/>
    </row>
    <row r="891" ht="15.75" customHeight="1">
      <c r="A891" s="1"/>
      <c r="B891" s="1"/>
      <c r="C891" s="1"/>
      <c r="D891" s="1"/>
      <c r="E891" s="1"/>
      <c r="F891" s="1"/>
      <c r="G891" s="1"/>
      <c r="H891" s="1"/>
      <c r="I891" s="1"/>
      <c r="J891" s="1"/>
    </row>
    <row r="892" ht="15.75" customHeight="1">
      <c r="A892" s="1"/>
      <c r="B892" s="1"/>
      <c r="C892" s="1"/>
      <c r="D892" s="1"/>
      <c r="E892" s="1"/>
      <c r="F892" s="1"/>
      <c r="G892" s="1"/>
      <c r="H892" s="1"/>
      <c r="I892" s="1"/>
      <c r="J892" s="1"/>
    </row>
    <row r="893" ht="15.75" customHeight="1">
      <c r="A893" s="1"/>
      <c r="B893" s="1"/>
      <c r="C893" s="1"/>
      <c r="D893" s="1"/>
      <c r="E893" s="1"/>
      <c r="F893" s="1"/>
      <c r="G893" s="1"/>
      <c r="H893" s="1"/>
      <c r="I893" s="1"/>
      <c r="J893" s="1"/>
    </row>
    <row r="894" ht="15.75" customHeight="1">
      <c r="A894" s="1"/>
      <c r="B894" s="1"/>
      <c r="C894" s="1"/>
      <c r="D894" s="1"/>
      <c r="E894" s="1"/>
      <c r="F894" s="1"/>
      <c r="G894" s="1"/>
      <c r="H894" s="1"/>
      <c r="I894" s="1"/>
      <c r="J894" s="1"/>
    </row>
    <row r="895" ht="15.75" customHeight="1">
      <c r="A895" s="1"/>
      <c r="B895" s="1"/>
      <c r="C895" s="1"/>
      <c r="D895" s="1"/>
      <c r="E895" s="1"/>
      <c r="F895" s="1"/>
      <c r="G895" s="1"/>
      <c r="H895" s="1"/>
      <c r="I895" s="1"/>
      <c r="J895" s="1"/>
    </row>
    <row r="896" ht="15.75" customHeight="1">
      <c r="A896" s="1"/>
      <c r="B896" s="1"/>
      <c r="C896" s="1"/>
      <c r="D896" s="1"/>
      <c r="E896" s="1"/>
      <c r="F896" s="1"/>
      <c r="G896" s="1"/>
      <c r="H896" s="1"/>
      <c r="I896" s="1"/>
      <c r="J896" s="1"/>
    </row>
    <row r="897" ht="15.75" customHeight="1">
      <c r="A897" s="1"/>
      <c r="B897" s="1"/>
      <c r="C897" s="1"/>
      <c r="D897" s="1"/>
      <c r="E897" s="1"/>
      <c r="F897" s="1"/>
      <c r="G897" s="1"/>
      <c r="H897" s="1"/>
      <c r="I897" s="1"/>
      <c r="J897" s="1"/>
    </row>
    <row r="898" ht="15.75" customHeight="1">
      <c r="A898" s="1"/>
      <c r="B898" s="1"/>
      <c r="C898" s="1"/>
      <c r="D898" s="1"/>
      <c r="E898" s="1"/>
      <c r="F898" s="1"/>
      <c r="G898" s="1"/>
      <c r="H898" s="1"/>
      <c r="I898" s="1"/>
      <c r="J898" s="1"/>
    </row>
    <row r="899" ht="15.75" customHeight="1">
      <c r="A899" s="1"/>
      <c r="B899" s="1"/>
      <c r="C899" s="1"/>
      <c r="D899" s="1"/>
      <c r="E899" s="1"/>
      <c r="F899" s="1"/>
      <c r="G899" s="1"/>
      <c r="H899" s="1"/>
      <c r="I899" s="1"/>
      <c r="J899" s="1"/>
    </row>
    <row r="900" ht="15.75" customHeight="1">
      <c r="A900" s="1"/>
      <c r="B900" s="1"/>
      <c r="C900" s="1"/>
      <c r="D900" s="1"/>
      <c r="E900" s="1"/>
      <c r="F900" s="1"/>
      <c r="G900" s="1"/>
      <c r="H900" s="1"/>
      <c r="I900" s="1"/>
      <c r="J900" s="1"/>
    </row>
    <row r="901" ht="15.75" customHeight="1">
      <c r="A901" s="1"/>
      <c r="B901" s="1"/>
      <c r="C901" s="1"/>
      <c r="D901" s="1"/>
      <c r="E901" s="1"/>
      <c r="F901" s="1"/>
      <c r="G901" s="1"/>
      <c r="H901" s="1"/>
      <c r="I901" s="1"/>
      <c r="J901" s="1"/>
    </row>
    <row r="902" ht="15.75" customHeight="1">
      <c r="A902" s="1"/>
      <c r="B902" s="1"/>
      <c r="C902" s="1"/>
      <c r="D902" s="1"/>
      <c r="E902" s="1"/>
      <c r="F902" s="1"/>
      <c r="G902" s="1"/>
      <c r="H902" s="1"/>
      <c r="I902" s="1"/>
      <c r="J902" s="1"/>
    </row>
    <row r="903" ht="15.75" customHeight="1">
      <c r="A903" s="1"/>
      <c r="B903" s="1"/>
      <c r="C903" s="1"/>
      <c r="D903" s="1"/>
      <c r="E903" s="1"/>
      <c r="F903" s="1"/>
      <c r="G903" s="1"/>
      <c r="H903" s="1"/>
      <c r="I903" s="1"/>
      <c r="J903" s="1"/>
    </row>
    <row r="904" ht="15.75" customHeight="1">
      <c r="A904" s="1"/>
      <c r="B904" s="1"/>
      <c r="C904" s="1"/>
      <c r="D904" s="1"/>
      <c r="E904" s="1"/>
      <c r="F904" s="1"/>
      <c r="G904" s="1"/>
      <c r="H904" s="1"/>
      <c r="I904" s="1"/>
      <c r="J904" s="1"/>
    </row>
    <row r="905" ht="15.75" customHeight="1">
      <c r="A905" s="1"/>
      <c r="B905" s="1"/>
      <c r="C905" s="1"/>
      <c r="D905" s="1"/>
      <c r="E905" s="1"/>
      <c r="F905" s="1"/>
      <c r="G905" s="1"/>
      <c r="H905" s="1"/>
      <c r="I905" s="1"/>
      <c r="J905" s="1"/>
    </row>
    <row r="906" ht="15.75" customHeight="1">
      <c r="A906" s="1"/>
      <c r="B906" s="1"/>
      <c r="C906" s="1"/>
      <c r="D906" s="1"/>
      <c r="E906" s="1"/>
      <c r="F906" s="1"/>
      <c r="G906" s="1"/>
      <c r="H906" s="1"/>
      <c r="I906" s="1"/>
      <c r="J906" s="1"/>
    </row>
    <row r="907" ht="15.75" customHeight="1">
      <c r="A907" s="1"/>
      <c r="B907" s="1"/>
      <c r="C907" s="1"/>
      <c r="D907" s="1"/>
      <c r="E907" s="1"/>
      <c r="F907" s="1"/>
      <c r="G907" s="1"/>
      <c r="H907" s="1"/>
      <c r="I907" s="1"/>
      <c r="J907" s="1"/>
    </row>
    <row r="908" ht="15.75" customHeight="1">
      <c r="A908" s="1"/>
      <c r="B908" s="1"/>
      <c r="C908" s="1"/>
      <c r="D908" s="1"/>
      <c r="E908" s="1"/>
      <c r="F908" s="1"/>
      <c r="G908" s="1"/>
      <c r="H908" s="1"/>
      <c r="I908" s="1"/>
      <c r="J908" s="1"/>
    </row>
    <row r="909" ht="15.75" customHeight="1">
      <c r="A909" s="1"/>
      <c r="B909" s="1"/>
      <c r="C909" s="1"/>
      <c r="D909" s="1"/>
      <c r="E909" s="1"/>
      <c r="F909" s="1"/>
      <c r="G909" s="1"/>
      <c r="H909" s="1"/>
      <c r="I909" s="1"/>
      <c r="J909" s="1"/>
    </row>
    <row r="910" ht="15.75" customHeight="1">
      <c r="A910" s="1"/>
      <c r="B910" s="1"/>
      <c r="C910" s="1"/>
      <c r="D910" s="1"/>
      <c r="E910" s="1"/>
      <c r="F910" s="1"/>
      <c r="G910" s="1"/>
      <c r="H910" s="1"/>
      <c r="I910" s="1"/>
      <c r="J910" s="1"/>
    </row>
    <row r="911" ht="15.75" customHeight="1">
      <c r="A911" s="1"/>
      <c r="B911" s="1"/>
      <c r="C911" s="1"/>
      <c r="D911" s="1"/>
      <c r="E911" s="1"/>
      <c r="F911" s="1"/>
      <c r="G911" s="1"/>
      <c r="H911" s="1"/>
      <c r="I911" s="1"/>
      <c r="J911" s="1"/>
    </row>
    <row r="912" ht="15.75" customHeight="1">
      <c r="A912" s="1"/>
      <c r="B912" s="1"/>
      <c r="C912" s="1"/>
      <c r="D912" s="1"/>
      <c r="E912" s="1"/>
      <c r="F912" s="1"/>
      <c r="G912" s="1"/>
      <c r="H912" s="1"/>
      <c r="I912" s="1"/>
      <c r="J912" s="1"/>
    </row>
    <row r="913" ht="15.75" customHeight="1">
      <c r="A913" s="1"/>
      <c r="B913" s="1"/>
      <c r="C913" s="1"/>
      <c r="D913" s="1"/>
      <c r="E913" s="1"/>
      <c r="F913" s="1"/>
      <c r="G913" s="1"/>
      <c r="H913" s="1"/>
      <c r="I913" s="1"/>
      <c r="J913" s="1"/>
    </row>
    <row r="914" ht="15.75" customHeight="1">
      <c r="A914" s="1"/>
      <c r="B914" s="1"/>
      <c r="C914" s="1"/>
      <c r="D914" s="1"/>
      <c r="E914" s="1"/>
      <c r="F914" s="1"/>
      <c r="G914" s="1"/>
      <c r="H914" s="1"/>
      <c r="I914" s="1"/>
      <c r="J914" s="1"/>
    </row>
    <row r="915" ht="15.75" customHeight="1">
      <c r="A915" s="1"/>
      <c r="B915" s="1"/>
      <c r="C915" s="1"/>
      <c r="D915" s="1"/>
      <c r="E915" s="1"/>
      <c r="F915" s="1"/>
      <c r="G915" s="1"/>
      <c r="H915" s="1"/>
      <c r="I915" s="1"/>
      <c r="J915" s="1"/>
    </row>
    <row r="916" ht="15.75" customHeight="1">
      <c r="A916" s="1"/>
      <c r="B916" s="1"/>
      <c r="C916" s="1"/>
      <c r="D916" s="1"/>
      <c r="E916" s="1"/>
      <c r="F916" s="1"/>
      <c r="G916" s="1"/>
      <c r="H916" s="1"/>
      <c r="I916" s="1"/>
      <c r="J916" s="1"/>
    </row>
    <row r="917" ht="15.75" customHeight="1">
      <c r="A917" s="1"/>
      <c r="B917" s="1"/>
      <c r="C917" s="1"/>
      <c r="D917" s="1"/>
      <c r="E917" s="1"/>
      <c r="F917" s="1"/>
      <c r="G917" s="1"/>
      <c r="H917" s="1"/>
      <c r="I917" s="1"/>
      <c r="J917" s="1"/>
    </row>
    <row r="918" ht="15.75" customHeight="1">
      <c r="A918" s="1"/>
      <c r="B918" s="1"/>
      <c r="C918" s="1"/>
      <c r="D918" s="1"/>
      <c r="E918" s="1"/>
      <c r="F918" s="1"/>
      <c r="G918" s="1"/>
      <c r="H918" s="1"/>
      <c r="I918" s="1"/>
      <c r="J918" s="1"/>
    </row>
    <row r="919" ht="15.75" customHeight="1">
      <c r="A919" s="1"/>
      <c r="B919" s="1"/>
      <c r="C919" s="1"/>
      <c r="D919" s="1"/>
      <c r="E919" s="1"/>
      <c r="F919" s="1"/>
      <c r="G919" s="1"/>
      <c r="H919" s="1"/>
      <c r="I919" s="1"/>
      <c r="J919" s="1"/>
    </row>
    <row r="920" ht="15.75" customHeight="1">
      <c r="A920" s="1"/>
      <c r="B920" s="1"/>
      <c r="C920" s="1"/>
      <c r="D920" s="1"/>
      <c r="E920" s="1"/>
      <c r="F920" s="1"/>
      <c r="G920" s="1"/>
      <c r="H920" s="1"/>
      <c r="I920" s="1"/>
      <c r="J920" s="1"/>
    </row>
    <row r="921" ht="15.75" customHeight="1">
      <c r="A921" s="1"/>
      <c r="B921" s="1"/>
      <c r="C921" s="1"/>
      <c r="D921" s="1"/>
      <c r="E921" s="1"/>
      <c r="F921" s="1"/>
      <c r="G921" s="1"/>
      <c r="H921" s="1"/>
      <c r="I921" s="1"/>
      <c r="J921" s="1"/>
    </row>
    <row r="922" ht="15.75" customHeight="1">
      <c r="A922" s="1"/>
      <c r="B922" s="1"/>
      <c r="C922" s="1"/>
      <c r="D922" s="1"/>
      <c r="E922" s="1"/>
      <c r="F922" s="1"/>
      <c r="G922" s="1"/>
      <c r="H922" s="1"/>
      <c r="I922" s="1"/>
      <c r="J922" s="1"/>
    </row>
    <row r="923" ht="15.75" customHeight="1">
      <c r="A923" s="1"/>
      <c r="B923" s="1"/>
      <c r="C923" s="1"/>
      <c r="D923" s="1"/>
      <c r="E923" s="1"/>
      <c r="F923" s="1"/>
      <c r="G923" s="1"/>
      <c r="H923" s="1"/>
      <c r="I923" s="1"/>
      <c r="J923" s="1"/>
    </row>
    <row r="924" ht="15.75" customHeight="1">
      <c r="A924" s="1"/>
      <c r="B924" s="1"/>
      <c r="C924" s="1"/>
      <c r="D924" s="1"/>
      <c r="E924" s="1"/>
      <c r="F924" s="1"/>
      <c r="G924" s="1"/>
      <c r="H924" s="1"/>
      <c r="I924" s="1"/>
      <c r="J924" s="1"/>
    </row>
    <row r="925" ht="15.75" customHeight="1">
      <c r="A925" s="1"/>
      <c r="B925" s="1"/>
      <c r="C925" s="1"/>
      <c r="D925" s="1"/>
      <c r="E925" s="1"/>
      <c r="F925" s="1"/>
      <c r="G925" s="1"/>
      <c r="H925" s="1"/>
      <c r="I925" s="1"/>
      <c r="J925" s="1"/>
    </row>
    <row r="926" ht="15.75" customHeight="1">
      <c r="A926" s="1"/>
      <c r="B926" s="1"/>
      <c r="C926" s="1"/>
      <c r="D926" s="1"/>
      <c r="E926" s="1"/>
      <c r="F926" s="1"/>
      <c r="G926" s="1"/>
      <c r="H926" s="1"/>
      <c r="I926" s="1"/>
      <c r="J926" s="1"/>
    </row>
    <row r="927" ht="15.75" customHeight="1">
      <c r="A927" s="1"/>
      <c r="B927" s="1"/>
      <c r="C927" s="1"/>
      <c r="D927" s="1"/>
      <c r="E927" s="1"/>
      <c r="F927" s="1"/>
      <c r="G927" s="1"/>
      <c r="H927" s="1"/>
      <c r="I927" s="1"/>
      <c r="J927" s="1"/>
    </row>
    <row r="928" ht="15.75" customHeight="1">
      <c r="A928" s="1"/>
      <c r="B928" s="1"/>
      <c r="C928" s="1"/>
      <c r="D928" s="1"/>
      <c r="E928" s="1"/>
      <c r="F928" s="1"/>
      <c r="G928" s="1"/>
      <c r="H928" s="1"/>
      <c r="I928" s="1"/>
      <c r="J928" s="1"/>
    </row>
    <row r="929" ht="15.75" customHeight="1">
      <c r="A929" s="1"/>
      <c r="B929" s="1"/>
      <c r="C929" s="1"/>
      <c r="D929" s="1"/>
      <c r="E929" s="1"/>
      <c r="F929" s="1"/>
      <c r="G929" s="1"/>
      <c r="H929" s="1"/>
      <c r="I929" s="1"/>
      <c r="J929" s="1"/>
    </row>
    <row r="930" ht="15.75" customHeight="1">
      <c r="A930" s="1"/>
      <c r="B930" s="1"/>
      <c r="C930" s="1"/>
      <c r="D930" s="1"/>
      <c r="E930" s="1"/>
      <c r="F930" s="1"/>
      <c r="G930" s="1"/>
      <c r="H930" s="1"/>
      <c r="I930" s="1"/>
      <c r="J930" s="1"/>
    </row>
    <row r="931" ht="15.75" customHeight="1">
      <c r="A931" s="1"/>
      <c r="B931" s="1"/>
      <c r="C931" s="1"/>
      <c r="D931" s="1"/>
      <c r="E931" s="1"/>
      <c r="F931" s="1"/>
      <c r="G931" s="1"/>
      <c r="H931" s="1"/>
      <c r="I931" s="1"/>
      <c r="J931" s="1"/>
    </row>
    <row r="932" ht="15.75" customHeight="1">
      <c r="A932" s="1"/>
      <c r="B932" s="1"/>
      <c r="C932" s="1"/>
      <c r="D932" s="1"/>
      <c r="E932" s="1"/>
      <c r="F932" s="1"/>
      <c r="G932" s="1"/>
      <c r="H932" s="1"/>
      <c r="I932" s="1"/>
      <c r="J932" s="1"/>
    </row>
    <row r="933" ht="15.75" customHeight="1">
      <c r="A933" s="1"/>
      <c r="B933" s="1"/>
      <c r="C933" s="1"/>
      <c r="D933" s="1"/>
      <c r="E933" s="1"/>
      <c r="F933" s="1"/>
      <c r="G933" s="1"/>
      <c r="H933" s="1"/>
      <c r="I933" s="1"/>
      <c r="J933" s="1"/>
    </row>
    <row r="934" ht="15.75" customHeight="1">
      <c r="A934" s="1"/>
      <c r="B934" s="1"/>
      <c r="C934" s="1"/>
      <c r="D934" s="1"/>
      <c r="E934" s="1"/>
      <c r="F934" s="1"/>
      <c r="G934" s="1"/>
      <c r="H934" s="1"/>
      <c r="I934" s="1"/>
      <c r="J934" s="1"/>
    </row>
    <row r="935" ht="15.75" customHeight="1">
      <c r="A935" s="1"/>
      <c r="B935" s="1"/>
      <c r="C935" s="1"/>
      <c r="D935" s="1"/>
      <c r="E935" s="1"/>
      <c r="F935" s="1"/>
      <c r="G935" s="1"/>
      <c r="H935" s="1"/>
      <c r="I935" s="1"/>
      <c r="J935" s="1"/>
    </row>
    <row r="936" ht="15.75" customHeight="1">
      <c r="A936" s="1"/>
      <c r="B936" s="1"/>
      <c r="C936" s="1"/>
      <c r="D936" s="1"/>
      <c r="E936" s="1"/>
      <c r="F936" s="1"/>
      <c r="G936" s="1"/>
      <c r="H936" s="1"/>
      <c r="I936" s="1"/>
      <c r="J936" s="1"/>
    </row>
    <row r="937" ht="15.75" customHeight="1">
      <c r="A937" s="1"/>
      <c r="B937" s="1"/>
      <c r="C937" s="1"/>
      <c r="D937" s="1"/>
      <c r="E937" s="1"/>
      <c r="F937" s="1"/>
      <c r="G937" s="1"/>
      <c r="H937" s="1"/>
      <c r="I937" s="1"/>
      <c r="J937" s="1"/>
    </row>
    <row r="938" ht="15.75" customHeight="1">
      <c r="A938" s="1"/>
      <c r="B938" s="1"/>
      <c r="C938" s="1"/>
      <c r="D938" s="1"/>
      <c r="E938" s="1"/>
      <c r="F938" s="1"/>
      <c r="G938" s="1"/>
      <c r="H938" s="1"/>
      <c r="I938" s="1"/>
      <c r="J938" s="1"/>
    </row>
    <row r="939" ht="15.75" customHeight="1">
      <c r="A939" s="1"/>
      <c r="B939" s="1"/>
      <c r="C939" s="1"/>
      <c r="D939" s="1"/>
      <c r="E939" s="1"/>
      <c r="F939" s="1"/>
      <c r="G939" s="1"/>
      <c r="H939" s="1"/>
      <c r="I939" s="1"/>
      <c r="J939" s="1"/>
    </row>
    <row r="940" ht="15.75" customHeight="1">
      <c r="A940" s="1"/>
      <c r="B940" s="1"/>
      <c r="C940" s="1"/>
      <c r="D940" s="1"/>
      <c r="E940" s="1"/>
      <c r="F940" s="1"/>
      <c r="G940" s="1"/>
      <c r="H940" s="1"/>
      <c r="I940" s="1"/>
      <c r="J940" s="1"/>
    </row>
    <row r="941" ht="15.75" customHeight="1">
      <c r="A941" s="1"/>
      <c r="B941" s="1"/>
      <c r="C941" s="1"/>
      <c r="D941" s="1"/>
      <c r="E941" s="1"/>
      <c r="F941" s="1"/>
      <c r="G941" s="1"/>
      <c r="H941" s="1"/>
      <c r="I941" s="1"/>
      <c r="J941" s="1"/>
    </row>
    <row r="942" ht="15.75" customHeight="1">
      <c r="A942" s="1"/>
      <c r="B942" s="1"/>
      <c r="C942" s="1"/>
      <c r="D942" s="1"/>
      <c r="E942" s="1"/>
      <c r="F942" s="1"/>
      <c r="G942" s="1"/>
      <c r="H942" s="1"/>
      <c r="I942" s="1"/>
      <c r="J942" s="1"/>
    </row>
    <row r="943" ht="15.75" customHeight="1">
      <c r="A943" s="1"/>
      <c r="B943" s="1"/>
      <c r="C943" s="1"/>
      <c r="D943" s="1"/>
      <c r="E943" s="1"/>
      <c r="F943" s="1"/>
      <c r="G943" s="1"/>
      <c r="H943" s="1"/>
      <c r="I943" s="1"/>
      <c r="J943" s="1"/>
    </row>
    <row r="944" ht="15.75" customHeight="1">
      <c r="A944" s="1"/>
      <c r="B944" s="1"/>
      <c r="C944" s="1"/>
      <c r="D944" s="1"/>
      <c r="E944" s="1"/>
      <c r="F944" s="1"/>
      <c r="G944" s="1"/>
      <c r="H944" s="1"/>
      <c r="I944" s="1"/>
      <c r="J944" s="1"/>
    </row>
    <row r="945" ht="15.75" customHeight="1">
      <c r="A945" s="1"/>
      <c r="B945" s="1"/>
      <c r="C945" s="1"/>
      <c r="D945" s="1"/>
      <c r="E945" s="1"/>
      <c r="F945" s="1"/>
      <c r="G945" s="1"/>
      <c r="H945" s="1"/>
      <c r="I945" s="1"/>
      <c r="J945" s="1"/>
    </row>
    <row r="946" ht="15.75" customHeight="1">
      <c r="A946" s="1"/>
      <c r="B946" s="1"/>
      <c r="C946" s="1"/>
      <c r="D946" s="1"/>
      <c r="E946" s="1"/>
      <c r="F946" s="1"/>
      <c r="G946" s="1"/>
      <c r="H946" s="1"/>
      <c r="I946" s="1"/>
      <c r="J946" s="1"/>
    </row>
    <row r="947" ht="15.75" customHeight="1">
      <c r="A947" s="1"/>
      <c r="B947" s="1"/>
      <c r="C947" s="1"/>
      <c r="D947" s="1"/>
      <c r="E947" s="1"/>
      <c r="F947" s="1"/>
      <c r="G947" s="1"/>
      <c r="H947" s="1"/>
      <c r="I947" s="1"/>
      <c r="J947" s="1"/>
    </row>
    <row r="948" ht="15.75" customHeight="1">
      <c r="A948" s="1"/>
      <c r="B948" s="1"/>
      <c r="C948" s="1"/>
      <c r="D948" s="1"/>
      <c r="E948" s="1"/>
      <c r="F948" s="1"/>
      <c r="G948" s="1"/>
      <c r="H948" s="1"/>
      <c r="I948" s="1"/>
      <c r="J948" s="1"/>
    </row>
    <row r="949" ht="15.75" customHeight="1">
      <c r="A949" s="1"/>
      <c r="B949" s="1"/>
      <c r="C949" s="1"/>
      <c r="D949" s="1"/>
      <c r="E949" s="1"/>
      <c r="F949" s="1"/>
      <c r="G949" s="1"/>
      <c r="H949" s="1"/>
      <c r="I949" s="1"/>
      <c r="J949" s="1"/>
    </row>
    <row r="950" ht="15.75" customHeight="1">
      <c r="A950" s="1"/>
      <c r="B950" s="1"/>
      <c r="C950" s="1"/>
      <c r="D950" s="1"/>
      <c r="E950" s="1"/>
      <c r="F950" s="1"/>
      <c r="G950" s="1"/>
      <c r="H950" s="1"/>
      <c r="I950" s="1"/>
      <c r="J950" s="1"/>
    </row>
    <row r="951" ht="15.75" customHeight="1">
      <c r="A951" s="1"/>
      <c r="B951" s="1"/>
      <c r="C951" s="1"/>
      <c r="D951" s="1"/>
      <c r="E951" s="1"/>
      <c r="F951" s="1"/>
      <c r="G951" s="1"/>
      <c r="H951" s="1"/>
      <c r="I951" s="1"/>
      <c r="J951" s="1"/>
    </row>
    <row r="952" ht="15.75" customHeight="1">
      <c r="A952" s="1"/>
      <c r="B952" s="1"/>
      <c r="C952" s="1"/>
      <c r="D952" s="1"/>
      <c r="E952" s="1"/>
      <c r="F952" s="1"/>
      <c r="G952" s="1"/>
      <c r="H952" s="1"/>
      <c r="I952" s="1"/>
      <c r="J952" s="1"/>
    </row>
    <row r="953" ht="15.75" customHeight="1">
      <c r="A953" s="1"/>
      <c r="B953" s="1"/>
      <c r="C953" s="1"/>
      <c r="D953" s="1"/>
      <c r="E953" s="1"/>
      <c r="F953" s="1"/>
      <c r="G953" s="1"/>
      <c r="H953" s="1"/>
      <c r="I953" s="1"/>
      <c r="J953" s="1"/>
    </row>
    <row r="954" ht="15.75" customHeight="1">
      <c r="A954" s="1"/>
      <c r="B954" s="1"/>
      <c r="C954" s="1"/>
      <c r="D954" s="1"/>
      <c r="E954" s="1"/>
      <c r="F954" s="1"/>
      <c r="G954" s="1"/>
      <c r="H954" s="1"/>
      <c r="I954" s="1"/>
      <c r="J954" s="1"/>
    </row>
    <row r="955" ht="15.75" customHeight="1">
      <c r="A955" s="1"/>
      <c r="B955" s="1"/>
      <c r="C955" s="1"/>
      <c r="D955" s="1"/>
      <c r="E955" s="1"/>
      <c r="F955" s="1"/>
      <c r="G955" s="1"/>
      <c r="H955" s="1"/>
      <c r="I955" s="1"/>
      <c r="J955" s="1"/>
    </row>
    <row r="956" ht="15.75" customHeight="1">
      <c r="A956" s="1"/>
      <c r="B956" s="1"/>
      <c r="C956" s="1"/>
      <c r="D956" s="1"/>
      <c r="E956" s="1"/>
      <c r="F956" s="1"/>
      <c r="G956" s="1"/>
      <c r="H956" s="1"/>
      <c r="I956" s="1"/>
      <c r="J956" s="1"/>
    </row>
    <row r="957" ht="15.75" customHeight="1">
      <c r="A957" s="1"/>
      <c r="B957" s="1"/>
      <c r="C957" s="1"/>
      <c r="D957" s="1"/>
      <c r="E957" s="1"/>
      <c r="F957" s="1"/>
      <c r="G957" s="1"/>
      <c r="H957" s="1"/>
      <c r="I957" s="1"/>
      <c r="J957" s="1"/>
    </row>
    <row r="958" ht="15.75" customHeight="1">
      <c r="A958" s="1"/>
      <c r="B958" s="1"/>
      <c r="C958" s="1"/>
      <c r="D958" s="1"/>
      <c r="E958" s="1"/>
      <c r="F958" s="1"/>
      <c r="G958" s="1"/>
      <c r="H958" s="1"/>
      <c r="I958" s="1"/>
      <c r="J958" s="1"/>
    </row>
    <row r="959" ht="15.75" customHeight="1">
      <c r="A959" s="1"/>
      <c r="B959" s="1"/>
      <c r="C959" s="1"/>
      <c r="D959" s="1"/>
      <c r="E959" s="1"/>
      <c r="F959" s="1"/>
      <c r="G959" s="1"/>
      <c r="H959" s="1"/>
      <c r="I959" s="1"/>
      <c r="J959" s="1"/>
    </row>
    <row r="960" ht="15.75" customHeight="1">
      <c r="A960" s="1"/>
      <c r="B960" s="1"/>
      <c r="C960" s="1"/>
      <c r="D960" s="1"/>
      <c r="E960" s="1"/>
      <c r="F960" s="1"/>
      <c r="G960" s="1"/>
      <c r="H960" s="1"/>
      <c r="I960" s="1"/>
      <c r="J960" s="1"/>
    </row>
    <row r="961" ht="15.75" customHeight="1">
      <c r="A961" s="1"/>
      <c r="B961" s="1"/>
      <c r="C961" s="1"/>
      <c r="D961" s="1"/>
      <c r="E961" s="1"/>
      <c r="F961" s="1"/>
      <c r="G961" s="1"/>
      <c r="H961" s="1"/>
      <c r="I961" s="1"/>
      <c r="J961" s="1"/>
    </row>
    <row r="962" ht="15.75" customHeight="1">
      <c r="A962" s="1"/>
      <c r="B962" s="1"/>
      <c r="C962" s="1"/>
      <c r="D962" s="1"/>
      <c r="E962" s="1"/>
      <c r="F962" s="1"/>
      <c r="G962" s="1"/>
      <c r="H962" s="1"/>
      <c r="I962" s="1"/>
      <c r="J962" s="1"/>
    </row>
    <row r="963" ht="15.75" customHeight="1">
      <c r="A963" s="1"/>
      <c r="B963" s="1"/>
      <c r="C963" s="1"/>
      <c r="D963" s="1"/>
      <c r="E963" s="1"/>
      <c r="F963" s="1"/>
      <c r="G963" s="1"/>
      <c r="H963" s="1"/>
      <c r="I963" s="1"/>
      <c r="J963" s="1"/>
    </row>
    <row r="964" ht="15.75" customHeight="1">
      <c r="A964" s="1"/>
      <c r="B964" s="1"/>
      <c r="C964" s="1"/>
      <c r="D964" s="1"/>
      <c r="E964" s="1"/>
      <c r="F964" s="1"/>
      <c r="G964" s="1"/>
      <c r="H964" s="1"/>
      <c r="I964" s="1"/>
      <c r="J964" s="1"/>
    </row>
    <row r="965" ht="15.75" customHeight="1">
      <c r="A965" s="1"/>
      <c r="B965" s="1"/>
      <c r="C965" s="1"/>
      <c r="D965" s="1"/>
      <c r="E965" s="1"/>
      <c r="F965" s="1"/>
      <c r="G965" s="1"/>
      <c r="H965" s="1"/>
      <c r="I965" s="1"/>
      <c r="J965" s="1"/>
    </row>
    <row r="966" ht="15.75" customHeight="1">
      <c r="A966" s="1"/>
      <c r="B966" s="1"/>
      <c r="C966" s="1"/>
      <c r="D966" s="1"/>
      <c r="E966" s="1"/>
      <c r="F966" s="1"/>
      <c r="G966" s="1"/>
      <c r="H966" s="1"/>
      <c r="I966" s="1"/>
      <c r="J966" s="1"/>
    </row>
    <row r="967" ht="15.75" customHeight="1">
      <c r="A967" s="1"/>
      <c r="B967" s="1"/>
      <c r="C967" s="1"/>
      <c r="D967" s="1"/>
      <c r="E967" s="1"/>
      <c r="F967" s="1"/>
      <c r="G967" s="1"/>
      <c r="H967" s="1"/>
      <c r="I967" s="1"/>
      <c r="J967" s="1"/>
    </row>
    <row r="968" ht="15.75" customHeight="1">
      <c r="A968" s="1"/>
      <c r="B968" s="1"/>
      <c r="C968" s="1"/>
      <c r="D968" s="1"/>
      <c r="E968" s="1"/>
      <c r="F968" s="1"/>
      <c r="G968" s="1"/>
      <c r="H968" s="1"/>
      <c r="I968" s="1"/>
      <c r="J968" s="1"/>
    </row>
    <row r="969" ht="15.75" customHeight="1">
      <c r="A969" s="1"/>
      <c r="B969" s="1"/>
      <c r="C969" s="1"/>
      <c r="D969" s="1"/>
      <c r="E969" s="1"/>
      <c r="F969" s="1"/>
      <c r="G969" s="1"/>
      <c r="H969" s="1"/>
      <c r="I969" s="1"/>
      <c r="J969" s="1"/>
    </row>
    <row r="970" ht="15.75" customHeight="1">
      <c r="A970" s="1"/>
      <c r="B970" s="1"/>
      <c r="C970" s="1"/>
      <c r="D970" s="1"/>
      <c r="E970" s="1"/>
      <c r="F970" s="1"/>
      <c r="G970" s="1"/>
      <c r="H970" s="1"/>
      <c r="I970" s="1"/>
      <c r="J970" s="1"/>
    </row>
    <row r="971" ht="15.75" customHeight="1">
      <c r="A971" s="1"/>
      <c r="B971" s="1"/>
      <c r="C971" s="1"/>
      <c r="D971" s="1"/>
      <c r="E971" s="1"/>
      <c r="F971" s="1"/>
      <c r="G971" s="1"/>
      <c r="H971" s="1"/>
      <c r="I971" s="1"/>
      <c r="J971" s="1"/>
    </row>
    <row r="972" ht="15.75" customHeight="1">
      <c r="A972" s="1"/>
      <c r="B972" s="1"/>
      <c r="C972" s="1"/>
      <c r="D972" s="1"/>
      <c r="E972" s="1"/>
      <c r="F972" s="1"/>
      <c r="G972" s="1"/>
      <c r="H972" s="1"/>
      <c r="I972" s="1"/>
      <c r="J972" s="1"/>
    </row>
    <row r="973" ht="15.75" customHeight="1">
      <c r="A973" s="1"/>
      <c r="B973" s="1"/>
      <c r="C973" s="1"/>
      <c r="D973" s="1"/>
      <c r="E973" s="1"/>
      <c r="F973" s="1"/>
      <c r="G973" s="1"/>
      <c r="H973" s="1"/>
      <c r="I973" s="1"/>
      <c r="J973" s="1"/>
    </row>
    <row r="974" ht="15.75" customHeight="1">
      <c r="A974" s="1"/>
      <c r="B974" s="1"/>
      <c r="C974" s="1"/>
      <c r="D974" s="1"/>
      <c r="E974" s="1"/>
      <c r="F974" s="1"/>
      <c r="G974" s="1"/>
      <c r="H974" s="1"/>
      <c r="I974" s="1"/>
      <c r="J974" s="1"/>
    </row>
    <row r="975" ht="15.75" customHeight="1">
      <c r="A975" s="1"/>
      <c r="B975" s="1"/>
      <c r="C975" s="1"/>
      <c r="D975" s="1"/>
      <c r="E975" s="1"/>
      <c r="F975" s="1"/>
      <c r="G975" s="1"/>
      <c r="H975" s="1"/>
      <c r="I975" s="1"/>
      <c r="J975" s="1"/>
    </row>
    <row r="976" ht="15.75" customHeight="1">
      <c r="A976" s="1"/>
      <c r="B976" s="1"/>
      <c r="C976" s="1"/>
      <c r="D976" s="1"/>
      <c r="E976" s="1"/>
      <c r="F976" s="1"/>
      <c r="G976" s="1"/>
      <c r="H976" s="1"/>
      <c r="I976" s="1"/>
      <c r="J976" s="1"/>
    </row>
    <row r="977" ht="15.75" customHeight="1">
      <c r="A977" s="1"/>
      <c r="B977" s="1"/>
      <c r="C977" s="1"/>
      <c r="D977" s="1"/>
      <c r="E977" s="1"/>
      <c r="F977" s="1"/>
      <c r="G977" s="1"/>
      <c r="H977" s="1"/>
      <c r="I977" s="1"/>
      <c r="J977" s="1"/>
    </row>
    <row r="978" ht="15.75" customHeight="1">
      <c r="A978" s="1"/>
      <c r="B978" s="1"/>
      <c r="C978" s="1"/>
      <c r="D978" s="1"/>
      <c r="E978" s="1"/>
      <c r="F978" s="1"/>
      <c r="G978" s="1"/>
      <c r="H978" s="1"/>
      <c r="I978" s="1"/>
      <c r="J978" s="1"/>
    </row>
    <row r="979" ht="15.75" customHeight="1">
      <c r="A979" s="1"/>
      <c r="B979" s="1"/>
      <c r="C979" s="1"/>
      <c r="D979" s="1"/>
      <c r="E979" s="1"/>
      <c r="F979" s="1"/>
      <c r="G979" s="1"/>
      <c r="H979" s="1"/>
      <c r="I979" s="1"/>
      <c r="J979" s="1"/>
    </row>
    <row r="980" ht="15.75" customHeight="1">
      <c r="A980" s="1"/>
      <c r="B980" s="1"/>
      <c r="C980" s="1"/>
      <c r="D980" s="1"/>
      <c r="E980" s="1"/>
      <c r="F980" s="1"/>
      <c r="G980" s="1"/>
      <c r="H980" s="1"/>
      <c r="I980" s="1"/>
      <c r="J980" s="1"/>
    </row>
    <row r="981" ht="15.75" customHeight="1">
      <c r="A981" s="1"/>
      <c r="B981" s="1"/>
      <c r="C981" s="1"/>
      <c r="D981" s="1"/>
      <c r="E981" s="1"/>
      <c r="F981" s="1"/>
      <c r="G981" s="1"/>
      <c r="H981" s="1"/>
      <c r="I981" s="1"/>
      <c r="J981" s="1"/>
    </row>
    <row r="982" ht="15.75" customHeight="1">
      <c r="A982" s="1"/>
      <c r="B982" s="1"/>
      <c r="C982" s="1"/>
      <c r="D982" s="1"/>
      <c r="E982" s="1"/>
      <c r="F982" s="1"/>
      <c r="G982" s="1"/>
      <c r="H982" s="1"/>
      <c r="I982" s="1"/>
      <c r="J982" s="1"/>
    </row>
    <row r="983" ht="15.75" customHeight="1">
      <c r="A983" s="1"/>
      <c r="B983" s="1"/>
      <c r="C983" s="1"/>
      <c r="D983" s="1"/>
      <c r="E983" s="1"/>
      <c r="F983" s="1"/>
      <c r="G983" s="1"/>
      <c r="H983" s="1"/>
      <c r="I983" s="1"/>
      <c r="J983" s="1"/>
    </row>
    <row r="984" ht="15.75" customHeight="1">
      <c r="A984" s="1"/>
      <c r="B984" s="1"/>
      <c r="C984" s="1"/>
      <c r="D984" s="1"/>
      <c r="E984" s="1"/>
      <c r="F984" s="1"/>
      <c r="G984" s="1"/>
      <c r="H984" s="1"/>
      <c r="I984" s="1"/>
      <c r="J984" s="1"/>
    </row>
    <row r="985" ht="15.75" customHeight="1">
      <c r="A985" s="1"/>
      <c r="B985" s="1"/>
      <c r="C985" s="1"/>
      <c r="D985" s="1"/>
      <c r="E985" s="1"/>
      <c r="F985" s="1"/>
      <c r="G985" s="1"/>
      <c r="H985" s="1"/>
      <c r="I985" s="1"/>
      <c r="J985" s="1"/>
    </row>
    <row r="986" ht="15.75" customHeight="1">
      <c r="A986" s="1"/>
      <c r="B986" s="1"/>
      <c r="C986" s="1"/>
      <c r="D986" s="1"/>
      <c r="E986" s="1"/>
      <c r="F986" s="1"/>
      <c r="G986" s="1"/>
      <c r="H986" s="1"/>
      <c r="I986" s="1"/>
      <c r="J986" s="1"/>
    </row>
    <row r="987" ht="15.75" customHeight="1">
      <c r="A987" s="1"/>
      <c r="B987" s="1"/>
      <c r="C987" s="1"/>
      <c r="D987" s="1"/>
      <c r="E987" s="1"/>
      <c r="F987" s="1"/>
      <c r="G987" s="1"/>
      <c r="H987" s="1"/>
      <c r="I987" s="1"/>
      <c r="J987" s="1"/>
    </row>
    <row r="988" ht="15.75" customHeight="1">
      <c r="A988" s="1"/>
      <c r="B988" s="1"/>
      <c r="C988" s="1"/>
      <c r="D988" s="1"/>
      <c r="E988" s="1"/>
      <c r="F988" s="1"/>
      <c r="G988" s="1"/>
      <c r="H988" s="1"/>
      <c r="I988" s="1"/>
      <c r="J988" s="1"/>
    </row>
    <row r="989" ht="15.75" customHeight="1">
      <c r="A989" s="1"/>
      <c r="B989" s="1"/>
      <c r="C989" s="1"/>
      <c r="D989" s="1"/>
      <c r="E989" s="1"/>
      <c r="F989" s="1"/>
      <c r="G989" s="1"/>
      <c r="H989" s="1"/>
      <c r="I989" s="1"/>
      <c r="J989" s="1"/>
    </row>
    <row r="990" ht="15.75" customHeight="1">
      <c r="A990" s="1"/>
      <c r="B990" s="1"/>
      <c r="C990" s="1"/>
      <c r="D990" s="1"/>
      <c r="E990" s="1"/>
      <c r="F990" s="1"/>
      <c r="G990" s="1"/>
      <c r="H990" s="1"/>
      <c r="I990" s="1"/>
      <c r="J990" s="1"/>
    </row>
    <row r="991" ht="15.75" customHeight="1">
      <c r="A991" s="1"/>
      <c r="B991" s="1"/>
      <c r="C991" s="1"/>
      <c r="D991" s="1"/>
      <c r="E991" s="1"/>
      <c r="F991" s="1"/>
      <c r="G991" s="1"/>
      <c r="H991" s="1"/>
      <c r="I991" s="1"/>
      <c r="J991" s="1"/>
    </row>
    <row r="992" ht="15.75" customHeight="1">
      <c r="A992" s="1"/>
      <c r="B992" s="1"/>
      <c r="C992" s="1"/>
      <c r="D992" s="1"/>
      <c r="E992" s="1"/>
      <c r="F992" s="1"/>
      <c r="G992" s="1"/>
      <c r="H992" s="1"/>
      <c r="I992" s="1"/>
      <c r="J992" s="1"/>
    </row>
    <row r="993" ht="15.75" customHeight="1">
      <c r="A993" s="1"/>
      <c r="B993" s="1"/>
      <c r="C993" s="1"/>
      <c r="D993" s="1"/>
      <c r="E993" s="1"/>
      <c r="F993" s="1"/>
      <c r="G993" s="1"/>
      <c r="H993" s="1"/>
      <c r="I993" s="1"/>
      <c r="J993" s="1"/>
    </row>
    <row r="994" ht="15.75" customHeight="1">
      <c r="A994" s="1"/>
      <c r="B994" s="1"/>
      <c r="C994" s="1"/>
      <c r="D994" s="1"/>
      <c r="E994" s="1"/>
      <c r="F994" s="1"/>
      <c r="G994" s="1"/>
      <c r="H994" s="1"/>
      <c r="I994" s="1"/>
      <c r="J994" s="1"/>
    </row>
    <row r="995" ht="15.75" customHeight="1">
      <c r="A995" s="1"/>
      <c r="B995" s="1"/>
      <c r="C995" s="1"/>
      <c r="D995" s="1"/>
      <c r="E995" s="1"/>
      <c r="F995" s="1"/>
      <c r="G995" s="1"/>
      <c r="H995" s="1"/>
      <c r="I995" s="1"/>
      <c r="J995" s="1"/>
    </row>
    <row r="996" ht="15.75" customHeight="1">
      <c r="A996" s="1"/>
      <c r="B996" s="1"/>
      <c r="C996" s="1"/>
      <c r="D996" s="1"/>
      <c r="E996" s="1"/>
      <c r="F996" s="1"/>
      <c r="G996" s="1"/>
      <c r="H996" s="1"/>
      <c r="I996" s="1"/>
      <c r="J996" s="1"/>
    </row>
    <row r="997" ht="15.75" customHeight="1">
      <c r="A997" s="1"/>
      <c r="B997" s="1"/>
      <c r="C997" s="1"/>
      <c r="D997" s="1"/>
      <c r="E997" s="1"/>
      <c r="F997" s="1"/>
      <c r="G997" s="1"/>
      <c r="H997" s="1"/>
      <c r="I997" s="1"/>
      <c r="J997" s="1"/>
    </row>
    <row r="998" ht="15.75" customHeight="1">
      <c r="A998" s="1"/>
      <c r="B998" s="1"/>
      <c r="C998" s="1"/>
      <c r="D998" s="1"/>
      <c r="E998" s="1"/>
      <c r="F998" s="1"/>
      <c r="G998" s="1"/>
      <c r="H998" s="1"/>
      <c r="I998" s="1"/>
      <c r="J998" s="1"/>
    </row>
    <row r="999" ht="15.75" customHeight="1">
      <c r="A999" s="1"/>
      <c r="B999" s="1"/>
      <c r="C999" s="1"/>
      <c r="D999" s="1"/>
      <c r="E999" s="1"/>
      <c r="F999" s="1"/>
      <c r="G999" s="1"/>
      <c r="H999" s="1"/>
      <c r="I999" s="1"/>
      <c r="J999" s="1"/>
    </row>
    <row r="1000" ht="15.75" customHeight="1">
      <c r="A1000" s="1"/>
      <c r="B1000" s="1"/>
      <c r="C1000" s="1"/>
      <c r="D1000" s="1"/>
      <c r="E1000" s="1"/>
      <c r="F1000" s="1"/>
      <c r="G1000" s="1"/>
      <c r="H1000" s="1"/>
      <c r="I1000" s="1"/>
      <c r="J1000" s="1"/>
    </row>
  </sheetData>
  <mergeCells count="7">
    <mergeCell ref="B3:H3"/>
    <mergeCell ref="B89:H89"/>
    <mergeCell ref="B113:H113"/>
    <mergeCell ref="B114:H114"/>
    <mergeCell ref="B115:H115"/>
    <mergeCell ref="B116:H116"/>
    <mergeCell ref="B117:H117"/>
  </mergeCells>
  <conditionalFormatting sqref="E60:E76">
    <cfRule type="cellIs" dxfId="0" priority="1" operator="greaterThan">
      <formula>0</formula>
    </cfRule>
  </conditionalFormatting>
  <conditionalFormatting sqref="C100:C110">
    <cfRule type="expression" dxfId="1" priority="2">
      <formula>C89="OK"</formula>
    </cfRule>
  </conditionalFormatting>
  <conditionalFormatting sqref="C100:C110">
    <cfRule type="expression" dxfId="2" priority="3">
      <formula>C89="MISMATCH"</formula>
    </cfRule>
  </conditionalFormatting>
  <printOptions/>
  <pageMargins bottom="1.0" footer="0.0" header="0.0" left="0.75" right="0.75" top="1.0"/>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2A44"/>
    <pageSetUpPr fitToPage="1"/>
  </sheetPr>
  <sheetViews>
    <sheetView showGridLines="0"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4.43" defaultRowHeight="15.0"/>
  <cols>
    <col customWidth="1" min="1" max="1" width="5.0"/>
    <col customWidth="1" min="2" max="2" width="46.86"/>
    <col customWidth="1" min="3" max="3" width="20.0"/>
    <col customWidth="1" min="4" max="4" width="26.0"/>
    <col customWidth="1" min="5" max="5" width="14.0"/>
    <col customWidth="1" min="6" max="6" width="20.0"/>
    <col customWidth="1" min="7" max="7" width="26.0"/>
    <col customWidth="1" min="8" max="8" width="28.0"/>
    <col customWidth="1" min="9" max="9" width="26.0"/>
    <col customWidth="1" min="10" max="10" width="22.0"/>
    <col customWidth="1" min="11" max="11" width="24.0"/>
    <col customWidth="1" min="12" max="12" width="50.0"/>
    <col customWidth="1" min="13" max="13" width="24.0"/>
    <col customWidth="1" min="14" max="14" width="20.0"/>
    <col customWidth="1" min="15" max="15" width="13.0"/>
    <col customWidth="1" min="16" max="17" width="22.0"/>
    <col customWidth="1" min="18" max="18" width="10.0"/>
    <col customWidth="1" min="19" max="19" width="46.0"/>
    <col customWidth="1" min="20" max="20" width="34.0"/>
    <col customWidth="1" min="21" max="21" width="30.0"/>
    <col customWidth="1" min="22" max="23" width="22.0"/>
    <col customWidth="1" min="24" max="24" width="40.0"/>
    <col customWidth="1" min="25" max="25" width="34.0"/>
    <col customWidth="1" min="26" max="27" width="8.0"/>
    <col customWidth="1" min="28" max="28" width="16.0"/>
    <col customWidth="1" min="29" max="31" width="6.0"/>
    <col customWidth="1" min="32" max="32" width="11.0"/>
    <col customWidth="1" min="33" max="33" width="30.0"/>
    <col customWidth="1" min="34" max="34" width="9.0"/>
    <col customWidth="1" min="35" max="35" width="15.0"/>
    <col customWidth="1" min="36" max="36" width="32.0"/>
    <col customWidth="1" min="37" max="37" width="16.0"/>
    <col customWidth="1" min="38" max="38" width="18.0"/>
    <col customWidth="1" min="39" max="39" width="26.0"/>
    <col customWidth="1" min="40" max="40" width="66.0"/>
  </cols>
  <sheetData>
    <row r="1" ht="33.75" customHeight="1">
      <c r="A1" s="4" t="s">
        <v>1</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7"/>
    </row>
    <row r="2" ht="30.0" customHeight="1">
      <c r="A2" s="14" t="s">
        <v>11</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7"/>
    </row>
    <row r="3" ht="30.0" customHeight="1">
      <c r="A3" s="18"/>
      <c r="B3" s="24" t="s">
        <v>40</v>
      </c>
      <c r="C3" s="7"/>
      <c r="D3" s="25" t="s">
        <v>60</v>
      </c>
      <c r="E3" s="7"/>
      <c r="F3" s="27" t="s">
        <v>69</v>
      </c>
      <c r="G3" s="7"/>
      <c r="H3" s="31" t="s">
        <v>70</v>
      </c>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7"/>
    </row>
    <row r="4" ht="13.5" customHeight="1">
      <c r="A4" s="33" t="s">
        <v>73</v>
      </c>
      <c r="B4" s="1"/>
      <c r="C4" s="1"/>
      <c r="D4" s="1"/>
      <c r="E4" s="1"/>
      <c r="F4" s="1"/>
      <c r="G4" s="1"/>
      <c r="H4" s="1"/>
      <c r="I4" s="1"/>
      <c r="J4" s="1"/>
      <c r="K4" s="1"/>
      <c r="L4" s="1"/>
      <c r="M4" s="1"/>
      <c r="N4" s="1"/>
      <c r="O4" s="1"/>
      <c r="P4" s="1"/>
      <c r="Q4" s="33" t="s">
        <v>78</v>
      </c>
      <c r="R4" s="1"/>
      <c r="S4" s="1"/>
      <c r="T4" s="1"/>
      <c r="U4" s="1"/>
      <c r="V4" s="1"/>
      <c r="W4" s="1"/>
      <c r="X4" s="1"/>
      <c r="Y4" s="37" t="s">
        <v>80</v>
      </c>
      <c r="Z4" s="1"/>
      <c r="AA4" s="1"/>
      <c r="AB4" s="1"/>
      <c r="AC4" s="1"/>
      <c r="AD4" s="1"/>
      <c r="AE4" s="1"/>
      <c r="AF4" s="1"/>
      <c r="AG4" s="1"/>
      <c r="AH4" s="1"/>
      <c r="AI4" s="1"/>
      <c r="AJ4" s="1"/>
      <c r="AK4" s="1"/>
      <c r="AL4" s="37" t="s">
        <v>83</v>
      </c>
    </row>
    <row r="5" ht="33.75" customHeight="1">
      <c r="A5" s="15" t="s">
        <v>35</v>
      </c>
      <c r="B5" s="15" t="s">
        <v>90</v>
      </c>
      <c r="C5" s="15" t="s">
        <v>92</v>
      </c>
      <c r="D5" s="15" t="s">
        <v>94</v>
      </c>
      <c r="E5" s="15" t="s">
        <v>96</v>
      </c>
      <c r="F5" s="15" t="s">
        <v>98</v>
      </c>
      <c r="G5" s="15" t="s">
        <v>99</v>
      </c>
      <c r="H5" s="15" t="s">
        <v>101</v>
      </c>
      <c r="I5" s="15" t="s">
        <v>103</v>
      </c>
      <c r="J5" s="15" t="s">
        <v>105</v>
      </c>
      <c r="K5" s="15" t="s">
        <v>106</v>
      </c>
      <c r="L5" s="15" t="s">
        <v>109</v>
      </c>
      <c r="M5" s="15" t="s">
        <v>110</v>
      </c>
      <c r="N5" s="15" t="s">
        <v>111</v>
      </c>
      <c r="O5" s="15" t="s">
        <v>112</v>
      </c>
      <c r="P5" s="15" t="s">
        <v>113</v>
      </c>
      <c r="Q5" s="15" t="s">
        <v>114</v>
      </c>
      <c r="R5" s="15" t="s">
        <v>8</v>
      </c>
      <c r="S5" s="15" t="s">
        <v>115</v>
      </c>
      <c r="T5" s="15" t="s">
        <v>116</v>
      </c>
      <c r="U5" s="15" t="s">
        <v>117</v>
      </c>
      <c r="V5" s="15" t="s">
        <v>118</v>
      </c>
      <c r="W5" s="15" t="s">
        <v>119</v>
      </c>
      <c r="X5" s="15" t="s">
        <v>120</v>
      </c>
      <c r="Y5" s="19" t="s">
        <v>16</v>
      </c>
      <c r="Z5" s="15" t="s">
        <v>122</v>
      </c>
      <c r="AA5" s="15" t="s">
        <v>124</v>
      </c>
      <c r="AB5" s="15" t="s">
        <v>125</v>
      </c>
      <c r="AC5" s="15" t="s">
        <v>127</v>
      </c>
      <c r="AD5" s="15" t="s">
        <v>128</v>
      </c>
      <c r="AE5" s="15" t="s">
        <v>123</v>
      </c>
      <c r="AF5" s="15" t="s">
        <v>129</v>
      </c>
      <c r="AG5" s="15" t="s">
        <v>130</v>
      </c>
      <c r="AH5" s="15" t="s">
        <v>131</v>
      </c>
      <c r="AI5" s="15" t="s">
        <v>61</v>
      </c>
      <c r="AJ5" s="15" t="s">
        <v>132</v>
      </c>
      <c r="AK5" s="15" t="s">
        <v>133</v>
      </c>
      <c r="AL5" s="19" t="s">
        <v>65</v>
      </c>
      <c r="AM5" s="19" t="s">
        <v>134</v>
      </c>
      <c r="AN5" s="19" t="s">
        <v>68</v>
      </c>
    </row>
    <row r="6" ht="46.5" customHeight="1">
      <c r="A6" s="42">
        <v>1.0</v>
      </c>
      <c r="B6" s="43" t="s">
        <v>142</v>
      </c>
      <c r="C6" s="45" t="s">
        <v>143</v>
      </c>
      <c r="D6" s="45" t="s">
        <v>146</v>
      </c>
      <c r="E6" s="46" t="s">
        <v>147</v>
      </c>
      <c r="F6" s="49" t="s">
        <v>149</v>
      </c>
      <c r="G6" s="45" t="s">
        <v>167</v>
      </c>
      <c r="H6" s="45" t="s">
        <v>168</v>
      </c>
      <c r="I6" s="45" t="s">
        <v>169</v>
      </c>
      <c r="J6" s="51" t="s">
        <v>97</v>
      </c>
      <c r="K6" s="53" t="s">
        <v>172</v>
      </c>
      <c r="L6" s="45" t="s">
        <v>174</v>
      </c>
      <c r="M6" s="56" t="s">
        <v>177</v>
      </c>
      <c r="N6" s="46" t="s">
        <v>180</v>
      </c>
      <c r="O6" s="59" t="s">
        <v>182</v>
      </c>
      <c r="P6" s="53" t="s">
        <v>183</v>
      </c>
      <c r="Q6" s="62" t="s">
        <v>185</v>
      </c>
      <c r="R6" s="65" t="str">
        <f t="shared" ref="R6:R83" si="1">IF(LEFT(Q6,13)="Peer-reviewed","Yes","No")</f>
        <v>Yes</v>
      </c>
      <c r="S6" s="62" t="str">
        <f t="shared" ref="S6:S83" si="2">C6&amp;". "&amp;CHAR(34)&amp;B6&amp;CHAR(34)&amp;". "&amp;D6&amp;"."</f>
        <v>Smith et al. (2018). "Undermining Privacy in the Aircraft Communications Addressing and Reporting System (ACARS)". Proceedings on Privacy Enhancing Technologies (PoPETs).</v>
      </c>
      <c r="T6" s="66" t="s">
        <v>193</v>
      </c>
      <c r="U6" s="68" t="s">
        <v>204</v>
      </c>
      <c r="V6" s="62" t="s">
        <v>205</v>
      </c>
      <c r="W6" s="62" t="s">
        <v>211</v>
      </c>
      <c r="X6" s="62" t="s">
        <v>212</v>
      </c>
      <c r="Y6" s="70" t="s">
        <v>214</v>
      </c>
      <c r="Z6" s="59" t="s">
        <v>197</v>
      </c>
      <c r="AA6" s="59" t="s">
        <v>197</v>
      </c>
      <c r="AB6" s="65" t="str">
        <f t="shared" ref="AB6:AB83" si="3">IF(OR(Z6="",AA6=""),"",IF(VALUE(MID(AA6,2,1))&gt;VALUE(MID(Z6,2,1)),"Upward (observables)",IF(VALUE(MID(AA6,2,1))&lt;VALUE(MID(Z6,2,1)),"Downward (config / keys / sync)","Within layer")))</f>
        <v>Within layer</v>
      </c>
      <c r="AC6" s="65" t="str">
        <f t="shared" ref="AC6:AC83" si="4">IF(OR(Z6="",AA6=""),"",IF(AND(MIN(VALUE(MID(Z6,2,1)),VALUE(MID(AA6,2,1)))&lt;=1,MAX(VALUE(MID(Z6,2,1)),VALUE(MID(AA6,2,1)))&gt;=2),"✓",""))</f>
        <v/>
      </c>
      <c r="AD6" s="65" t="str">
        <f t="shared" ref="AD6:AD83" si="5">IF(OR(Z6="",AA6=""),"",IF(AND(MIN(VALUE(MID(Z6,2,1)),VALUE(MID(AA6,2,1)))&lt;=2,MAX(VALUE(MID(Z6,2,1)),VALUE(MID(AA6,2,1)))&gt;=3),"✓",""))</f>
        <v/>
      </c>
      <c r="AE6" s="65" t="str">
        <f t="shared" ref="AE6:AE83" si="6">IF(OR(Z6="",AA6=""),"",IF(AND(MIN(VALUE(MID(Z6,2,1)),VALUE(MID(AA6,2,1)))&lt;=3,MAX(VALUE(MID(Z6,2,1)),VALUE(MID(AA6,2,1)))&gt;=4),"✓",""))</f>
        <v/>
      </c>
      <c r="AF6" s="65" t="s">
        <v>273</v>
      </c>
      <c r="AG6" s="80"/>
      <c r="AH6" s="65">
        <f>COUNTIF('CVE Register'!$P$6:$P$300,A6)</f>
        <v>0</v>
      </c>
      <c r="AI6" s="65" t="s">
        <v>275</v>
      </c>
      <c r="AJ6" s="68" t="s">
        <v>276</v>
      </c>
      <c r="AK6" s="65" t="s">
        <v>278</v>
      </c>
      <c r="AL6" s="70" t="s">
        <v>280</v>
      </c>
      <c r="AM6" s="68" t="s">
        <v>283</v>
      </c>
      <c r="AN6" s="81" t="s">
        <v>285</v>
      </c>
    </row>
    <row r="7" ht="46.5" customHeight="1">
      <c r="A7" s="42">
        <v>2.0</v>
      </c>
      <c r="B7" s="43" t="s">
        <v>288</v>
      </c>
      <c r="C7" s="45" t="s">
        <v>289</v>
      </c>
      <c r="D7" s="45" t="s">
        <v>291</v>
      </c>
      <c r="E7" s="46" t="s">
        <v>293</v>
      </c>
      <c r="F7" s="49" t="s">
        <v>295</v>
      </c>
      <c r="G7" s="45" t="s">
        <v>303</v>
      </c>
      <c r="H7" s="45" t="s">
        <v>304</v>
      </c>
      <c r="I7" s="45" t="s">
        <v>307</v>
      </c>
      <c r="J7" s="51" t="s">
        <v>97</v>
      </c>
      <c r="K7" s="53" t="s">
        <v>309</v>
      </c>
      <c r="L7" s="45" t="s">
        <v>311</v>
      </c>
      <c r="M7" s="56" t="s">
        <v>312</v>
      </c>
      <c r="N7" s="46" t="s">
        <v>313</v>
      </c>
      <c r="O7" s="59" t="s">
        <v>182</v>
      </c>
      <c r="P7" s="53" t="s">
        <v>314</v>
      </c>
      <c r="Q7" s="62" t="s">
        <v>185</v>
      </c>
      <c r="R7" s="65" t="str">
        <f t="shared" si="1"/>
        <v>Yes</v>
      </c>
      <c r="S7" s="62" t="str">
        <f t="shared" si="2"/>
        <v>Pavur et al. (2020). "A Tale of Sea and Sky: On the Security of Maritime VSAT Communications". IEEE Symposium on Security and Privacy (S&amp;P).</v>
      </c>
      <c r="T7" s="66" t="s">
        <v>320</v>
      </c>
      <c r="U7" s="68" t="s">
        <v>204</v>
      </c>
      <c r="V7" s="62" t="s">
        <v>205</v>
      </c>
      <c r="W7" s="62" t="s">
        <v>211</v>
      </c>
      <c r="X7" s="62" t="s">
        <v>329</v>
      </c>
      <c r="Y7" s="70" t="s">
        <v>333</v>
      </c>
      <c r="Z7" s="59" t="s">
        <v>197</v>
      </c>
      <c r="AA7" s="59" t="s">
        <v>197</v>
      </c>
      <c r="AB7" s="65" t="str">
        <f t="shared" si="3"/>
        <v>Within layer</v>
      </c>
      <c r="AC7" s="65" t="str">
        <f t="shared" si="4"/>
        <v/>
      </c>
      <c r="AD7" s="65" t="str">
        <f t="shared" si="5"/>
        <v/>
      </c>
      <c r="AE7" s="65" t="str">
        <f t="shared" si="6"/>
        <v/>
      </c>
      <c r="AF7" s="65" t="s">
        <v>273</v>
      </c>
      <c r="AG7" s="80"/>
      <c r="AH7" s="65">
        <f>COUNTIF('CVE Register'!$P$6:$P$300,A7)</f>
        <v>0</v>
      </c>
      <c r="AI7" s="65" t="s">
        <v>343</v>
      </c>
      <c r="AJ7" s="68" t="s">
        <v>344</v>
      </c>
      <c r="AK7" s="65" t="s">
        <v>278</v>
      </c>
      <c r="AL7" s="70" t="s">
        <v>225</v>
      </c>
      <c r="AM7" s="68" t="s">
        <v>345</v>
      </c>
      <c r="AN7" s="81" t="s">
        <v>346</v>
      </c>
    </row>
    <row r="8" ht="51.75" customHeight="1">
      <c r="A8" s="82">
        <v>3.0</v>
      </c>
      <c r="B8" s="83" t="s">
        <v>351</v>
      </c>
      <c r="C8" s="84" t="s">
        <v>355</v>
      </c>
      <c r="D8" s="84" t="s">
        <v>357</v>
      </c>
      <c r="E8" s="85" t="s">
        <v>360</v>
      </c>
      <c r="F8" s="86" t="s">
        <v>363</v>
      </c>
      <c r="G8" s="84" t="s">
        <v>371</v>
      </c>
      <c r="H8" s="84" t="s">
        <v>372</v>
      </c>
      <c r="I8" s="84" t="s">
        <v>373</v>
      </c>
      <c r="J8" s="87" t="s">
        <v>173</v>
      </c>
      <c r="K8" s="88" t="s">
        <v>375</v>
      </c>
      <c r="L8" s="84" t="s">
        <v>376</v>
      </c>
      <c r="M8" s="89" t="s">
        <v>377</v>
      </c>
      <c r="N8" s="85" t="s">
        <v>380</v>
      </c>
      <c r="O8" s="90" t="s">
        <v>381</v>
      </c>
      <c r="P8" s="88" t="s">
        <v>385</v>
      </c>
      <c r="Q8" s="91" t="s">
        <v>185</v>
      </c>
      <c r="R8" s="92" t="str">
        <f t="shared" si="1"/>
        <v>Yes</v>
      </c>
      <c r="S8" s="91" t="str">
        <f t="shared" si="2"/>
        <v>Schäfer, Lenders &amp; Martinovic (2013). "Experimental Analysis of Attacks on Next Generation Air Traffic Communication". Applied Cryptography and Network Security (ACNS).</v>
      </c>
      <c r="T8" s="93" t="s">
        <v>397</v>
      </c>
      <c r="U8" s="94" t="s">
        <v>204</v>
      </c>
      <c r="V8" s="91" t="s">
        <v>205</v>
      </c>
      <c r="W8" s="91" t="s">
        <v>407</v>
      </c>
      <c r="X8" s="91" t="s">
        <v>408</v>
      </c>
      <c r="Y8" s="95" t="s">
        <v>409</v>
      </c>
      <c r="Z8" s="90" t="s">
        <v>42</v>
      </c>
      <c r="AA8" s="90" t="s">
        <v>197</v>
      </c>
      <c r="AB8" s="92" t="str">
        <f t="shared" si="3"/>
        <v>Upward (observables)</v>
      </c>
      <c r="AC8" s="92" t="str">
        <f t="shared" si="4"/>
        <v>✓</v>
      </c>
      <c r="AD8" s="92" t="str">
        <f t="shared" si="5"/>
        <v/>
      </c>
      <c r="AE8" s="92" t="str">
        <f t="shared" si="6"/>
        <v/>
      </c>
      <c r="AF8" s="92" t="s">
        <v>273</v>
      </c>
      <c r="AG8" s="96"/>
      <c r="AH8" s="92">
        <f>COUNTIF('CVE Register'!$P$6:$P$300,A8)</f>
        <v>0</v>
      </c>
      <c r="AI8" s="92" t="s">
        <v>427</v>
      </c>
      <c r="AJ8" s="94" t="s">
        <v>429</v>
      </c>
      <c r="AK8" s="92" t="s">
        <v>278</v>
      </c>
      <c r="AL8" s="95" t="s">
        <v>431</v>
      </c>
      <c r="AM8" s="94" t="s">
        <v>432</v>
      </c>
      <c r="AN8" s="97" t="s">
        <v>434</v>
      </c>
    </row>
    <row r="9" ht="51.75" customHeight="1">
      <c r="A9" s="82">
        <v>4.0</v>
      </c>
      <c r="B9" s="83" t="s">
        <v>437</v>
      </c>
      <c r="C9" s="84" t="s">
        <v>438</v>
      </c>
      <c r="D9" s="84" t="s">
        <v>439</v>
      </c>
      <c r="E9" s="85" t="s">
        <v>440</v>
      </c>
      <c r="F9" s="86" t="s">
        <v>441</v>
      </c>
      <c r="G9" s="84" t="s">
        <v>451</v>
      </c>
      <c r="H9" s="84" t="s">
        <v>452</v>
      </c>
      <c r="I9" s="84" t="s">
        <v>453</v>
      </c>
      <c r="J9" s="87" t="s">
        <v>173</v>
      </c>
      <c r="K9" s="88" t="s">
        <v>455</v>
      </c>
      <c r="L9" s="84" t="s">
        <v>456</v>
      </c>
      <c r="M9" s="89" t="s">
        <v>457</v>
      </c>
      <c r="N9" s="85" t="s">
        <v>458</v>
      </c>
      <c r="O9" s="90" t="s">
        <v>381</v>
      </c>
      <c r="P9" s="88" t="s">
        <v>460</v>
      </c>
      <c r="Q9" s="91" t="s">
        <v>185</v>
      </c>
      <c r="R9" s="92" t="str">
        <f t="shared" si="1"/>
        <v>Yes</v>
      </c>
      <c r="S9" s="91" t="str">
        <f t="shared" si="2"/>
        <v>Humphreys et al. (2008). "Assessing the Spoofing Threat: Development of a Portable GPS Civilian Spoofer". ION GNSS.</v>
      </c>
      <c r="T9" s="93" t="s">
        <v>463</v>
      </c>
      <c r="U9" s="94" t="s">
        <v>466</v>
      </c>
      <c r="V9" s="91" t="s">
        <v>205</v>
      </c>
      <c r="W9" s="91" t="s">
        <v>407</v>
      </c>
      <c r="X9" s="91" t="s">
        <v>467</v>
      </c>
      <c r="Y9" s="95" t="s">
        <v>386</v>
      </c>
      <c r="Z9" s="90" t="s">
        <v>42</v>
      </c>
      <c r="AA9" s="90" t="s">
        <v>42</v>
      </c>
      <c r="AB9" s="92" t="str">
        <f t="shared" si="3"/>
        <v>Within layer</v>
      </c>
      <c r="AC9" s="92" t="str">
        <f t="shared" si="4"/>
        <v/>
      </c>
      <c r="AD9" s="92" t="str">
        <f t="shared" si="5"/>
        <v/>
      </c>
      <c r="AE9" s="92" t="str">
        <f t="shared" si="6"/>
        <v/>
      </c>
      <c r="AF9" s="92" t="s">
        <v>470</v>
      </c>
      <c r="AG9" s="96"/>
      <c r="AH9" s="92">
        <f>COUNTIF('CVE Register'!$P$6:$P$300,A9)</f>
        <v>0</v>
      </c>
      <c r="AI9" s="92" t="s">
        <v>473</v>
      </c>
      <c r="AJ9" s="94" t="s">
        <v>474</v>
      </c>
      <c r="AK9" s="92" t="s">
        <v>278</v>
      </c>
      <c r="AL9" s="95" t="s">
        <v>476</v>
      </c>
      <c r="AM9" s="94" t="s">
        <v>477</v>
      </c>
      <c r="AN9" s="97" t="s">
        <v>478</v>
      </c>
    </row>
    <row r="10" ht="51.75" customHeight="1">
      <c r="A10" s="82">
        <v>5.0</v>
      </c>
      <c r="B10" s="83" t="s">
        <v>480</v>
      </c>
      <c r="C10" s="84" t="s">
        <v>482</v>
      </c>
      <c r="D10" s="84" t="s">
        <v>483</v>
      </c>
      <c r="E10" s="85" t="s">
        <v>293</v>
      </c>
      <c r="F10" s="86" t="s">
        <v>484</v>
      </c>
      <c r="G10" s="84" t="s">
        <v>486</v>
      </c>
      <c r="H10" s="84" t="s">
        <v>487</v>
      </c>
      <c r="I10" s="84" t="s">
        <v>488</v>
      </c>
      <c r="J10" s="87" t="s">
        <v>173</v>
      </c>
      <c r="K10" s="88" t="s">
        <v>491</v>
      </c>
      <c r="L10" s="84" t="s">
        <v>493</v>
      </c>
      <c r="M10" s="89" t="s">
        <v>495</v>
      </c>
      <c r="N10" s="85" t="s">
        <v>380</v>
      </c>
      <c r="O10" s="90" t="s">
        <v>381</v>
      </c>
      <c r="P10" s="88" t="s">
        <v>497</v>
      </c>
      <c r="Q10" s="91" t="s">
        <v>185</v>
      </c>
      <c r="R10" s="92" t="str">
        <f t="shared" si="1"/>
        <v>Yes</v>
      </c>
      <c r="S10" s="91" t="str">
        <f t="shared" si="2"/>
        <v>Moser et al. (2016). "Investigation of Multi-device Location Spoofing Attacks on Air Traffic Control and Possible Countermeasures". ACM MobiCom.</v>
      </c>
      <c r="T10" s="93" t="s">
        <v>501</v>
      </c>
      <c r="U10" s="94" t="s">
        <v>204</v>
      </c>
      <c r="V10" s="91" t="s">
        <v>504</v>
      </c>
      <c r="W10" s="91" t="s">
        <v>407</v>
      </c>
      <c r="X10" s="91" t="s">
        <v>505</v>
      </c>
      <c r="Y10" s="95" t="s">
        <v>409</v>
      </c>
      <c r="Z10" s="90" t="s">
        <v>42</v>
      </c>
      <c r="AA10" s="90" t="s">
        <v>249</v>
      </c>
      <c r="AB10" s="92" t="str">
        <f t="shared" si="3"/>
        <v>Upward (observables)</v>
      </c>
      <c r="AC10" s="92" t="str">
        <f t="shared" si="4"/>
        <v>✓</v>
      </c>
      <c r="AD10" s="92" t="str">
        <f t="shared" si="5"/>
        <v>✓</v>
      </c>
      <c r="AE10" s="92" t="str">
        <f t="shared" si="6"/>
        <v/>
      </c>
      <c r="AF10" s="92" t="s">
        <v>470</v>
      </c>
      <c r="AG10" s="96"/>
      <c r="AH10" s="92">
        <f>COUNTIF('CVE Register'!$P$6:$P$300,A10)</f>
        <v>0</v>
      </c>
      <c r="AI10" s="92" t="s">
        <v>510</v>
      </c>
      <c r="AJ10" s="94" t="s">
        <v>511</v>
      </c>
      <c r="AK10" s="92" t="s">
        <v>278</v>
      </c>
      <c r="AL10" s="95" t="s">
        <v>512</v>
      </c>
      <c r="AM10" s="94" t="s">
        <v>513</v>
      </c>
      <c r="AN10" s="97" t="s">
        <v>514</v>
      </c>
    </row>
    <row r="11" ht="51.75" customHeight="1">
      <c r="A11" s="82">
        <v>6.0</v>
      </c>
      <c r="B11" s="83" t="s">
        <v>515</v>
      </c>
      <c r="C11" s="84" t="s">
        <v>516</v>
      </c>
      <c r="D11" s="84" t="s">
        <v>291</v>
      </c>
      <c r="E11" s="85" t="s">
        <v>293</v>
      </c>
      <c r="F11" s="86" t="s">
        <v>295</v>
      </c>
      <c r="G11" s="84" t="s">
        <v>517</v>
      </c>
      <c r="H11" s="84" t="s">
        <v>518</v>
      </c>
      <c r="I11" s="84" t="s">
        <v>519</v>
      </c>
      <c r="J11" s="87" t="s">
        <v>173</v>
      </c>
      <c r="K11" s="88" t="s">
        <v>521</v>
      </c>
      <c r="L11" s="84" t="s">
        <v>522</v>
      </c>
      <c r="M11" s="89" t="s">
        <v>523</v>
      </c>
      <c r="N11" s="85" t="s">
        <v>380</v>
      </c>
      <c r="O11" s="90" t="s">
        <v>524</v>
      </c>
      <c r="P11" s="88" t="s">
        <v>525</v>
      </c>
      <c r="Q11" s="91" t="s">
        <v>185</v>
      </c>
      <c r="R11" s="92" t="str">
        <f t="shared" si="1"/>
        <v>Yes</v>
      </c>
      <c r="S11" s="91" t="str">
        <f t="shared" si="2"/>
        <v>Schäfer, Lenders &amp; Schmitt (2015). "Secure Track Verification". IEEE Symposium on Security and Privacy (S&amp;P).</v>
      </c>
      <c r="T11" s="93" t="s">
        <v>526</v>
      </c>
      <c r="U11" s="94" t="s">
        <v>204</v>
      </c>
      <c r="V11" s="91" t="s">
        <v>205</v>
      </c>
      <c r="W11" s="91" t="s">
        <v>407</v>
      </c>
      <c r="X11" s="91" t="s">
        <v>538</v>
      </c>
      <c r="Y11" s="95" t="s">
        <v>409</v>
      </c>
      <c r="Z11" s="90" t="s">
        <v>42</v>
      </c>
      <c r="AA11" s="90" t="s">
        <v>249</v>
      </c>
      <c r="AB11" s="92" t="str">
        <f t="shared" si="3"/>
        <v>Upward (observables)</v>
      </c>
      <c r="AC11" s="92" t="str">
        <f t="shared" si="4"/>
        <v>✓</v>
      </c>
      <c r="AD11" s="92" t="str">
        <f t="shared" si="5"/>
        <v>✓</v>
      </c>
      <c r="AE11" s="92" t="str">
        <f t="shared" si="6"/>
        <v/>
      </c>
      <c r="AF11" s="92" t="s">
        <v>470</v>
      </c>
      <c r="AG11" s="96"/>
      <c r="AH11" s="92">
        <f>COUNTIF('CVE Register'!$P$6:$P$300,A11)</f>
        <v>0</v>
      </c>
      <c r="AI11" s="92" t="s">
        <v>541</v>
      </c>
      <c r="AJ11" s="94"/>
      <c r="AK11" s="92" t="s">
        <v>278</v>
      </c>
      <c r="AL11" s="95" t="s">
        <v>542</v>
      </c>
      <c r="AM11" s="94" t="s">
        <v>543</v>
      </c>
      <c r="AN11" s="97" t="s">
        <v>544</v>
      </c>
    </row>
    <row r="12" ht="51.75" customHeight="1">
      <c r="A12" s="82">
        <v>7.0</v>
      </c>
      <c r="B12" s="83" t="s">
        <v>545</v>
      </c>
      <c r="C12" s="84" t="s">
        <v>546</v>
      </c>
      <c r="D12" s="84" t="s">
        <v>547</v>
      </c>
      <c r="E12" s="85" t="s">
        <v>360</v>
      </c>
      <c r="F12" s="86" t="s">
        <v>548</v>
      </c>
      <c r="G12" s="84" t="s">
        <v>549</v>
      </c>
      <c r="H12" s="84" t="s">
        <v>551</v>
      </c>
      <c r="I12" s="84" t="s">
        <v>552</v>
      </c>
      <c r="J12" s="87" t="s">
        <v>173</v>
      </c>
      <c r="K12" s="88" t="s">
        <v>553</v>
      </c>
      <c r="L12" s="84" t="s">
        <v>554</v>
      </c>
      <c r="M12" s="89" t="s">
        <v>555</v>
      </c>
      <c r="N12" s="85" t="s">
        <v>380</v>
      </c>
      <c r="O12" s="90" t="s">
        <v>524</v>
      </c>
      <c r="P12" s="88" t="s">
        <v>556</v>
      </c>
      <c r="Q12" s="91" t="s">
        <v>185</v>
      </c>
      <c r="R12" s="92" t="str">
        <f t="shared" si="1"/>
        <v>Yes</v>
      </c>
      <c r="S12" s="91" t="str">
        <f t="shared" si="2"/>
        <v>Strohmeier, Lenders &amp; Martinovic (2015). "Intrusion Detection for Airborne Communication Using PHY-Layer Information". DIMVA (LNCS).</v>
      </c>
      <c r="T12" s="93" t="s">
        <v>558</v>
      </c>
      <c r="U12" s="94" t="s">
        <v>204</v>
      </c>
      <c r="V12" s="91" t="s">
        <v>205</v>
      </c>
      <c r="W12" s="91" t="s">
        <v>407</v>
      </c>
      <c r="X12" s="91" t="s">
        <v>561</v>
      </c>
      <c r="Y12" s="95" t="s">
        <v>409</v>
      </c>
      <c r="Z12" s="90" t="s">
        <v>42</v>
      </c>
      <c r="AA12" s="90" t="s">
        <v>249</v>
      </c>
      <c r="AB12" s="92" t="str">
        <f t="shared" si="3"/>
        <v>Upward (observables)</v>
      </c>
      <c r="AC12" s="92" t="str">
        <f t="shared" si="4"/>
        <v>✓</v>
      </c>
      <c r="AD12" s="92" t="str">
        <f t="shared" si="5"/>
        <v>✓</v>
      </c>
      <c r="AE12" s="92" t="str">
        <f t="shared" si="6"/>
        <v/>
      </c>
      <c r="AF12" s="92" t="s">
        <v>273</v>
      </c>
      <c r="AG12" s="96"/>
      <c r="AH12" s="92">
        <f>COUNTIF('CVE Register'!$P$6:$P$300,A12)</f>
        <v>0</v>
      </c>
      <c r="AI12" s="92" t="s">
        <v>566</v>
      </c>
      <c r="AJ12" s="94"/>
      <c r="AK12" s="92" t="s">
        <v>278</v>
      </c>
      <c r="AL12" s="95" t="s">
        <v>34</v>
      </c>
      <c r="AM12" s="94" t="s">
        <v>567</v>
      </c>
      <c r="AN12" s="97" t="s">
        <v>84</v>
      </c>
    </row>
    <row r="13" ht="51.75" customHeight="1">
      <c r="A13" s="82">
        <v>8.0</v>
      </c>
      <c r="B13" s="83" t="s">
        <v>568</v>
      </c>
      <c r="C13" s="84" t="s">
        <v>569</v>
      </c>
      <c r="D13" s="84" t="s">
        <v>570</v>
      </c>
      <c r="E13" s="85" t="s">
        <v>440</v>
      </c>
      <c r="F13" s="86" t="s">
        <v>571</v>
      </c>
      <c r="G13" s="84" t="s">
        <v>572</v>
      </c>
      <c r="H13" s="84" t="s">
        <v>573</v>
      </c>
      <c r="I13" s="84" t="s">
        <v>574</v>
      </c>
      <c r="J13" s="87" t="s">
        <v>173</v>
      </c>
      <c r="K13" s="88" t="s">
        <v>575</v>
      </c>
      <c r="L13" s="84" t="s">
        <v>576</v>
      </c>
      <c r="M13" s="89" t="s">
        <v>577</v>
      </c>
      <c r="N13" s="85" t="s">
        <v>380</v>
      </c>
      <c r="O13" s="90" t="s">
        <v>524</v>
      </c>
      <c r="P13" s="88" t="s">
        <v>579</v>
      </c>
      <c r="Q13" s="91" t="s">
        <v>185</v>
      </c>
      <c r="R13" s="92" t="str">
        <f t="shared" si="1"/>
        <v>Yes</v>
      </c>
      <c r="S13" s="91" t="str">
        <f t="shared" si="2"/>
        <v>Ghose &amp; Lazos (2015). "Verifying ADS-B Navigation Information Through Doppler Shift Measurements". IEEE/AIAA Digital Avionics Systems Conference (DASC).</v>
      </c>
      <c r="T13" s="93" t="s">
        <v>580</v>
      </c>
      <c r="U13" s="94" t="s">
        <v>204</v>
      </c>
      <c r="V13" s="91" t="s">
        <v>205</v>
      </c>
      <c r="W13" s="91" t="s">
        <v>407</v>
      </c>
      <c r="X13" s="91" t="s">
        <v>582</v>
      </c>
      <c r="Y13" s="95" t="s">
        <v>409</v>
      </c>
      <c r="Z13" s="90" t="s">
        <v>42</v>
      </c>
      <c r="AA13" s="90" t="s">
        <v>249</v>
      </c>
      <c r="AB13" s="92" t="str">
        <f t="shared" si="3"/>
        <v>Upward (observables)</v>
      </c>
      <c r="AC13" s="92" t="str">
        <f t="shared" si="4"/>
        <v>✓</v>
      </c>
      <c r="AD13" s="92" t="str">
        <f t="shared" si="5"/>
        <v>✓</v>
      </c>
      <c r="AE13" s="92" t="str">
        <f t="shared" si="6"/>
        <v/>
      </c>
      <c r="AF13" s="92" t="s">
        <v>273</v>
      </c>
      <c r="AG13" s="96"/>
      <c r="AH13" s="92">
        <f>COUNTIF('CVE Register'!$P$6:$P$300,A13)</f>
        <v>0</v>
      </c>
      <c r="AI13" s="92" t="s">
        <v>586</v>
      </c>
      <c r="AJ13" s="94" t="s">
        <v>587</v>
      </c>
      <c r="AK13" s="92" t="s">
        <v>278</v>
      </c>
      <c r="AL13" s="95" t="s">
        <v>151</v>
      </c>
      <c r="AM13" s="94" t="s">
        <v>588</v>
      </c>
      <c r="AN13" s="97" t="s">
        <v>156</v>
      </c>
    </row>
    <row r="14" ht="51.75" customHeight="1">
      <c r="A14" s="82">
        <v>9.0</v>
      </c>
      <c r="B14" s="83" t="s">
        <v>589</v>
      </c>
      <c r="C14" s="84" t="s">
        <v>590</v>
      </c>
      <c r="D14" s="84" t="s">
        <v>591</v>
      </c>
      <c r="E14" s="85" t="s">
        <v>360</v>
      </c>
      <c r="F14" s="86" t="s">
        <v>592</v>
      </c>
      <c r="G14" s="84" t="s">
        <v>595</v>
      </c>
      <c r="H14" s="84" t="s">
        <v>596</v>
      </c>
      <c r="I14" s="84" t="s">
        <v>574</v>
      </c>
      <c r="J14" s="87" t="s">
        <v>173</v>
      </c>
      <c r="K14" s="88" t="s">
        <v>598</v>
      </c>
      <c r="L14" s="84" t="s">
        <v>599</v>
      </c>
      <c r="M14" s="89" t="s">
        <v>600</v>
      </c>
      <c r="N14" s="85" t="s">
        <v>380</v>
      </c>
      <c r="O14" s="90" t="s">
        <v>524</v>
      </c>
      <c r="P14" s="88" t="s">
        <v>602</v>
      </c>
      <c r="Q14" s="91" t="s">
        <v>185</v>
      </c>
      <c r="R14" s="92" t="str">
        <f t="shared" si="1"/>
        <v>Yes</v>
      </c>
      <c r="S14" s="91" t="str">
        <f t="shared" si="2"/>
        <v>Schäfer et al. (2016). "Secure Motion Verification Using the Doppler Effect". ACM WiSec.</v>
      </c>
      <c r="T14" s="93" t="s">
        <v>603</v>
      </c>
      <c r="U14" s="94" t="s">
        <v>204</v>
      </c>
      <c r="V14" s="91" t="s">
        <v>205</v>
      </c>
      <c r="W14" s="91" t="s">
        <v>407</v>
      </c>
      <c r="X14" s="91" t="s">
        <v>605</v>
      </c>
      <c r="Y14" s="95" t="s">
        <v>409</v>
      </c>
      <c r="Z14" s="90" t="s">
        <v>42</v>
      </c>
      <c r="AA14" s="90" t="s">
        <v>249</v>
      </c>
      <c r="AB14" s="92" t="str">
        <f t="shared" si="3"/>
        <v>Upward (observables)</v>
      </c>
      <c r="AC14" s="92" t="str">
        <f t="shared" si="4"/>
        <v>✓</v>
      </c>
      <c r="AD14" s="92" t="str">
        <f t="shared" si="5"/>
        <v>✓</v>
      </c>
      <c r="AE14" s="92" t="str">
        <f t="shared" si="6"/>
        <v/>
      </c>
      <c r="AF14" s="92" t="s">
        <v>273</v>
      </c>
      <c r="AG14" s="96"/>
      <c r="AH14" s="92">
        <f>COUNTIF('CVE Register'!$P$6:$P$300,A14)</f>
        <v>0</v>
      </c>
      <c r="AI14" s="92" t="s">
        <v>586</v>
      </c>
      <c r="AJ14" s="94"/>
      <c r="AK14" s="92" t="s">
        <v>278</v>
      </c>
      <c r="AL14" s="95" t="s">
        <v>151</v>
      </c>
      <c r="AM14" s="94" t="s">
        <v>588</v>
      </c>
      <c r="AN14" s="97" t="s">
        <v>156</v>
      </c>
    </row>
    <row r="15" ht="51.75" customHeight="1">
      <c r="A15" s="82">
        <v>10.0</v>
      </c>
      <c r="B15" s="83" t="s">
        <v>611</v>
      </c>
      <c r="C15" s="84" t="s">
        <v>612</v>
      </c>
      <c r="D15" s="84" t="s">
        <v>291</v>
      </c>
      <c r="E15" s="85" t="s">
        <v>293</v>
      </c>
      <c r="F15" s="86" t="s">
        <v>295</v>
      </c>
      <c r="G15" s="84" t="s">
        <v>613</v>
      </c>
      <c r="H15" s="84" t="s">
        <v>615</v>
      </c>
      <c r="I15" s="84" t="s">
        <v>616</v>
      </c>
      <c r="J15" s="87" t="s">
        <v>173</v>
      </c>
      <c r="K15" s="88" t="s">
        <v>618</v>
      </c>
      <c r="L15" s="84" t="s">
        <v>619</v>
      </c>
      <c r="M15" s="89" t="s">
        <v>620</v>
      </c>
      <c r="N15" s="85" t="s">
        <v>458</v>
      </c>
      <c r="O15" s="90" t="s">
        <v>524</v>
      </c>
      <c r="P15" s="88" t="s">
        <v>621</v>
      </c>
      <c r="Q15" s="91" t="s">
        <v>185</v>
      </c>
      <c r="R15" s="92" t="str">
        <f t="shared" si="1"/>
        <v>Yes</v>
      </c>
      <c r="S15" s="91" t="str">
        <f t="shared" si="2"/>
        <v>Jansen et al. (2018). "Crowd-GPS-Sec: Leveraging Crowdsourcing to Detect and Localize GPS Spoofing Attacks". IEEE Symposium on Security and Privacy (S&amp;P).</v>
      </c>
      <c r="T15" s="93" t="s">
        <v>622</v>
      </c>
      <c r="U15" s="94" t="s">
        <v>204</v>
      </c>
      <c r="V15" s="91" t="s">
        <v>205</v>
      </c>
      <c r="W15" s="91" t="s">
        <v>407</v>
      </c>
      <c r="X15" s="91" t="s">
        <v>625</v>
      </c>
      <c r="Y15" s="95" t="s">
        <v>386</v>
      </c>
      <c r="Z15" s="90" t="s">
        <v>42</v>
      </c>
      <c r="AA15" s="90" t="s">
        <v>249</v>
      </c>
      <c r="AB15" s="92" t="str">
        <f t="shared" si="3"/>
        <v>Upward (observables)</v>
      </c>
      <c r="AC15" s="92" t="str">
        <f t="shared" si="4"/>
        <v>✓</v>
      </c>
      <c r="AD15" s="92" t="str">
        <f t="shared" si="5"/>
        <v>✓</v>
      </c>
      <c r="AE15" s="92" t="str">
        <f t="shared" si="6"/>
        <v/>
      </c>
      <c r="AF15" s="92" t="s">
        <v>470</v>
      </c>
      <c r="AG15" s="96"/>
      <c r="AH15" s="92">
        <f>COUNTIF('CVE Register'!$P$6:$P$300,A15)</f>
        <v>0</v>
      </c>
      <c r="AI15" s="92" t="s">
        <v>627</v>
      </c>
      <c r="AJ15" s="94"/>
      <c r="AK15" s="92" t="s">
        <v>278</v>
      </c>
      <c r="AL15" s="95" t="s">
        <v>476</v>
      </c>
      <c r="AM15" s="94" t="s">
        <v>628</v>
      </c>
      <c r="AN15" s="97" t="s">
        <v>478</v>
      </c>
    </row>
    <row r="16" ht="51.75" customHeight="1">
      <c r="A16" s="82">
        <v>11.0</v>
      </c>
      <c r="B16" s="83" t="s">
        <v>629</v>
      </c>
      <c r="C16" s="84" t="s">
        <v>630</v>
      </c>
      <c r="D16" s="84" t="s">
        <v>631</v>
      </c>
      <c r="E16" s="85" t="s">
        <v>293</v>
      </c>
      <c r="F16" s="86" t="s">
        <v>632</v>
      </c>
      <c r="G16" s="84" t="s">
        <v>635</v>
      </c>
      <c r="H16" s="84" t="s">
        <v>636</v>
      </c>
      <c r="I16" s="84" t="s">
        <v>637</v>
      </c>
      <c r="J16" s="87" t="s">
        <v>173</v>
      </c>
      <c r="K16" s="88" t="s">
        <v>638</v>
      </c>
      <c r="L16" s="84" t="s">
        <v>639</v>
      </c>
      <c r="M16" s="89" t="s">
        <v>640</v>
      </c>
      <c r="N16" s="85" t="s">
        <v>458</v>
      </c>
      <c r="O16" s="90" t="s">
        <v>524</v>
      </c>
      <c r="P16" s="88" t="s">
        <v>642</v>
      </c>
      <c r="Q16" s="91" t="s">
        <v>185</v>
      </c>
      <c r="R16" s="92" t="str">
        <f t="shared" si="1"/>
        <v>Yes</v>
      </c>
      <c r="S16" s="91" t="str">
        <f t="shared" si="2"/>
        <v>Tibaldo et al. (2025). "GNSS-WASP: GNSS Wide Area SPoofing". USENIX Security Symposium.</v>
      </c>
      <c r="T16" s="93" t="s">
        <v>644</v>
      </c>
      <c r="U16" s="94" t="s">
        <v>466</v>
      </c>
      <c r="V16" s="91" t="s">
        <v>205</v>
      </c>
      <c r="W16" s="91" t="s">
        <v>407</v>
      </c>
      <c r="X16" s="91" t="s">
        <v>653</v>
      </c>
      <c r="Y16" s="95" t="s">
        <v>386</v>
      </c>
      <c r="Z16" s="90" t="s">
        <v>42</v>
      </c>
      <c r="AA16" s="90" t="s">
        <v>42</v>
      </c>
      <c r="AB16" s="92" t="str">
        <f t="shared" si="3"/>
        <v>Within layer</v>
      </c>
      <c r="AC16" s="92" t="str">
        <f t="shared" si="4"/>
        <v/>
      </c>
      <c r="AD16" s="92" t="str">
        <f t="shared" si="5"/>
        <v/>
      </c>
      <c r="AE16" s="92" t="str">
        <f t="shared" si="6"/>
        <v/>
      </c>
      <c r="AF16" s="92" t="s">
        <v>470</v>
      </c>
      <c r="AG16" s="96"/>
      <c r="AH16" s="92">
        <f>COUNTIF('CVE Register'!$P$6:$P$300,A16)</f>
        <v>0</v>
      </c>
      <c r="AI16" s="92" t="s">
        <v>655</v>
      </c>
      <c r="AJ16" s="94" t="s">
        <v>656</v>
      </c>
      <c r="AK16" s="92" t="s">
        <v>278</v>
      </c>
      <c r="AL16" s="95" t="s">
        <v>476</v>
      </c>
      <c r="AM16" s="94" t="s">
        <v>628</v>
      </c>
      <c r="AN16" s="97" t="s">
        <v>478</v>
      </c>
    </row>
    <row r="17" ht="51.75" customHeight="1">
      <c r="A17" s="82">
        <v>12.0</v>
      </c>
      <c r="B17" s="83" t="s">
        <v>657</v>
      </c>
      <c r="C17" s="84" t="s">
        <v>658</v>
      </c>
      <c r="D17" s="84" t="s">
        <v>659</v>
      </c>
      <c r="E17" s="85" t="s">
        <v>440</v>
      </c>
      <c r="F17" s="86" t="s">
        <v>441</v>
      </c>
      <c r="G17" s="84" t="s">
        <v>660</v>
      </c>
      <c r="H17" s="84" t="s">
        <v>551</v>
      </c>
      <c r="I17" s="84" t="s">
        <v>552</v>
      </c>
      <c r="J17" s="87" t="s">
        <v>173</v>
      </c>
      <c r="K17" s="88" t="s">
        <v>661</v>
      </c>
      <c r="L17" s="84" t="s">
        <v>662</v>
      </c>
      <c r="M17" s="89" t="s">
        <v>664</v>
      </c>
      <c r="N17" s="85" t="s">
        <v>380</v>
      </c>
      <c r="O17" s="90" t="s">
        <v>524</v>
      </c>
      <c r="P17" s="88" t="s">
        <v>665</v>
      </c>
      <c r="Q17" s="91" t="s">
        <v>185</v>
      </c>
      <c r="R17" s="92" t="str">
        <f t="shared" si="1"/>
        <v>Yes</v>
      </c>
      <c r="S17" s="91" t="str">
        <f t="shared" si="2"/>
        <v>Khoei et al. (2024). "Detecting Injection Attacks in ADS-B Devices Using RNN-Based Models". Integrated Communications, Navigation and Surveillance Conf. (ICNS).</v>
      </c>
      <c r="T17" s="93" t="s">
        <v>666</v>
      </c>
      <c r="U17" s="94" t="s">
        <v>669</v>
      </c>
      <c r="V17" s="91" t="s">
        <v>205</v>
      </c>
      <c r="W17" s="91" t="s">
        <v>407</v>
      </c>
      <c r="X17" s="91" t="s">
        <v>670</v>
      </c>
      <c r="Y17" s="95" t="s">
        <v>409</v>
      </c>
      <c r="Z17" s="90" t="s">
        <v>42</v>
      </c>
      <c r="AA17" s="90" t="s">
        <v>249</v>
      </c>
      <c r="AB17" s="92" t="str">
        <f t="shared" si="3"/>
        <v>Upward (observables)</v>
      </c>
      <c r="AC17" s="92" t="str">
        <f t="shared" si="4"/>
        <v>✓</v>
      </c>
      <c r="AD17" s="92" t="str">
        <f t="shared" si="5"/>
        <v>✓</v>
      </c>
      <c r="AE17" s="92" t="str">
        <f t="shared" si="6"/>
        <v/>
      </c>
      <c r="AF17" s="92" t="s">
        <v>273</v>
      </c>
      <c r="AG17" s="96"/>
      <c r="AH17" s="92">
        <f>COUNTIF('CVE Register'!$P$6:$P$300,A17)</f>
        <v>0</v>
      </c>
      <c r="AI17" s="92" t="s">
        <v>566</v>
      </c>
      <c r="AJ17" s="94"/>
      <c r="AK17" s="92" t="s">
        <v>278</v>
      </c>
      <c r="AL17" s="95" t="s">
        <v>431</v>
      </c>
      <c r="AM17" s="94" t="s">
        <v>628</v>
      </c>
      <c r="AN17" s="97" t="s">
        <v>434</v>
      </c>
    </row>
    <row r="18" ht="51.75" customHeight="1">
      <c r="A18" s="82">
        <v>13.0</v>
      </c>
      <c r="B18" s="83" t="s">
        <v>673</v>
      </c>
      <c r="C18" s="84" t="s">
        <v>674</v>
      </c>
      <c r="D18" s="84" t="s">
        <v>675</v>
      </c>
      <c r="E18" s="85" t="s">
        <v>147</v>
      </c>
      <c r="F18" s="86" t="s">
        <v>676</v>
      </c>
      <c r="G18" s="84" t="s">
        <v>680</v>
      </c>
      <c r="H18" s="84" t="s">
        <v>681</v>
      </c>
      <c r="I18" s="84" t="s">
        <v>682</v>
      </c>
      <c r="J18" s="87" t="s">
        <v>173</v>
      </c>
      <c r="K18" s="88" t="s">
        <v>683</v>
      </c>
      <c r="L18" s="84" t="s">
        <v>684</v>
      </c>
      <c r="M18" s="89" t="s">
        <v>685</v>
      </c>
      <c r="N18" s="85" t="s">
        <v>313</v>
      </c>
      <c r="O18" s="90" t="s">
        <v>524</v>
      </c>
      <c r="P18" s="88" t="s">
        <v>686</v>
      </c>
      <c r="Q18" s="91" t="s">
        <v>185</v>
      </c>
      <c r="R18" s="92" t="str">
        <f t="shared" si="1"/>
        <v>Yes</v>
      </c>
      <c r="S18" s="91" t="str">
        <f t="shared" si="2"/>
        <v>Giuliari et al. (2021). "ICARUS: Attacking Low Earth Orbit Satellite Networks". USENIX Annual Technical Conference (ATC).</v>
      </c>
      <c r="T18" s="93" t="s">
        <v>688</v>
      </c>
      <c r="U18" s="94" t="s">
        <v>466</v>
      </c>
      <c r="V18" s="91" t="s">
        <v>504</v>
      </c>
      <c r="W18" s="91" t="s">
        <v>689</v>
      </c>
      <c r="X18" s="91" t="s">
        <v>691</v>
      </c>
      <c r="Y18" s="95" t="s">
        <v>692</v>
      </c>
      <c r="Z18" s="90" t="s">
        <v>197</v>
      </c>
      <c r="AA18" s="90" t="s">
        <v>197</v>
      </c>
      <c r="AB18" s="92" t="str">
        <f t="shared" si="3"/>
        <v>Within layer</v>
      </c>
      <c r="AC18" s="92" t="str">
        <f t="shared" si="4"/>
        <v/>
      </c>
      <c r="AD18" s="92" t="str">
        <f t="shared" si="5"/>
        <v/>
      </c>
      <c r="AE18" s="92" t="str">
        <f t="shared" si="6"/>
        <v/>
      </c>
      <c r="AF18" s="92" t="s">
        <v>273</v>
      </c>
      <c r="AG18" s="96"/>
      <c r="AH18" s="92">
        <f>COUNTIF('CVE Register'!$P$6:$P$300,A18)</f>
        <v>0</v>
      </c>
      <c r="AI18" s="92" t="s">
        <v>694</v>
      </c>
      <c r="AJ18" s="94" t="s">
        <v>695</v>
      </c>
      <c r="AK18" s="92" t="s">
        <v>278</v>
      </c>
      <c r="AL18" s="95" t="s">
        <v>697</v>
      </c>
      <c r="AM18" s="94" t="s">
        <v>698</v>
      </c>
      <c r="AN18" s="97" t="s">
        <v>699</v>
      </c>
    </row>
    <row r="19" ht="51.75" customHeight="1">
      <c r="A19" s="82">
        <v>14.0</v>
      </c>
      <c r="B19" s="83" t="s">
        <v>700</v>
      </c>
      <c r="C19" s="84" t="s">
        <v>701</v>
      </c>
      <c r="D19" s="84" t="s">
        <v>703</v>
      </c>
      <c r="E19" s="85" t="s">
        <v>293</v>
      </c>
      <c r="F19" s="86" t="s">
        <v>704</v>
      </c>
      <c r="G19" s="84" t="s">
        <v>712</v>
      </c>
      <c r="H19" s="84" t="s">
        <v>713</v>
      </c>
      <c r="I19" s="84" t="s">
        <v>714</v>
      </c>
      <c r="J19" s="87" t="s">
        <v>173</v>
      </c>
      <c r="K19" s="88" t="s">
        <v>715</v>
      </c>
      <c r="L19" s="84" t="s">
        <v>716</v>
      </c>
      <c r="M19" s="89" t="s">
        <v>717</v>
      </c>
      <c r="N19" s="85" t="s">
        <v>313</v>
      </c>
      <c r="O19" s="90" t="s">
        <v>524</v>
      </c>
      <c r="P19" s="88" t="s">
        <v>718</v>
      </c>
      <c r="Q19" s="91" t="s">
        <v>185</v>
      </c>
      <c r="R19" s="92" t="str">
        <f t="shared" si="1"/>
        <v>Yes</v>
      </c>
      <c r="S19" s="91" t="str">
        <f t="shared" si="2"/>
        <v>Smailes et al. (2023). "Watch This Space: Securing Satellite Communication through Resilient Transmitter Fingerprinting". ACM CCS.</v>
      </c>
      <c r="T19" s="93" t="s">
        <v>728</v>
      </c>
      <c r="U19" s="94" t="s">
        <v>204</v>
      </c>
      <c r="V19" s="91" t="s">
        <v>205</v>
      </c>
      <c r="W19" s="91" t="s">
        <v>407</v>
      </c>
      <c r="X19" s="91" t="s">
        <v>742</v>
      </c>
      <c r="Y19" s="95" t="s">
        <v>744</v>
      </c>
      <c r="Z19" s="90" t="s">
        <v>42</v>
      </c>
      <c r="AA19" s="90" t="s">
        <v>249</v>
      </c>
      <c r="AB19" s="92" t="str">
        <f t="shared" si="3"/>
        <v>Upward (observables)</v>
      </c>
      <c r="AC19" s="92" t="str">
        <f t="shared" si="4"/>
        <v>✓</v>
      </c>
      <c r="AD19" s="92" t="str">
        <f t="shared" si="5"/>
        <v>✓</v>
      </c>
      <c r="AE19" s="92" t="str">
        <f t="shared" si="6"/>
        <v/>
      </c>
      <c r="AF19" s="92" t="s">
        <v>273</v>
      </c>
      <c r="AG19" s="96"/>
      <c r="AH19" s="92">
        <f>COUNTIF('CVE Register'!$P$6:$P$300,A19)</f>
        <v>0</v>
      </c>
      <c r="AI19" s="92" t="s">
        <v>755</v>
      </c>
      <c r="AJ19" s="94"/>
      <c r="AK19" s="92" t="s">
        <v>278</v>
      </c>
      <c r="AL19" s="95" t="s">
        <v>195</v>
      </c>
      <c r="AM19" s="94" t="s">
        <v>756</v>
      </c>
      <c r="AN19" s="97" t="s">
        <v>206</v>
      </c>
    </row>
    <row r="20" ht="51.75" customHeight="1">
      <c r="A20" s="82">
        <v>15.0</v>
      </c>
      <c r="B20" s="83" t="s">
        <v>757</v>
      </c>
      <c r="C20" s="84" t="s">
        <v>758</v>
      </c>
      <c r="D20" s="84" t="s">
        <v>291</v>
      </c>
      <c r="E20" s="85" t="s">
        <v>293</v>
      </c>
      <c r="F20" s="86" t="s">
        <v>295</v>
      </c>
      <c r="G20" s="84" t="s">
        <v>760</v>
      </c>
      <c r="H20" s="84" t="s">
        <v>761</v>
      </c>
      <c r="I20" s="84" t="s">
        <v>762</v>
      </c>
      <c r="J20" s="87" t="s">
        <v>173</v>
      </c>
      <c r="K20" s="88" t="s">
        <v>763</v>
      </c>
      <c r="L20" s="84" t="s">
        <v>764</v>
      </c>
      <c r="M20" s="89" t="s">
        <v>765</v>
      </c>
      <c r="N20" s="85" t="s">
        <v>313</v>
      </c>
      <c r="O20" s="90" t="s">
        <v>524</v>
      </c>
      <c r="P20" s="88" t="s">
        <v>768</v>
      </c>
      <c r="Q20" s="91" t="s">
        <v>185</v>
      </c>
      <c r="R20" s="92" t="str">
        <f t="shared" si="1"/>
        <v>Yes</v>
      </c>
      <c r="S20" s="91" t="str">
        <f t="shared" si="2"/>
        <v>Willbold et al. (2023). "Space Odyssey: An Experimental Software Security Analysis of Satellites". IEEE Symposium on Security and Privacy (S&amp;P).</v>
      </c>
      <c r="T20" s="93" t="s">
        <v>769</v>
      </c>
      <c r="U20" s="94" t="s">
        <v>778</v>
      </c>
      <c r="V20" s="91" t="s">
        <v>780</v>
      </c>
      <c r="W20" s="91" t="s">
        <v>781</v>
      </c>
      <c r="X20" s="91" t="s">
        <v>782</v>
      </c>
      <c r="Y20" s="95" t="s">
        <v>783</v>
      </c>
      <c r="Z20" s="90" t="s">
        <v>42</v>
      </c>
      <c r="AA20" s="90" t="s">
        <v>42</v>
      </c>
      <c r="AB20" s="92" t="str">
        <f t="shared" si="3"/>
        <v>Within layer</v>
      </c>
      <c r="AC20" s="92" t="str">
        <f t="shared" si="4"/>
        <v/>
      </c>
      <c r="AD20" s="92" t="str">
        <f t="shared" si="5"/>
        <v/>
      </c>
      <c r="AE20" s="92" t="str">
        <f t="shared" si="6"/>
        <v/>
      </c>
      <c r="AF20" s="92" t="s">
        <v>273</v>
      </c>
      <c r="AG20" s="96"/>
      <c r="AH20" s="92">
        <f>COUNTIF('CVE Register'!$P$6:$P$300,A20)</f>
        <v>0</v>
      </c>
      <c r="AI20" s="92" t="s">
        <v>786</v>
      </c>
      <c r="AJ20" s="94" t="s">
        <v>787</v>
      </c>
      <c r="AK20" s="92" t="s">
        <v>278</v>
      </c>
      <c r="AL20" s="95" t="s">
        <v>788</v>
      </c>
      <c r="AM20" s="94" t="s">
        <v>789</v>
      </c>
      <c r="AN20" s="97" t="s">
        <v>792</v>
      </c>
    </row>
    <row r="21" ht="51.75" customHeight="1">
      <c r="A21" s="82">
        <v>16.0</v>
      </c>
      <c r="B21" s="83" t="s">
        <v>793</v>
      </c>
      <c r="C21" s="84" t="s">
        <v>833</v>
      </c>
      <c r="D21" s="84" t="s">
        <v>836</v>
      </c>
      <c r="E21" s="85" t="s">
        <v>440</v>
      </c>
      <c r="F21" s="86" t="s">
        <v>837</v>
      </c>
      <c r="G21" s="84" t="s">
        <v>840</v>
      </c>
      <c r="H21" s="84" t="s">
        <v>841</v>
      </c>
      <c r="I21" s="84" t="s">
        <v>842</v>
      </c>
      <c r="J21" s="87" t="s">
        <v>173</v>
      </c>
      <c r="K21" s="88" t="s">
        <v>843</v>
      </c>
      <c r="L21" s="84" t="s">
        <v>844</v>
      </c>
      <c r="M21" s="89" t="s">
        <v>845</v>
      </c>
      <c r="N21" s="85" t="s">
        <v>313</v>
      </c>
      <c r="O21" s="90" t="s">
        <v>524</v>
      </c>
      <c r="P21" s="88" t="s">
        <v>846</v>
      </c>
      <c r="Q21" s="91" t="s">
        <v>277</v>
      </c>
      <c r="R21" s="92" t="str">
        <f t="shared" si="1"/>
        <v>Yes</v>
      </c>
      <c r="S21" s="91" t="str">
        <f t="shared" si="2"/>
        <v>Kon, Barradas &amp; Chen (2022). "Stargaze: A LEO Constellation Emulator for Security Experimentation". ACM CPSIoTSec Workshop.</v>
      </c>
      <c r="T21" s="93" t="s">
        <v>849</v>
      </c>
      <c r="U21" s="94" t="s">
        <v>669</v>
      </c>
      <c r="V21" s="91" t="s">
        <v>504</v>
      </c>
      <c r="W21" s="91" t="s">
        <v>689</v>
      </c>
      <c r="X21" s="91" t="s">
        <v>859</v>
      </c>
      <c r="Y21" s="95" t="s">
        <v>692</v>
      </c>
      <c r="Z21" s="90" t="s">
        <v>197</v>
      </c>
      <c r="AA21" s="90" t="s">
        <v>197</v>
      </c>
      <c r="AB21" s="92" t="str">
        <f t="shared" si="3"/>
        <v>Within layer</v>
      </c>
      <c r="AC21" s="92" t="str">
        <f t="shared" si="4"/>
        <v/>
      </c>
      <c r="AD21" s="92" t="str">
        <f t="shared" si="5"/>
        <v/>
      </c>
      <c r="AE21" s="92" t="str">
        <f t="shared" si="6"/>
        <v/>
      </c>
      <c r="AF21" s="92" t="s">
        <v>273</v>
      </c>
      <c r="AG21" s="96"/>
      <c r="AH21" s="92">
        <f>COUNTIF('CVE Register'!$P$6:$P$300,A21)</f>
        <v>0</v>
      </c>
      <c r="AI21" s="92" t="s">
        <v>863</v>
      </c>
      <c r="AJ21" s="94" t="s">
        <v>864</v>
      </c>
      <c r="AK21" s="92" t="s">
        <v>278</v>
      </c>
      <c r="AL21" s="95" t="s">
        <v>865</v>
      </c>
      <c r="AM21" s="94" t="s">
        <v>866</v>
      </c>
      <c r="AN21" s="97" t="s">
        <v>867</v>
      </c>
    </row>
    <row r="22" ht="51.75" customHeight="1">
      <c r="A22" s="82">
        <v>17.0</v>
      </c>
      <c r="B22" s="83" t="s">
        <v>868</v>
      </c>
      <c r="C22" s="84" t="s">
        <v>869</v>
      </c>
      <c r="D22" s="84" t="s">
        <v>870</v>
      </c>
      <c r="E22" s="85" t="s">
        <v>293</v>
      </c>
      <c r="F22" s="86" t="s">
        <v>871</v>
      </c>
      <c r="G22" s="84" t="s">
        <v>873</v>
      </c>
      <c r="H22" s="84" t="s">
        <v>874</v>
      </c>
      <c r="I22" s="84" t="s">
        <v>876</v>
      </c>
      <c r="J22" s="87" t="s">
        <v>173</v>
      </c>
      <c r="K22" s="88" t="s">
        <v>878</v>
      </c>
      <c r="L22" s="84" t="s">
        <v>880</v>
      </c>
      <c r="M22" s="89" t="s">
        <v>881</v>
      </c>
      <c r="N22" s="85" t="s">
        <v>883</v>
      </c>
      <c r="O22" s="90" t="s">
        <v>524</v>
      </c>
      <c r="P22" s="88" t="s">
        <v>885</v>
      </c>
      <c r="Q22" s="91" t="s">
        <v>185</v>
      </c>
      <c r="R22" s="92" t="str">
        <f t="shared" si="1"/>
        <v>Yes</v>
      </c>
      <c r="S22" s="91" t="str">
        <f t="shared" si="2"/>
        <v>Liu, Ning &amp; Reiter (2009; extended 2011). "False Data Injection Attacks against State Estimation in Electric Power Grids". ACM CCS (extended in ACM TISSEC).</v>
      </c>
      <c r="T22" s="93" t="s">
        <v>889</v>
      </c>
      <c r="U22" s="94" t="s">
        <v>890</v>
      </c>
      <c r="V22" s="91" t="s">
        <v>891</v>
      </c>
      <c r="W22" s="91" t="s">
        <v>893</v>
      </c>
      <c r="X22" s="91" t="s">
        <v>894</v>
      </c>
      <c r="Y22" s="95" t="s">
        <v>896</v>
      </c>
      <c r="Z22" s="90" t="s">
        <v>197</v>
      </c>
      <c r="AA22" s="90" t="s">
        <v>249</v>
      </c>
      <c r="AB22" s="92" t="str">
        <f t="shared" si="3"/>
        <v>Upward (observables)</v>
      </c>
      <c r="AC22" s="92" t="str">
        <f t="shared" si="4"/>
        <v/>
      </c>
      <c r="AD22" s="92" t="str">
        <f t="shared" si="5"/>
        <v>✓</v>
      </c>
      <c r="AE22" s="92" t="str">
        <f t="shared" si="6"/>
        <v/>
      </c>
      <c r="AF22" s="92" t="s">
        <v>273</v>
      </c>
      <c r="AG22" s="96"/>
      <c r="AH22" s="92">
        <f>COUNTIF('CVE Register'!$P$6:$P$300,A22)</f>
        <v>0</v>
      </c>
      <c r="AI22" s="92" t="s">
        <v>903</v>
      </c>
      <c r="AJ22" s="94" t="s">
        <v>904</v>
      </c>
      <c r="AK22" s="92" t="s">
        <v>278</v>
      </c>
      <c r="AL22" s="95" t="s">
        <v>195</v>
      </c>
      <c r="AM22" s="94" t="s">
        <v>905</v>
      </c>
      <c r="AN22" s="97" t="s">
        <v>206</v>
      </c>
    </row>
    <row r="23" ht="51.75" customHeight="1">
      <c r="A23" s="82">
        <v>18.0</v>
      </c>
      <c r="B23" s="83" t="s">
        <v>906</v>
      </c>
      <c r="C23" s="84" t="s">
        <v>907</v>
      </c>
      <c r="D23" s="84" t="s">
        <v>908</v>
      </c>
      <c r="E23" s="85" t="s">
        <v>440</v>
      </c>
      <c r="F23" s="86" t="s">
        <v>837</v>
      </c>
      <c r="G23" s="84" t="s">
        <v>909</v>
      </c>
      <c r="H23" s="84" t="s">
        <v>910</v>
      </c>
      <c r="I23" s="84" t="s">
        <v>876</v>
      </c>
      <c r="J23" s="87" t="s">
        <v>173</v>
      </c>
      <c r="K23" s="88" t="s">
        <v>912</v>
      </c>
      <c r="L23" s="84" t="s">
        <v>913</v>
      </c>
      <c r="M23" s="89" t="s">
        <v>915</v>
      </c>
      <c r="N23" s="85" t="s">
        <v>883</v>
      </c>
      <c r="O23" s="90" t="s">
        <v>524</v>
      </c>
      <c r="P23" s="88" t="s">
        <v>919</v>
      </c>
      <c r="Q23" s="91" t="s">
        <v>277</v>
      </c>
      <c r="R23" s="92" t="str">
        <f t="shared" si="1"/>
        <v>Yes</v>
      </c>
      <c r="S23" s="91" t="str">
        <f t="shared" si="2"/>
        <v>Mo &amp; Sinopoli (2010). "False Data Injection Attacks in Control Systems". Workshop on Secure Control Systems (SCS).</v>
      </c>
      <c r="T23" s="93" t="s">
        <v>923</v>
      </c>
      <c r="U23" s="94" t="s">
        <v>929</v>
      </c>
      <c r="V23" s="91" t="s">
        <v>891</v>
      </c>
      <c r="W23" s="91" t="s">
        <v>893</v>
      </c>
      <c r="X23" s="91" t="s">
        <v>932</v>
      </c>
      <c r="Y23" s="95" t="s">
        <v>896</v>
      </c>
      <c r="Z23" s="90" t="s">
        <v>197</v>
      </c>
      <c r="AA23" s="90" t="s">
        <v>249</v>
      </c>
      <c r="AB23" s="92" t="str">
        <f t="shared" si="3"/>
        <v>Upward (observables)</v>
      </c>
      <c r="AC23" s="92" t="str">
        <f t="shared" si="4"/>
        <v/>
      </c>
      <c r="AD23" s="92" t="str">
        <f t="shared" si="5"/>
        <v>✓</v>
      </c>
      <c r="AE23" s="92" t="str">
        <f t="shared" si="6"/>
        <v/>
      </c>
      <c r="AF23" s="92" t="s">
        <v>273</v>
      </c>
      <c r="AG23" s="96"/>
      <c r="AH23" s="92">
        <f>COUNTIF('CVE Register'!$P$6:$P$300,A23)</f>
        <v>0</v>
      </c>
      <c r="AI23" s="92" t="s">
        <v>903</v>
      </c>
      <c r="AJ23" s="94" t="s">
        <v>938</v>
      </c>
      <c r="AK23" s="92" t="s">
        <v>278</v>
      </c>
      <c r="AL23" s="95" t="s">
        <v>195</v>
      </c>
      <c r="AM23" s="94" t="s">
        <v>905</v>
      </c>
      <c r="AN23" s="97" t="s">
        <v>206</v>
      </c>
    </row>
    <row r="24" ht="51.75" customHeight="1">
      <c r="A24" s="82">
        <v>19.0</v>
      </c>
      <c r="B24" s="83" t="s">
        <v>940</v>
      </c>
      <c r="C24" s="84" t="s">
        <v>941</v>
      </c>
      <c r="D24" s="84" t="s">
        <v>942</v>
      </c>
      <c r="E24" s="85" t="s">
        <v>943</v>
      </c>
      <c r="F24" s="86" t="s">
        <v>944</v>
      </c>
      <c r="G24" s="84" t="s">
        <v>953</v>
      </c>
      <c r="H24" s="84" t="s">
        <v>954</v>
      </c>
      <c r="I24" s="84" t="s">
        <v>955</v>
      </c>
      <c r="J24" s="87" t="s">
        <v>173</v>
      </c>
      <c r="K24" s="88" t="s">
        <v>575</v>
      </c>
      <c r="L24" s="84" t="s">
        <v>956</v>
      </c>
      <c r="M24" s="89" t="s">
        <v>957</v>
      </c>
      <c r="N24" s="85" t="s">
        <v>958</v>
      </c>
      <c r="O24" s="90" t="s">
        <v>524</v>
      </c>
      <c r="P24" s="88" t="s">
        <v>959</v>
      </c>
      <c r="Q24" s="91" t="s">
        <v>236</v>
      </c>
      <c r="R24" s="92" t="str">
        <f t="shared" si="1"/>
        <v>Yes</v>
      </c>
      <c r="S24" s="91" t="str">
        <f t="shared" si="2"/>
        <v>Zhang et al. (2013). "Time Synchronization Attack in Smart Grid: Impact and Analysis". IEEE Transactions on Smart Grid.</v>
      </c>
      <c r="T24" s="93" t="s">
        <v>960</v>
      </c>
      <c r="U24" s="94" t="s">
        <v>204</v>
      </c>
      <c r="V24" s="91" t="s">
        <v>205</v>
      </c>
      <c r="W24" s="91" t="s">
        <v>968</v>
      </c>
      <c r="X24" s="91" t="s">
        <v>969</v>
      </c>
      <c r="Y24" s="95" t="s">
        <v>386</v>
      </c>
      <c r="Z24" s="90" t="s">
        <v>42</v>
      </c>
      <c r="AA24" s="90" t="s">
        <v>249</v>
      </c>
      <c r="AB24" s="92" t="str">
        <f t="shared" si="3"/>
        <v>Upward (observables)</v>
      </c>
      <c r="AC24" s="92" t="str">
        <f t="shared" si="4"/>
        <v>✓</v>
      </c>
      <c r="AD24" s="92" t="str">
        <f t="shared" si="5"/>
        <v>✓</v>
      </c>
      <c r="AE24" s="92" t="str">
        <f t="shared" si="6"/>
        <v/>
      </c>
      <c r="AF24" s="92" t="s">
        <v>470</v>
      </c>
      <c r="AG24" s="96"/>
      <c r="AH24" s="92">
        <f>COUNTIF('CVE Register'!$P$6:$P$300,A24)</f>
        <v>0</v>
      </c>
      <c r="AI24" s="92" t="s">
        <v>976</v>
      </c>
      <c r="AJ24" s="94" t="s">
        <v>977</v>
      </c>
      <c r="AK24" s="92" t="s">
        <v>278</v>
      </c>
      <c r="AL24" s="95" t="s">
        <v>476</v>
      </c>
      <c r="AM24" s="94" t="s">
        <v>477</v>
      </c>
      <c r="AN24" s="97" t="s">
        <v>478</v>
      </c>
    </row>
    <row r="25" ht="51.75" customHeight="1">
      <c r="A25" s="82">
        <v>20.0</v>
      </c>
      <c r="B25" s="83" t="s">
        <v>981</v>
      </c>
      <c r="C25" s="84" t="s">
        <v>982</v>
      </c>
      <c r="D25" s="84" t="s">
        <v>591</v>
      </c>
      <c r="E25" s="85" t="s">
        <v>360</v>
      </c>
      <c r="F25" s="86" t="s">
        <v>592</v>
      </c>
      <c r="G25" s="84" t="s">
        <v>986</v>
      </c>
      <c r="H25" s="84" t="s">
        <v>987</v>
      </c>
      <c r="I25" s="84" t="s">
        <v>988</v>
      </c>
      <c r="J25" s="87" t="s">
        <v>173</v>
      </c>
      <c r="K25" s="88" t="s">
        <v>989</v>
      </c>
      <c r="L25" s="84" t="s">
        <v>990</v>
      </c>
      <c r="M25" s="89" t="s">
        <v>991</v>
      </c>
      <c r="N25" s="85" t="s">
        <v>380</v>
      </c>
      <c r="O25" s="90" t="s">
        <v>381</v>
      </c>
      <c r="P25" s="88" t="s">
        <v>992</v>
      </c>
      <c r="Q25" s="91" t="s">
        <v>185</v>
      </c>
      <c r="R25" s="92" t="str">
        <f t="shared" si="1"/>
        <v>Yes</v>
      </c>
      <c r="S25" s="91" t="str">
        <f t="shared" si="2"/>
        <v>Senn et al. (2025). "Universal Spoofing of Real-World Aircraft Multilateration". ACM WiSec.</v>
      </c>
      <c r="T25" s="93" t="s">
        <v>993</v>
      </c>
      <c r="U25" s="94" t="s">
        <v>204</v>
      </c>
      <c r="V25" s="91" t="s">
        <v>504</v>
      </c>
      <c r="W25" s="91" t="s">
        <v>407</v>
      </c>
      <c r="X25" s="91" t="s">
        <v>995</v>
      </c>
      <c r="Y25" s="95" t="s">
        <v>409</v>
      </c>
      <c r="Z25" s="90" t="s">
        <v>42</v>
      </c>
      <c r="AA25" s="90" t="s">
        <v>249</v>
      </c>
      <c r="AB25" s="92" t="str">
        <f t="shared" si="3"/>
        <v>Upward (observables)</v>
      </c>
      <c r="AC25" s="92" t="str">
        <f t="shared" si="4"/>
        <v>✓</v>
      </c>
      <c r="AD25" s="92" t="str">
        <f t="shared" si="5"/>
        <v>✓</v>
      </c>
      <c r="AE25" s="92" t="str">
        <f t="shared" si="6"/>
        <v/>
      </c>
      <c r="AF25" s="92" t="s">
        <v>470</v>
      </c>
      <c r="AG25" s="96"/>
      <c r="AH25" s="92">
        <f>COUNTIF('CVE Register'!$P$6:$P$300,A25)</f>
        <v>0</v>
      </c>
      <c r="AI25" s="92" t="s">
        <v>510</v>
      </c>
      <c r="AJ25" s="94" t="s">
        <v>999</v>
      </c>
      <c r="AK25" s="92" t="s">
        <v>278</v>
      </c>
      <c r="AL25" s="95" t="s">
        <v>512</v>
      </c>
      <c r="AM25" s="94" t="s">
        <v>1001</v>
      </c>
      <c r="AN25" s="97" t="s">
        <v>514</v>
      </c>
    </row>
    <row r="26" ht="51.75" customHeight="1">
      <c r="A26" s="82">
        <v>21.0</v>
      </c>
      <c r="B26" s="83" t="s">
        <v>1004</v>
      </c>
      <c r="C26" s="84" t="s">
        <v>1005</v>
      </c>
      <c r="D26" s="84" t="s">
        <v>1007</v>
      </c>
      <c r="E26" s="85" t="s">
        <v>943</v>
      </c>
      <c r="F26" s="86" t="s">
        <v>1009</v>
      </c>
      <c r="G26" s="84" t="s">
        <v>1014</v>
      </c>
      <c r="H26" s="84" t="s">
        <v>1015</v>
      </c>
      <c r="I26" s="84" t="s">
        <v>1016</v>
      </c>
      <c r="J26" s="87" t="s">
        <v>173</v>
      </c>
      <c r="K26" s="88" t="s">
        <v>1017</v>
      </c>
      <c r="L26" s="84" t="s">
        <v>1018</v>
      </c>
      <c r="M26" s="89" t="s">
        <v>1019</v>
      </c>
      <c r="N26" s="85" t="s">
        <v>313</v>
      </c>
      <c r="O26" s="90" t="s">
        <v>524</v>
      </c>
      <c r="P26" s="88" t="s">
        <v>1020</v>
      </c>
      <c r="Q26" s="91" t="s">
        <v>236</v>
      </c>
      <c r="R26" s="92" t="str">
        <f t="shared" si="1"/>
        <v>Yes</v>
      </c>
      <c r="S26" s="91" t="str">
        <f t="shared" si="2"/>
        <v>Manzanares-López et al. (2026). "Enhancing the Hypatia Simulator for LEO Satellite Networks with Integrated DoS and DDoS Attack Capabilities". Int. J. Information Security (IJIS).</v>
      </c>
      <c r="T26" s="93" t="s">
        <v>1023</v>
      </c>
      <c r="U26" s="94" t="s">
        <v>204</v>
      </c>
      <c r="V26" s="91" t="s">
        <v>504</v>
      </c>
      <c r="W26" s="91" t="s">
        <v>689</v>
      </c>
      <c r="X26" s="91" t="s">
        <v>1028</v>
      </c>
      <c r="Y26" s="95" t="s">
        <v>692</v>
      </c>
      <c r="Z26" s="90" t="s">
        <v>197</v>
      </c>
      <c r="AA26" s="90" t="s">
        <v>197</v>
      </c>
      <c r="AB26" s="92" t="str">
        <f t="shared" si="3"/>
        <v>Within layer</v>
      </c>
      <c r="AC26" s="92" t="str">
        <f t="shared" si="4"/>
        <v/>
      </c>
      <c r="AD26" s="92" t="str">
        <f t="shared" si="5"/>
        <v/>
      </c>
      <c r="AE26" s="92" t="str">
        <f t="shared" si="6"/>
        <v/>
      </c>
      <c r="AF26" s="92" t="s">
        <v>273</v>
      </c>
      <c r="AG26" s="96"/>
      <c r="AH26" s="92">
        <f>COUNTIF('CVE Register'!$P$6:$P$300,A26)</f>
        <v>0</v>
      </c>
      <c r="AI26" s="92" t="s">
        <v>863</v>
      </c>
      <c r="AJ26" s="94" t="s">
        <v>864</v>
      </c>
      <c r="AK26" s="92" t="s">
        <v>278</v>
      </c>
      <c r="AL26" s="95" t="s">
        <v>1037</v>
      </c>
      <c r="AM26" s="94" t="s">
        <v>1038</v>
      </c>
      <c r="AN26" s="97" t="s">
        <v>1039</v>
      </c>
    </row>
    <row r="27" ht="51.75" customHeight="1">
      <c r="A27" s="82">
        <v>22.0</v>
      </c>
      <c r="B27" s="83" t="s">
        <v>1040</v>
      </c>
      <c r="C27" s="84" t="s">
        <v>1041</v>
      </c>
      <c r="D27" s="84" t="s">
        <v>1042</v>
      </c>
      <c r="E27" s="85" t="s">
        <v>1043</v>
      </c>
      <c r="F27" s="86" t="s">
        <v>1044</v>
      </c>
      <c r="G27" s="84" t="s">
        <v>1045</v>
      </c>
      <c r="H27" s="84" t="s">
        <v>615</v>
      </c>
      <c r="I27" s="84" t="s">
        <v>1046</v>
      </c>
      <c r="J27" s="87" t="s">
        <v>173</v>
      </c>
      <c r="K27" s="88" t="s">
        <v>1047</v>
      </c>
      <c r="L27" s="84" t="s">
        <v>1048</v>
      </c>
      <c r="M27" s="89" t="s">
        <v>1049</v>
      </c>
      <c r="N27" s="85" t="s">
        <v>458</v>
      </c>
      <c r="O27" s="90" t="s">
        <v>524</v>
      </c>
      <c r="P27" s="88" t="s">
        <v>1051</v>
      </c>
      <c r="Q27" s="91" t="s">
        <v>236</v>
      </c>
      <c r="R27" s="92" t="str">
        <f t="shared" si="1"/>
        <v>Yes</v>
      </c>
      <c r="S27" s="91" t="str">
        <f t="shared" si="2"/>
        <v>Yosef et al. (2026). "Towards Privacy-Preserving and Real-Time GNSS Interference Detection in ADS-B Systems Using CNN". Neural Computing and Applications.</v>
      </c>
      <c r="T27" s="93" t="s">
        <v>1052</v>
      </c>
      <c r="U27" s="94" t="s">
        <v>778</v>
      </c>
      <c r="V27" s="91" t="s">
        <v>205</v>
      </c>
      <c r="W27" s="91" t="s">
        <v>689</v>
      </c>
      <c r="X27" s="91" t="s">
        <v>1059</v>
      </c>
      <c r="Y27" s="95" t="s">
        <v>386</v>
      </c>
      <c r="Z27" s="90" t="s">
        <v>42</v>
      </c>
      <c r="AA27" s="90" t="s">
        <v>249</v>
      </c>
      <c r="AB27" s="92" t="str">
        <f t="shared" si="3"/>
        <v>Upward (observables)</v>
      </c>
      <c r="AC27" s="92" t="str">
        <f t="shared" si="4"/>
        <v>✓</v>
      </c>
      <c r="AD27" s="92" t="str">
        <f t="shared" si="5"/>
        <v>✓</v>
      </c>
      <c r="AE27" s="92" t="str">
        <f t="shared" si="6"/>
        <v/>
      </c>
      <c r="AF27" s="92" t="s">
        <v>470</v>
      </c>
      <c r="AG27" s="96"/>
      <c r="AH27" s="92">
        <f>COUNTIF('CVE Register'!$P$6:$P$300,A27)</f>
        <v>0</v>
      </c>
      <c r="AI27" s="92" t="s">
        <v>1065</v>
      </c>
      <c r="AJ27" s="94" t="s">
        <v>1066</v>
      </c>
      <c r="AK27" s="92" t="s">
        <v>278</v>
      </c>
      <c r="AL27" s="95" t="s">
        <v>476</v>
      </c>
      <c r="AM27" s="94" t="s">
        <v>1068</v>
      </c>
      <c r="AN27" s="97" t="s">
        <v>478</v>
      </c>
    </row>
    <row r="28" ht="51.75" customHeight="1">
      <c r="A28" s="107">
        <v>23.0</v>
      </c>
      <c r="B28" s="108" t="s">
        <v>1076</v>
      </c>
      <c r="C28" s="109" t="s">
        <v>546</v>
      </c>
      <c r="D28" s="109" t="s">
        <v>1078</v>
      </c>
      <c r="E28" s="77" t="s">
        <v>943</v>
      </c>
      <c r="F28" s="110" t="s">
        <v>1079</v>
      </c>
      <c r="G28" s="109" t="s">
        <v>1084</v>
      </c>
      <c r="H28" s="109" t="s">
        <v>1086</v>
      </c>
      <c r="I28" s="109" t="s">
        <v>1088</v>
      </c>
      <c r="J28" s="111" t="s">
        <v>203</v>
      </c>
      <c r="K28" s="112" t="s">
        <v>1090</v>
      </c>
      <c r="L28" s="109" t="s">
        <v>1091</v>
      </c>
      <c r="M28" s="113" t="s">
        <v>1092</v>
      </c>
      <c r="N28" s="77" t="s">
        <v>380</v>
      </c>
      <c r="O28" s="114" t="s">
        <v>1098</v>
      </c>
      <c r="P28" s="112" t="s">
        <v>1100</v>
      </c>
      <c r="Q28" s="76" t="s">
        <v>236</v>
      </c>
      <c r="R28" s="115" t="str">
        <f t="shared" si="1"/>
        <v>Yes</v>
      </c>
      <c r="S28" s="76" t="str">
        <f t="shared" si="2"/>
        <v>Strohmeier, Lenders &amp; Martinovic (2015). "On the Security of the Automatic Dependent Surveillance-Broadcast Protocol". IEEE Communications Surveys &amp; Tutorials (COMST).</v>
      </c>
      <c r="T28" s="116" t="s">
        <v>1102</v>
      </c>
      <c r="U28" s="117" t="s">
        <v>204</v>
      </c>
      <c r="V28" s="76" t="s">
        <v>205</v>
      </c>
      <c r="W28" s="76" t="s">
        <v>407</v>
      </c>
      <c r="X28" s="76" t="s">
        <v>1110</v>
      </c>
      <c r="Y28" s="118" t="s">
        <v>409</v>
      </c>
      <c r="Z28" s="114" t="s">
        <v>42</v>
      </c>
      <c r="AA28" s="114" t="s">
        <v>197</v>
      </c>
      <c r="AB28" s="115" t="str">
        <f t="shared" si="3"/>
        <v>Upward (observables)</v>
      </c>
      <c r="AC28" s="115" t="str">
        <f t="shared" si="4"/>
        <v>✓</v>
      </c>
      <c r="AD28" s="115" t="str">
        <f t="shared" si="5"/>
        <v/>
      </c>
      <c r="AE28" s="115" t="str">
        <f t="shared" si="6"/>
        <v/>
      </c>
      <c r="AF28" s="115" t="s">
        <v>273</v>
      </c>
      <c r="AG28" s="119"/>
      <c r="AH28" s="115">
        <f>COUNTIF('CVE Register'!$P$6:$P$300,A28)</f>
        <v>0</v>
      </c>
      <c r="AI28" s="115" t="s">
        <v>1114</v>
      </c>
      <c r="AJ28" s="117"/>
      <c r="AK28" s="115" t="s">
        <v>278</v>
      </c>
      <c r="AL28" s="118" t="s">
        <v>431</v>
      </c>
      <c r="AM28" s="117" t="s">
        <v>1115</v>
      </c>
      <c r="AN28" s="78" t="s">
        <v>434</v>
      </c>
    </row>
    <row r="29" ht="51.75" customHeight="1">
      <c r="A29" s="107">
        <v>24.0</v>
      </c>
      <c r="B29" s="108" t="s">
        <v>1119</v>
      </c>
      <c r="C29" s="109" t="s">
        <v>1121</v>
      </c>
      <c r="D29" s="109" t="s">
        <v>1122</v>
      </c>
      <c r="E29" s="77" t="s">
        <v>943</v>
      </c>
      <c r="F29" s="110" t="s">
        <v>1123</v>
      </c>
      <c r="G29" s="109" t="s">
        <v>1128</v>
      </c>
      <c r="H29" s="109" t="s">
        <v>551</v>
      </c>
      <c r="I29" s="109" t="s">
        <v>1129</v>
      </c>
      <c r="J29" s="111" t="s">
        <v>203</v>
      </c>
      <c r="K29" s="112" t="s">
        <v>1130</v>
      </c>
      <c r="L29" s="109" t="s">
        <v>1132</v>
      </c>
      <c r="M29" s="113" t="s">
        <v>1133</v>
      </c>
      <c r="N29" s="77" t="s">
        <v>380</v>
      </c>
      <c r="O29" s="114" t="s">
        <v>1098</v>
      </c>
      <c r="P29" s="112" t="s">
        <v>1134</v>
      </c>
      <c r="Q29" s="76" t="s">
        <v>236</v>
      </c>
      <c r="R29" s="115" t="str">
        <f t="shared" si="1"/>
        <v>Yes</v>
      </c>
      <c r="S29" s="76" t="str">
        <f t="shared" si="2"/>
        <v>Manesh &amp; Kaabouch (2017). "Analysis of Vulnerabilities, Attacks, Countermeasures and Overall Risk of the ADS-B System". Int. J. Critical Infrastructure Protection (IJCIP).</v>
      </c>
      <c r="T29" s="116" t="s">
        <v>1135</v>
      </c>
      <c r="U29" s="117" t="s">
        <v>778</v>
      </c>
      <c r="V29" s="76" t="s">
        <v>205</v>
      </c>
      <c r="W29" s="76" t="s">
        <v>407</v>
      </c>
      <c r="X29" s="76" t="s">
        <v>1144</v>
      </c>
      <c r="Y29" s="118" t="s">
        <v>409</v>
      </c>
      <c r="Z29" s="114" t="s">
        <v>42</v>
      </c>
      <c r="AA29" s="114" t="s">
        <v>197</v>
      </c>
      <c r="AB29" s="115" t="str">
        <f t="shared" si="3"/>
        <v>Upward (observables)</v>
      </c>
      <c r="AC29" s="115" t="str">
        <f t="shared" si="4"/>
        <v>✓</v>
      </c>
      <c r="AD29" s="115" t="str">
        <f t="shared" si="5"/>
        <v/>
      </c>
      <c r="AE29" s="115" t="str">
        <f t="shared" si="6"/>
        <v/>
      </c>
      <c r="AF29" s="115" t="s">
        <v>273</v>
      </c>
      <c r="AG29" s="119"/>
      <c r="AH29" s="115">
        <f>COUNTIF('CVE Register'!$P$6:$P$300,A29)</f>
        <v>0</v>
      </c>
      <c r="AI29" s="115" t="s">
        <v>427</v>
      </c>
      <c r="AJ29" s="117"/>
      <c r="AK29" s="115" t="s">
        <v>278</v>
      </c>
      <c r="AL29" s="118" t="s">
        <v>431</v>
      </c>
      <c r="AM29" s="117" t="s">
        <v>628</v>
      </c>
      <c r="AN29" s="78" t="s">
        <v>434</v>
      </c>
    </row>
    <row r="30" ht="51.75" customHeight="1">
      <c r="A30" s="107">
        <v>25.0</v>
      </c>
      <c r="B30" s="108" t="s">
        <v>1156</v>
      </c>
      <c r="C30" s="109" t="s">
        <v>1157</v>
      </c>
      <c r="D30" s="109" t="s">
        <v>1158</v>
      </c>
      <c r="E30" s="77" t="s">
        <v>943</v>
      </c>
      <c r="F30" s="110" t="s">
        <v>1159</v>
      </c>
      <c r="G30" s="109" t="s">
        <v>1162</v>
      </c>
      <c r="H30" s="109" t="s">
        <v>615</v>
      </c>
      <c r="I30" s="109" t="s">
        <v>1163</v>
      </c>
      <c r="J30" s="111" t="s">
        <v>203</v>
      </c>
      <c r="K30" s="112" t="s">
        <v>1164</v>
      </c>
      <c r="L30" s="109" t="s">
        <v>1165</v>
      </c>
      <c r="M30" s="113" t="s">
        <v>1166</v>
      </c>
      <c r="N30" s="77" t="s">
        <v>458</v>
      </c>
      <c r="O30" s="114" t="s">
        <v>1098</v>
      </c>
      <c r="P30" s="112" t="s">
        <v>1169</v>
      </c>
      <c r="Q30" s="76" t="s">
        <v>236</v>
      </c>
      <c r="R30" s="115" t="str">
        <f t="shared" si="1"/>
        <v>Yes</v>
      </c>
      <c r="S30" s="76" t="str">
        <f t="shared" si="2"/>
        <v>Psiaki &amp; Humphreys (2016). "GNSS Spoofing and Detection". Proceedings of the IEEE.</v>
      </c>
      <c r="T30" s="116" t="s">
        <v>1175</v>
      </c>
      <c r="U30" s="117" t="s">
        <v>204</v>
      </c>
      <c r="V30" s="76" t="s">
        <v>205</v>
      </c>
      <c r="W30" s="76" t="s">
        <v>407</v>
      </c>
      <c r="X30" s="76" t="s">
        <v>1179</v>
      </c>
      <c r="Y30" s="118" t="s">
        <v>386</v>
      </c>
      <c r="Z30" s="114" t="s">
        <v>42</v>
      </c>
      <c r="AA30" s="114" t="s">
        <v>42</v>
      </c>
      <c r="AB30" s="115" t="str">
        <f t="shared" si="3"/>
        <v>Within layer</v>
      </c>
      <c r="AC30" s="115" t="str">
        <f t="shared" si="4"/>
        <v/>
      </c>
      <c r="AD30" s="115" t="str">
        <f t="shared" si="5"/>
        <v/>
      </c>
      <c r="AE30" s="115" t="str">
        <f t="shared" si="6"/>
        <v/>
      </c>
      <c r="AF30" s="115" t="s">
        <v>470</v>
      </c>
      <c r="AG30" s="119"/>
      <c r="AH30" s="115">
        <f>COUNTIF('CVE Register'!$P$6:$P$300,A30)</f>
        <v>0</v>
      </c>
      <c r="AI30" s="115" t="s">
        <v>473</v>
      </c>
      <c r="AJ30" s="117"/>
      <c r="AK30" s="115" t="s">
        <v>278</v>
      </c>
      <c r="AL30" s="118" t="s">
        <v>476</v>
      </c>
      <c r="AM30" s="117" t="s">
        <v>1068</v>
      </c>
      <c r="AN30" s="78" t="s">
        <v>478</v>
      </c>
    </row>
    <row r="31" ht="51.75" customHeight="1">
      <c r="A31" s="107">
        <v>26.0</v>
      </c>
      <c r="B31" s="108" t="s">
        <v>1187</v>
      </c>
      <c r="C31" s="109" t="s">
        <v>1188</v>
      </c>
      <c r="D31" s="109" t="s">
        <v>1189</v>
      </c>
      <c r="E31" s="77" t="s">
        <v>943</v>
      </c>
      <c r="F31" s="110" t="s">
        <v>1190</v>
      </c>
      <c r="G31" s="109" t="s">
        <v>1201</v>
      </c>
      <c r="H31" s="109" t="s">
        <v>1202</v>
      </c>
      <c r="I31" s="109" t="s">
        <v>1203</v>
      </c>
      <c r="J31" s="111" t="s">
        <v>203</v>
      </c>
      <c r="K31" s="112" t="s">
        <v>1204</v>
      </c>
      <c r="L31" s="109" t="s">
        <v>1205</v>
      </c>
      <c r="M31" s="113" t="s">
        <v>1206</v>
      </c>
      <c r="N31" s="77" t="s">
        <v>380</v>
      </c>
      <c r="O31" s="114" t="s">
        <v>1098</v>
      </c>
      <c r="P31" s="112" t="s">
        <v>1207</v>
      </c>
      <c r="Q31" s="76" t="s">
        <v>236</v>
      </c>
      <c r="R31" s="115" t="str">
        <f t="shared" si="1"/>
        <v>Yes</v>
      </c>
      <c r="S31" s="76" t="str">
        <f t="shared" si="2"/>
        <v>Strohmeier et al. (2019). "On the Applicability of Satellite-Based Air Traffic Control Communication for Security". IEEE Communications Magazine.</v>
      </c>
      <c r="T31" s="116" t="s">
        <v>1210</v>
      </c>
      <c r="U31" s="117" t="s">
        <v>1211</v>
      </c>
      <c r="V31" s="76" t="s">
        <v>205</v>
      </c>
      <c r="W31" s="76" t="s">
        <v>407</v>
      </c>
      <c r="X31" s="76" t="s">
        <v>1212</v>
      </c>
      <c r="Y31" s="118" t="s">
        <v>409</v>
      </c>
      <c r="Z31" s="114" t="s">
        <v>42</v>
      </c>
      <c r="AA31" s="114" t="s">
        <v>197</v>
      </c>
      <c r="AB31" s="115" t="str">
        <f t="shared" si="3"/>
        <v>Upward (observables)</v>
      </c>
      <c r="AC31" s="115" t="str">
        <f t="shared" si="4"/>
        <v>✓</v>
      </c>
      <c r="AD31" s="115" t="str">
        <f t="shared" si="5"/>
        <v/>
      </c>
      <c r="AE31" s="115" t="str">
        <f t="shared" si="6"/>
        <v/>
      </c>
      <c r="AF31" s="115" t="s">
        <v>752</v>
      </c>
      <c r="AG31" s="119"/>
      <c r="AH31" s="115">
        <f>COUNTIF('CVE Register'!$P$6:$P$300,A31)</f>
        <v>0</v>
      </c>
      <c r="AI31" s="115" t="s">
        <v>1227</v>
      </c>
      <c r="AJ31" s="117" t="s">
        <v>1228</v>
      </c>
      <c r="AK31" s="115" t="s">
        <v>278</v>
      </c>
      <c r="AL31" s="118" t="s">
        <v>34</v>
      </c>
      <c r="AM31" s="117" t="s">
        <v>1229</v>
      </c>
      <c r="AN31" s="78" t="s">
        <v>84</v>
      </c>
    </row>
    <row r="32" ht="51.75" customHeight="1">
      <c r="A32" s="107">
        <v>27.0</v>
      </c>
      <c r="B32" s="108" t="s">
        <v>1231</v>
      </c>
      <c r="C32" s="109" t="s">
        <v>1232</v>
      </c>
      <c r="D32" s="109" t="s">
        <v>1233</v>
      </c>
      <c r="E32" s="77" t="s">
        <v>943</v>
      </c>
      <c r="F32" s="110" t="s">
        <v>1234</v>
      </c>
      <c r="G32" s="109" t="s">
        <v>1236</v>
      </c>
      <c r="H32" s="109" t="s">
        <v>1237</v>
      </c>
      <c r="I32" s="109" t="s">
        <v>1238</v>
      </c>
      <c r="J32" s="111" t="s">
        <v>203</v>
      </c>
      <c r="K32" s="112" t="s">
        <v>1239</v>
      </c>
      <c r="L32" s="109" t="s">
        <v>1240</v>
      </c>
      <c r="M32" s="113" t="s">
        <v>1241</v>
      </c>
      <c r="N32" s="77" t="s">
        <v>380</v>
      </c>
      <c r="O32" s="114" t="s">
        <v>1098</v>
      </c>
      <c r="P32" s="112" t="s">
        <v>1242</v>
      </c>
      <c r="Q32" s="76" t="s">
        <v>236</v>
      </c>
      <c r="R32" s="115" t="str">
        <f t="shared" si="1"/>
        <v>Yes</v>
      </c>
      <c r="S32" s="76" t="str">
        <f t="shared" si="2"/>
        <v>Sciancalepore &amp; Di Pietro (2021). "SOS: Standard-Compliant and Packet Loss Tolerant Security Framework for ADS-B Communications". IEEE Trans. Dependable and Secure Computing (TDSC).</v>
      </c>
      <c r="T32" s="116" t="s">
        <v>1160</v>
      </c>
      <c r="U32" s="117" t="s">
        <v>778</v>
      </c>
      <c r="V32" s="76" t="s">
        <v>205</v>
      </c>
      <c r="W32" s="76" t="s">
        <v>407</v>
      </c>
      <c r="X32" s="76" t="s">
        <v>1249</v>
      </c>
      <c r="Y32" s="118" t="s">
        <v>409</v>
      </c>
      <c r="Z32" s="114" t="s">
        <v>42</v>
      </c>
      <c r="AA32" s="114" t="s">
        <v>197</v>
      </c>
      <c r="AB32" s="115" t="str">
        <f t="shared" si="3"/>
        <v>Upward (observables)</v>
      </c>
      <c r="AC32" s="115" t="str">
        <f t="shared" si="4"/>
        <v>✓</v>
      </c>
      <c r="AD32" s="115" t="str">
        <f t="shared" si="5"/>
        <v/>
      </c>
      <c r="AE32" s="115" t="str">
        <f t="shared" si="6"/>
        <v/>
      </c>
      <c r="AF32" s="115" t="s">
        <v>273</v>
      </c>
      <c r="AG32" s="119"/>
      <c r="AH32" s="115">
        <f>COUNTIF('CVE Register'!$P$6:$P$300,A32)</f>
        <v>0</v>
      </c>
      <c r="AI32" s="115" t="s">
        <v>1147</v>
      </c>
      <c r="AJ32" s="117"/>
      <c r="AK32" s="115" t="s">
        <v>278</v>
      </c>
      <c r="AL32" s="118" t="s">
        <v>431</v>
      </c>
      <c r="AM32" s="117" t="s">
        <v>628</v>
      </c>
      <c r="AN32" s="78" t="s">
        <v>434</v>
      </c>
    </row>
    <row r="33" ht="51.75" customHeight="1">
      <c r="A33" s="107">
        <v>28.0</v>
      </c>
      <c r="B33" s="108" t="s">
        <v>1252</v>
      </c>
      <c r="C33" s="109" t="s">
        <v>1253</v>
      </c>
      <c r="D33" s="109" t="s">
        <v>1254</v>
      </c>
      <c r="E33" s="77" t="s">
        <v>1255</v>
      </c>
      <c r="F33" s="110" t="s">
        <v>1256</v>
      </c>
      <c r="G33" s="109" t="s">
        <v>1259</v>
      </c>
      <c r="H33" s="109" t="s">
        <v>1260</v>
      </c>
      <c r="I33" s="109" t="s">
        <v>1261</v>
      </c>
      <c r="J33" s="111" t="s">
        <v>203</v>
      </c>
      <c r="K33" s="112" t="s">
        <v>1262</v>
      </c>
      <c r="L33" s="109" t="s">
        <v>1263</v>
      </c>
      <c r="M33" s="113" t="s">
        <v>1264</v>
      </c>
      <c r="N33" s="77" t="s">
        <v>380</v>
      </c>
      <c r="O33" s="114" t="s">
        <v>1098</v>
      </c>
      <c r="P33" s="112" t="s">
        <v>1265</v>
      </c>
      <c r="Q33" s="76" t="s">
        <v>236</v>
      </c>
      <c r="R33" s="115" t="str">
        <f t="shared" si="1"/>
        <v>Yes</v>
      </c>
      <c r="S33" s="76" t="str">
        <f t="shared" si="2"/>
        <v>Leonardi et al. (2017). "Air Traffic Security: Aircraft Classification Using ADS-B Message's Phase-Pattern". Aerospace (MDPI).</v>
      </c>
      <c r="T33" s="116" t="s">
        <v>1267</v>
      </c>
      <c r="U33" s="117" t="s">
        <v>204</v>
      </c>
      <c r="V33" s="76" t="s">
        <v>205</v>
      </c>
      <c r="W33" s="76" t="s">
        <v>407</v>
      </c>
      <c r="X33" s="76" t="s">
        <v>1268</v>
      </c>
      <c r="Y33" s="118" t="s">
        <v>409</v>
      </c>
      <c r="Z33" s="114" t="s">
        <v>42</v>
      </c>
      <c r="AA33" s="114" t="s">
        <v>42</v>
      </c>
      <c r="AB33" s="115" t="str">
        <f t="shared" si="3"/>
        <v>Within layer</v>
      </c>
      <c r="AC33" s="115" t="str">
        <f t="shared" si="4"/>
        <v/>
      </c>
      <c r="AD33" s="115" t="str">
        <f t="shared" si="5"/>
        <v/>
      </c>
      <c r="AE33" s="115" t="str">
        <f t="shared" si="6"/>
        <v/>
      </c>
      <c r="AF33" s="115" t="s">
        <v>273</v>
      </c>
      <c r="AG33" s="119"/>
      <c r="AH33" s="115">
        <f>COUNTIF('CVE Register'!$P$6:$P$300,A33)</f>
        <v>0</v>
      </c>
      <c r="AI33" s="115" t="s">
        <v>566</v>
      </c>
      <c r="AJ33" s="117"/>
      <c r="AK33" s="115" t="s">
        <v>278</v>
      </c>
      <c r="AL33" s="118" t="s">
        <v>431</v>
      </c>
      <c r="AM33" s="117" t="s">
        <v>628</v>
      </c>
      <c r="AN33" s="78" t="s">
        <v>434</v>
      </c>
    </row>
    <row r="34" ht="46.5" customHeight="1">
      <c r="A34" s="107">
        <v>29.0</v>
      </c>
      <c r="B34" s="108" t="s">
        <v>1279</v>
      </c>
      <c r="C34" s="109" t="s">
        <v>1280</v>
      </c>
      <c r="D34" s="109" t="s">
        <v>1281</v>
      </c>
      <c r="E34" s="77" t="s">
        <v>1282</v>
      </c>
      <c r="F34" s="110" t="s">
        <v>1283</v>
      </c>
      <c r="G34" s="109" t="s">
        <v>1285</v>
      </c>
      <c r="H34" s="109" t="s">
        <v>1286</v>
      </c>
      <c r="I34" s="109" t="s">
        <v>1287</v>
      </c>
      <c r="J34" s="111" t="s">
        <v>203</v>
      </c>
      <c r="K34" s="112" t="s">
        <v>1288</v>
      </c>
      <c r="L34" s="109" t="s">
        <v>1289</v>
      </c>
      <c r="M34" s="113" t="s">
        <v>1290</v>
      </c>
      <c r="N34" s="77" t="s">
        <v>380</v>
      </c>
      <c r="O34" s="114" t="s">
        <v>1098</v>
      </c>
      <c r="P34" s="112" t="s">
        <v>1292</v>
      </c>
      <c r="Q34" s="76" t="s">
        <v>236</v>
      </c>
      <c r="R34" s="115" t="str">
        <f t="shared" si="1"/>
        <v>Yes</v>
      </c>
      <c r="S34" s="76" t="str">
        <f t="shared" si="2"/>
        <v>Choudhary et al. (2022). "Aviation Attacks Based on ILS and VOR Vulnerabilities". Journal of Surveillance, Security and Safety (OAE).</v>
      </c>
      <c r="T34" s="116" t="s">
        <v>1294</v>
      </c>
      <c r="U34" s="117" t="s">
        <v>1296</v>
      </c>
      <c r="V34" s="76" t="s">
        <v>205</v>
      </c>
      <c r="W34" s="76" t="s">
        <v>407</v>
      </c>
      <c r="X34" s="76" t="s">
        <v>1297</v>
      </c>
      <c r="Y34" s="118" t="s">
        <v>934</v>
      </c>
      <c r="Z34" s="114" t="s">
        <v>42</v>
      </c>
      <c r="AA34" s="114" t="s">
        <v>42</v>
      </c>
      <c r="AB34" s="115" t="str">
        <f t="shared" si="3"/>
        <v>Within layer</v>
      </c>
      <c r="AC34" s="115" t="str">
        <f t="shared" si="4"/>
        <v/>
      </c>
      <c r="AD34" s="115" t="str">
        <f t="shared" si="5"/>
        <v/>
      </c>
      <c r="AE34" s="115" t="str">
        <f t="shared" si="6"/>
        <v/>
      </c>
      <c r="AF34" s="115" t="s">
        <v>273</v>
      </c>
      <c r="AG34" s="119"/>
      <c r="AH34" s="115">
        <f>COUNTIF('CVE Register'!$P$6:$P$300,A34)</f>
        <v>0</v>
      </c>
      <c r="AI34" s="115" t="s">
        <v>566</v>
      </c>
      <c r="AJ34" s="117"/>
      <c r="AK34" s="115" t="s">
        <v>278</v>
      </c>
      <c r="AL34" s="118" t="s">
        <v>1299</v>
      </c>
      <c r="AM34" s="117" t="s">
        <v>1301</v>
      </c>
      <c r="AN34" s="78" t="s">
        <v>1302</v>
      </c>
    </row>
    <row r="35" ht="63.0" customHeight="1">
      <c r="A35" s="107">
        <v>30.0</v>
      </c>
      <c r="B35" s="108" t="s">
        <v>1303</v>
      </c>
      <c r="C35" s="109" t="s">
        <v>1305</v>
      </c>
      <c r="D35" s="109" t="s">
        <v>1158</v>
      </c>
      <c r="E35" s="77" t="s">
        <v>943</v>
      </c>
      <c r="F35" s="110" t="s">
        <v>1159</v>
      </c>
      <c r="G35" s="109" t="s">
        <v>1307</v>
      </c>
      <c r="H35" s="109" t="s">
        <v>1308</v>
      </c>
      <c r="I35" s="109" t="s">
        <v>1310</v>
      </c>
      <c r="J35" s="111" t="s">
        <v>203</v>
      </c>
      <c r="K35" s="112" t="s">
        <v>1311</v>
      </c>
      <c r="L35" s="109" t="s">
        <v>1312</v>
      </c>
      <c r="M35" s="113" t="s">
        <v>1313</v>
      </c>
      <c r="N35" s="77" t="s">
        <v>180</v>
      </c>
      <c r="O35" s="114" t="s">
        <v>1098</v>
      </c>
      <c r="P35" s="112" t="s">
        <v>1314</v>
      </c>
      <c r="Q35" s="76" t="s">
        <v>236</v>
      </c>
      <c r="R35" s="115" t="str">
        <f t="shared" si="1"/>
        <v>Yes</v>
      </c>
      <c r="S35" s="76" t="str">
        <f t="shared" si="2"/>
        <v>Sampigethaya et al. (2011). "Future E-Enabled Aircraft Communications and Security: The Next 20 Years and Beyond". Proceedings of the IEEE.</v>
      </c>
      <c r="T35" s="116" t="s">
        <v>1315</v>
      </c>
      <c r="U35" s="117" t="s">
        <v>204</v>
      </c>
      <c r="V35" s="76" t="s">
        <v>504</v>
      </c>
      <c r="W35" s="76" t="s">
        <v>1317</v>
      </c>
      <c r="X35" s="76" t="s">
        <v>1318</v>
      </c>
      <c r="Y35" s="118" t="s">
        <v>214</v>
      </c>
      <c r="Z35" s="114" t="s">
        <v>197</v>
      </c>
      <c r="AA35" s="114" t="s">
        <v>121</v>
      </c>
      <c r="AB35" s="115" t="str">
        <f t="shared" si="3"/>
        <v>Upward (observables)</v>
      </c>
      <c r="AC35" s="115" t="str">
        <f t="shared" si="4"/>
        <v/>
      </c>
      <c r="AD35" s="115" t="str">
        <f t="shared" si="5"/>
        <v>✓</v>
      </c>
      <c r="AE35" s="115" t="str">
        <f t="shared" si="6"/>
        <v>✓</v>
      </c>
      <c r="AF35" s="115" t="s">
        <v>273</v>
      </c>
      <c r="AG35" s="119"/>
      <c r="AH35" s="115">
        <f>COUNTIF('CVE Register'!$P$6:$P$300,A35)</f>
        <v>0</v>
      </c>
      <c r="AI35" s="115" t="s">
        <v>1321</v>
      </c>
      <c r="AJ35" s="117"/>
      <c r="AK35" s="115" t="s">
        <v>278</v>
      </c>
      <c r="AL35" s="118" t="s">
        <v>1322</v>
      </c>
      <c r="AM35" s="117" t="s">
        <v>1323</v>
      </c>
      <c r="AN35" s="78" t="s">
        <v>1325</v>
      </c>
    </row>
    <row r="36" ht="46.5" customHeight="1">
      <c r="A36" s="107">
        <v>31.0</v>
      </c>
      <c r="B36" s="108" t="s">
        <v>1327</v>
      </c>
      <c r="C36" s="109" t="s">
        <v>1328</v>
      </c>
      <c r="D36" s="109" t="s">
        <v>1329</v>
      </c>
      <c r="E36" s="77" t="s">
        <v>943</v>
      </c>
      <c r="F36" s="110" t="s">
        <v>1330</v>
      </c>
      <c r="G36" s="109" t="s">
        <v>1332</v>
      </c>
      <c r="H36" s="109" t="s">
        <v>1333</v>
      </c>
      <c r="I36" s="109" t="s">
        <v>1334</v>
      </c>
      <c r="J36" s="111" t="s">
        <v>203</v>
      </c>
      <c r="K36" s="112" t="s">
        <v>1335</v>
      </c>
      <c r="L36" s="109" t="s">
        <v>1336</v>
      </c>
      <c r="M36" s="113" t="s">
        <v>1337</v>
      </c>
      <c r="N36" s="77" t="s">
        <v>180</v>
      </c>
      <c r="O36" s="114" t="s">
        <v>1098</v>
      </c>
      <c r="P36" s="112" t="s">
        <v>1338</v>
      </c>
      <c r="Q36" s="76" t="s">
        <v>236</v>
      </c>
      <c r="R36" s="115" t="str">
        <f t="shared" si="1"/>
        <v>Yes</v>
      </c>
      <c r="S36" s="76" t="str">
        <f t="shared" si="2"/>
        <v>Gurtov, Polishchuk &amp; Wernberg (2018). "Controller-Pilot Data Link Communication Security". Sensors (MDPI).</v>
      </c>
      <c r="T36" s="116" t="s">
        <v>1339</v>
      </c>
      <c r="U36" s="117" t="s">
        <v>466</v>
      </c>
      <c r="V36" s="76" t="s">
        <v>205</v>
      </c>
      <c r="W36" s="76" t="s">
        <v>1317</v>
      </c>
      <c r="X36" s="76" t="s">
        <v>1343</v>
      </c>
      <c r="Y36" s="118" t="s">
        <v>214</v>
      </c>
      <c r="Z36" s="114" t="s">
        <v>197</v>
      </c>
      <c r="AA36" s="114" t="s">
        <v>121</v>
      </c>
      <c r="AB36" s="115" t="str">
        <f t="shared" si="3"/>
        <v>Upward (observables)</v>
      </c>
      <c r="AC36" s="115" t="str">
        <f t="shared" si="4"/>
        <v/>
      </c>
      <c r="AD36" s="115" t="str">
        <f t="shared" si="5"/>
        <v>✓</v>
      </c>
      <c r="AE36" s="115" t="str">
        <f t="shared" si="6"/>
        <v>✓</v>
      </c>
      <c r="AF36" s="115" t="s">
        <v>273</v>
      </c>
      <c r="AG36" s="119"/>
      <c r="AH36" s="115">
        <f>COUNTIF('CVE Register'!$P$6:$P$300,A36)</f>
        <v>0</v>
      </c>
      <c r="AI36" s="115" t="s">
        <v>275</v>
      </c>
      <c r="AJ36" s="117"/>
      <c r="AK36" s="115" t="s">
        <v>278</v>
      </c>
      <c r="AL36" s="118" t="s">
        <v>1299</v>
      </c>
      <c r="AM36" s="117" t="s">
        <v>1345</v>
      </c>
      <c r="AN36" s="78" t="s">
        <v>1346</v>
      </c>
    </row>
    <row r="37" ht="46.5" customHeight="1">
      <c r="A37" s="107">
        <v>32.0</v>
      </c>
      <c r="B37" s="108" t="s">
        <v>1347</v>
      </c>
      <c r="C37" s="109" t="s">
        <v>1348</v>
      </c>
      <c r="D37" s="109" t="s">
        <v>1349</v>
      </c>
      <c r="E37" s="77" t="s">
        <v>943</v>
      </c>
      <c r="F37" s="110" t="s">
        <v>1350</v>
      </c>
      <c r="G37" s="109" t="s">
        <v>1353</v>
      </c>
      <c r="H37" s="109" t="s">
        <v>1354</v>
      </c>
      <c r="I37" s="109" t="s">
        <v>1355</v>
      </c>
      <c r="J37" s="111" t="s">
        <v>203</v>
      </c>
      <c r="K37" s="112" t="s">
        <v>1356</v>
      </c>
      <c r="L37" s="109" t="s">
        <v>1357</v>
      </c>
      <c r="M37" s="113" t="s">
        <v>1358</v>
      </c>
      <c r="N37" s="77" t="s">
        <v>180</v>
      </c>
      <c r="O37" s="114" t="s">
        <v>1098</v>
      </c>
      <c r="P37" s="112" t="s">
        <v>1360</v>
      </c>
      <c r="Q37" s="76" t="s">
        <v>236</v>
      </c>
      <c r="R37" s="115" t="str">
        <f t="shared" si="1"/>
        <v>Yes</v>
      </c>
      <c r="S37" s="76" t="str">
        <f t="shared" si="2"/>
        <v>Mäurer et al. (2022). "Advancing the Security of LDACS". IEEE Trans. Network and Service Management (TNSM).</v>
      </c>
      <c r="T37" s="116" t="s">
        <v>1178</v>
      </c>
      <c r="U37" s="117" t="s">
        <v>778</v>
      </c>
      <c r="V37" s="76" t="s">
        <v>205</v>
      </c>
      <c r="W37" s="76" t="s">
        <v>1317</v>
      </c>
      <c r="X37" s="76" t="s">
        <v>1363</v>
      </c>
      <c r="Y37" s="118" t="s">
        <v>214</v>
      </c>
      <c r="Z37" s="114" t="s">
        <v>197</v>
      </c>
      <c r="AA37" s="114" t="s">
        <v>197</v>
      </c>
      <c r="AB37" s="115" t="str">
        <f t="shared" si="3"/>
        <v>Within layer</v>
      </c>
      <c r="AC37" s="115" t="str">
        <f t="shared" si="4"/>
        <v/>
      </c>
      <c r="AD37" s="115" t="str">
        <f t="shared" si="5"/>
        <v/>
      </c>
      <c r="AE37" s="115" t="str">
        <f t="shared" si="6"/>
        <v/>
      </c>
      <c r="AF37" s="115" t="s">
        <v>273</v>
      </c>
      <c r="AG37" s="119"/>
      <c r="AH37" s="115">
        <f>COUNTIF('CVE Register'!$P$6:$P$300,A37)</f>
        <v>0</v>
      </c>
      <c r="AI37" s="115" t="s">
        <v>275</v>
      </c>
      <c r="AJ37" s="117"/>
      <c r="AK37" s="115" t="s">
        <v>278</v>
      </c>
      <c r="AL37" s="118" t="s">
        <v>1299</v>
      </c>
      <c r="AM37" s="117" t="s">
        <v>1345</v>
      </c>
      <c r="AN37" s="78" t="s">
        <v>1346</v>
      </c>
    </row>
    <row r="38" ht="46.5" customHeight="1">
      <c r="A38" s="107">
        <v>33.0</v>
      </c>
      <c r="B38" s="108" t="s">
        <v>1367</v>
      </c>
      <c r="C38" s="109" t="s">
        <v>1348</v>
      </c>
      <c r="D38" s="109" t="s">
        <v>1122</v>
      </c>
      <c r="E38" s="77" t="s">
        <v>943</v>
      </c>
      <c r="F38" s="110" t="s">
        <v>1123</v>
      </c>
      <c r="G38" s="109" t="s">
        <v>1353</v>
      </c>
      <c r="H38" s="109" t="s">
        <v>1368</v>
      </c>
      <c r="I38" s="109" t="s">
        <v>1369</v>
      </c>
      <c r="J38" s="111" t="s">
        <v>203</v>
      </c>
      <c r="K38" s="112" t="s">
        <v>1370</v>
      </c>
      <c r="L38" s="109" t="s">
        <v>1371</v>
      </c>
      <c r="M38" s="113" t="s">
        <v>1372</v>
      </c>
      <c r="N38" s="77" t="s">
        <v>180</v>
      </c>
      <c r="O38" s="114" t="s">
        <v>1098</v>
      </c>
      <c r="P38" s="112" t="s">
        <v>1373</v>
      </c>
      <c r="Q38" s="76" t="s">
        <v>236</v>
      </c>
      <c r="R38" s="115" t="str">
        <f t="shared" si="1"/>
        <v>Yes</v>
      </c>
      <c r="S38" s="76" t="str">
        <f t="shared" si="2"/>
        <v>Mäurer et al. (2022). "Security in Digital Aeronautical Communications: A Comprehensive Gap Analysis". Int. J. Critical Infrastructure Protection (IJCIP).</v>
      </c>
      <c r="T38" s="116" t="s">
        <v>1376</v>
      </c>
      <c r="U38" s="117" t="s">
        <v>1378</v>
      </c>
      <c r="V38" s="76" t="s">
        <v>205</v>
      </c>
      <c r="W38" s="76" t="s">
        <v>1379</v>
      </c>
      <c r="X38" s="76" t="s">
        <v>1380</v>
      </c>
      <c r="Y38" s="118" t="s">
        <v>214</v>
      </c>
      <c r="Z38" s="114" t="s">
        <v>197</v>
      </c>
      <c r="AA38" s="114" t="s">
        <v>197</v>
      </c>
      <c r="AB38" s="115" t="str">
        <f t="shared" si="3"/>
        <v>Within layer</v>
      </c>
      <c r="AC38" s="115" t="str">
        <f t="shared" si="4"/>
        <v/>
      </c>
      <c r="AD38" s="115" t="str">
        <f t="shared" si="5"/>
        <v/>
      </c>
      <c r="AE38" s="115" t="str">
        <f t="shared" si="6"/>
        <v/>
      </c>
      <c r="AF38" s="115" t="s">
        <v>273</v>
      </c>
      <c r="AG38" s="119"/>
      <c r="AH38" s="115">
        <f>COUNTIF('CVE Register'!$P$6:$P$300,A38)</f>
        <v>0</v>
      </c>
      <c r="AI38" s="115" t="s">
        <v>275</v>
      </c>
      <c r="AJ38" s="117"/>
      <c r="AK38" s="115" t="s">
        <v>278</v>
      </c>
      <c r="AL38" s="118" t="s">
        <v>1299</v>
      </c>
      <c r="AM38" s="117" t="s">
        <v>1345</v>
      </c>
      <c r="AN38" s="78" t="s">
        <v>1346</v>
      </c>
    </row>
    <row r="39" ht="51.75" customHeight="1">
      <c r="A39" s="107">
        <v>34.0</v>
      </c>
      <c r="B39" s="108" t="s">
        <v>1382</v>
      </c>
      <c r="C39" s="109" t="s">
        <v>1383</v>
      </c>
      <c r="D39" s="109" t="s">
        <v>1007</v>
      </c>
      <c r="E39" s="77" t="s">
        <v>943</v>
      </c>
      <c r="F39" s="110" t="s">
        <v>1009</v>
      </c>
      <c r="G39" s="109" t="s">
        <v>1385</v>
      </c>
      <c r="H39" s="109" t="s">
        <v>1386</v>
      </c>
      <c r="I39" s="109" t="s">
        <v>1369</v>
      </c>
      <c r="J39" s="111" t="s">
        <v>203</v>
      </c>
      <c r="K39" s="112" t="s">
        <v>1390</v>
      </c>
      <c r="L39" s="109" t="s">
        <v>1391</v>
      </c>
      <c r="M39" s="113" t="s">
        <v>1392</v>
      </c>
      <c r="N39" s="77" t="s">
        <v>313</v>
      </c>
      <c r="O39" s="114" t="s">
        <v>1098</v>
      </c>
      <c r="P39" s="112" t="s">
        <v>1395</v>
      </c>
      <c r="Q39" s="76" t="s">
        <v>236</v>
      </c>
      <c r="R39" s="115" t="str">
        <f t="shared" si="1"/>
        <v>Yes</v>
      </c>
      <c r="S39" s="76" t="str">
        <f t="shared" si="2"/>
        <v>Manulis et al. (2021). "Cyber Security in New Space: Analysis of Threats, Key Enabling Technologies and Challenges". Int. J. Information Security (IJIS).</v>
      </c>
      <c r="T39" s="116" t="s">
        <v>1397</v>
      </c>
      <c r="U39" s="117" t="s">
        <v>204</v>
      </c>
      <c r="V39" s="76" t="s">
        <v>504</v>
      </c>
      <c r="W39" s="76" t="s">
        <v>1379</v>
      </c>
      <c r="X39" s="76" t="s">
        <v>1401</v>
      </c>
      <c r="Y39" s="118" t="s">
        <v>1251</v>
      </c>
      <c r="Z39" s="114" t="s">
        <v>42</v>
      </c>
      <c r="AA39" s="114" t="s">
        <v>197</v>
      </c>
      <c r="AB39" s="115" t="str">
        <f t="shared" si="3"/>
        <v>Upward (observables)</v>
      </c>
      <c r="AC39" s="115" t="str">
        <f t="shared" si="4"/>
        <v>✓</v>
      </c>
      <c r="AD39" s="115" t="str">
        <f t="shared" si="5"/>
        <v/>
      </c>
      <c r="AE39" s="115" t="str">
        <f t="shared" si="6"/>
        <v/>
      </c>
      <c r="AF39" s="115" t="s">
        <v>273</v>
      </c>
      <c r="AG39" s="119"/>
      <c r="AH39" s="115">
        <f>COUNTIF('CVE Register'!$P$6:$P$300,A39)</f>
        <v>0</v>
      </c>
      <c r="AI39" s="115" t="s">
        <v>694</v>
      </c>
      <c r="AJ39" s="117" t="s">
        <v>1409</v>
      </c>
      <c r="AK39" s="115" t="s">
        <v>278</v>
      </c>
      <c r="AL39" s="118" t="s">
        <v>280</v>
      </c>
      <c r="AM39" s="117" t="s">
        <v>1410</v>
      </c>
      <c r="AN39" s="78" t="s">
        <v>383</v>
      </c>
    </row>
    <row r="40" ht="63.0" customHeight="1">
      <c r="A40" s="107">
        <v>35.0</v>
      </c>
      <c r="B40" s="108" t="s">
        <v>1412</v>
      </c>
      <c r="C40" s="109" t="s">
        <v>1413</v>
      </c>
      <c r="D40" s="109" t="s">
        <v>1414</v>
      </c>
      <c r="E40" s="77" t="s">
        <v>1255</v>
      </c>
      <c r="F40" s="110" t="s">
        <v>1416</v>
      </c>
      <c r="G40" s="109" t="s">
        <v>1419</v>
      </c>
      <c r="H40" s="109" t="s">
        <v>1420</v>
      </c>
      <c r="I40" s="109" t="s">
        <v>1369</v>
      </c>
      <c r="J40" s="111" t="s">
        <v>203</v>
      </c>
      <c r="K40" s="112" t="s">
        <v>1422</v>
      </c>
      <c r="L40" s="109" t="s">
        <v>1423</v>
      </c>
      <c r="M40" s="113" t="s">
        <v>1424</v>
      </c>
      <c r="N40" s="77" t="s">
        <v>313</v>
      </c>
      <c r="O40" s="114" t="s">
        <v>1098</v>
      </c>
      <c r="P40" s="112" t="s">
        <v>1426</v>
      </c>
      <c r="Q40" s="76" t="s">
        <v>236</v>
      </c>
      <c r="R40" s="115" t="str">
        <f t="shared" si="1"/>
        <v>Yes</v>
      </c>
      <c r="S40" s="76" t="str">
        <f t="shared" si="2"/>
        <v>Falco (2019). "Cybersecurity Principles for Space Systems". J. Aerospace Information Systems (AIAA).</v>
      </c>
      <c r="T40" s="116" t="s">
        <v>1427</v>
      </c>
      <c r="U40" s="117" t="s">
        <v>204</v>
      </c>
      <c r="V40" s="76" t="s">
        <v>504</v>
      </c>
      <c r="W40" s="76" t="s">
        <v>1379</v>
      </c>
      <c r="X40" s="76" t="s">
        <v>1429</v>
      </c>
      <c r="Y40" s="118" t="s">
        <v>1251</v>
      </c>
      <c r="Z40" s="114" t="s">
        <v>42</v>
      </c>
      <c r="AA40" s="114" t="s">
        <v>121</v>
      </c>
      <c r="AB40" s="115" t="str">
        <f t="shared" si="3"/>
        <v>Upward (observables)</v>
      </c>
      <c r="AC40" s="115" t="str">
        <f t="shared" si="4"/>
        <v>✓</v>
      </c>
      <c r="AD40" s="115" t="str">
        <f t="shared" si="5"/>
        <v>✓</v>
      </c>
      <c r="AE40" s="115" t="str">
        <f t="shared" si="6"/>
        <v>✓</v>
      </c>
      <c r="AF40" s="115" t="s">
        <v>273</v>
      </c>
      <c r="AG40" s="119"/>
      <c r="AH40" s="115">
        <f>COUNTIF('CVE Register'!$P$6:$P$300,A40)</f>
        <v>0</v>
      </c>
      <c r="AI40" s="115" t="s">
        <v>694</v>
      </c>
      <c r="AJ40" s="117" t="s">
        <v>1434</v>
      </c>
      <c r="AK40" s="115" t="s">
        <v>278</v>
      </c>
      <c r="AL40" s="118" t="s">
        <v>1435</v>
      </c>
      <c r="AM40" s="117" t="s">
        <v>1436</v>
      </c>
      <c r="AN40" s="78" t="s">
        <v>1437</v>
      </c>
    </row>
    <row r="41" ht="46.5" customHeight="1">
      <c r="A41" s="107">
        <v>36.0</v>
      </c>
      <c r="B41" s="108" t="s">
        <v>1438</v>
      </c>
      <c r="C41" s="109" t="s">
        <v>1439</v>
      </c>
      <c r="D41" s="109" t="s">
        <v>1440</v>
      </c>
      <c r="E41" s="77" t="s">
        <v>943</v>
      </c>
      <c r="F41" s="110" t="s">
        <v>1442</v>
      </c>
      <c r="G41" s="109" t="s">
        <v>1445</v>
      </c>
      <c r="H41" s="109" t="s">
        <v>1446</v>
      </c>
      <c r="I41" s="109" t="s">
        <v>1447</v>
      </c>
      <c r="J41" s="111" t="s">
        <v>203</v>
      </c>
      <c r="K41" s="112" t="s">
        <v>1449</v>
      </c>
      <c r="L41" s="109" t="s">
        <v>1450</v>
      </c>
      <c r="M41" s="113" t="s">
        <v>1451</v>
      </c>
      <c r="N41" s="77" t="s">
        <v>313</v>
      </c>
      <c r="O41" s="114" t="s">
        <v>1098</v>
      </c>
      <c r="P41" s="112" t="s">
        <v>1452</v>
      </c>
      <c r="Q41" s="76" t="s">
        <v>236</v>
      </c>
      <c r="R41" s="115" t="str">
        <f t="shared" si="1"/>
        <v>Yes</v>
      </c>
      <c r="S41" s="76" t="str">
        <f t="shared" si="2"/>
        <v>Yue et al. (2022). "On the Security of LEO Satellite Communication Systems: Vulnerabilities, Countermeasures, and Future Trends". Science China Information Sciences.</v>
      </c>
      <c r="T41" s="116" t="s">
        <v>1454</v>
      </c>
      <c r="U41" s="117" t="s">
        <v>1458</v>
      </c>
      <c r="V41" s="76" t="s">
        <v>1459</v>
      </c>
      <c r="W41" s="76" t="s">
        <v>1379</v>
      </c>
      <c r="X41" s="76" t="s">
        <v>1460</v>
      </c>
      <c r="Y41" s="118" t="s">
        <v>1251</v>
      </c>
      <c r="Z41" s="114" t="s">
        <v>42</v>
      </c>
      <c r="AA41" s="114" t="s">
        <v>197</v>
      </c>
      <c r="AB41" s="115" t="str">
        <f t="shared" si="3"/>
        <v>Upward (observables)</v>
      </c>
      <c r="AC41" s="115" t="str">
        <f t="shared" si="4"/>
        <v>✓</v>
      </c>
      <c r="AD41" s="115" t="str">
        <f t="shared" si="5"/>
        <v/>
      </c>
      <c r="AE41" s="115" t="str">
        <f t="shared" si="6"/>
        <v/>
      </c>
      <c r="AF41" s="115" t="s">
        <v>273</v>
      </c>
      <c r="AG41" s="119"/>
      <c r="AH41" s="115">
        <f>COUNTIF('CVE Register'!$P$6:$P$300,A41)</f>
        <v>0</v>
      </c>
      <c r="AI41" s="115" t="s">
        <v>863</v>
      </c>
      <c r="AJ41" s="117" t="s">
        <v>1464</v>
      </c>
      <c r="AK41" s="115" t="s">
        <v>278</v>
      </c>
      <c r="AL41" s="118" t="s">
        <v>1299</v>
      </c>
      <c r="AM41" s="117" t="s">
        <v>1465</v>
      </c>
      <c r="AN41" s="78" t="s">
        <v>1466</v>
      </c>
    </row>
    <row r="42" ht="46.5" customHeight="1">
      <c r="A42" s="107">
        <v>37.0</v>
      </c>
      <c r="B42" s="108" t="s">
        <v>1468</v>
      </c>
      <c r="C42" s="109" t="s">
        <v>1469</v>
      </c>
      <c r="D42" s="109" t="s">
        <v>291</v>
      </c>
      <c r="E42" s="77" t="s">
        <v>293</v>
      </c>
      <c r="F42" s="110" t="s">
        <v>295</v>
      </c>
      <c r="G42" s="109" t="s">
        <v>1369</v>
      </c>
      <c r="H42" s="109" t="s">
        <v>1369</v>
      </c>
      <c r="I42" s="109" t="s">
        <v>1369</v>
      </c>
      <c r="J42" s="111" t="s">
        <v>203</v>
      </c>
      <c r="K42" s="112" t="s">
        <v>1470</v>
      </c>
      <c r="L42" s="109" t="s">
        <v>1471</v>
      </c>
      <c r="M42" s="113" t="s">
        <v>1472</v>
      </c>
      <c r="N42" s="77" t="s">
        <v>313</v>
      </c>
      <c r="O42" s="114" t="s">
        <v>1098</v>
      </c>
      <c r="P42" s="112" t="s">
        <v>1473</v>
      </c>
      <c r="Q42" s="76" t="s">
        <v>185</v>
      </c>
      <c r="R42" s="115" t="str">
        <f t="shared" si="1"/>
        <v>Yes</v>
      </c>
      <c r="S42" s="76" t="str">
        <f t="shared" si="2"/>
        <v>Castanon Remy et al. (2025). "SoK: Space Infrastructures Vulnerabilities, Attacks and Defenses". IEEE Symposium on Security and Privacy (S&amp;P).</v>
      </c>
      <c r="T42" s="116" t="s">
        <v>1475</v>
      </c>
      <c r="U42" s="117" t="s">
        <v>778</v>
      </c>
      <c r="V42" s="76" t="s">
        <v>1379</v>
      </c>
      <c r="W42" s="76" t="s">
        <v>1379</v>
      </c>
      <c r="X42" s="76" t="s">
        <v>1478</v>
      </c>
      <c r="Y42" s="118" t="s">
        <v>1251</v>
      </c>
      <c r="Z42" s="114" t="s">
        <v>42</v>
      </c>
      <c r="AA42" s="114" t="s">
        <v>197</v>
      </c>
      <c r="AB42" s="115" t="str">
        <f t="shared" si="3"/>
        <v>Upward (observables)</v>
      </c>
      <c r="AC42" s="115" t="str">
        <f t="shared" si="4"/>
        <v>✓</v>
      </c>
      <c r="AD42" s="115" t="str">
        <f t="shared" si="5"/>
        <v/>
      </c>
      <c r="AE42" s="115" t="str">
        <f t="shared" si="6"/>
        <v/>
      </c>
      <c r="AF42" s="115" t="s">
        <v>273</v>
      </c>
      <c r="AG42" s="119"/>
      <c r="AH42" s="115">
        <f>COUNTIF('CVE Register'!$P$6:$P$300,A42)</f>
        <v>0</v>
      </c>
      <c r="AI42" s="115" t="s">
        <v>1214</v>
      </c>
      <c r="AJ42" s="117"/>
      <c r="AK42" s="115" t="s">
        <v>278</v>
      </c>
      <c r="AL42" s="118" t="s">
        <v>1299</v>
      </c>
      <c r="AM42" s="117" t="s">
        <v>1465</v>
      </c>
      <c r="AN42" s="78" t="s">
        <v>1466</v>
      </c>
    </row>
    <row r="43" ht="46.5" customHeight="1">
      <c r="A43" s="107">
        <v>38.0</v>
      </c>
      <c r="B43" s="108" t="s">
        <v>1483</v>
      </c>
      <c r="C43" s="109" t="s">
        <v>1484</v>
      </c>
      <c r="D43" s="109" t="s">
        <v>1485</v>
      </c>
      <c r="E43" s="77" t="s">
        <v>440</v>
      </c>
      <c r="F43" s="110" t="s">
        <v>1487</v>
      </c>
      <c r="G43" s="109" t="s">
        <v>1489</v>
      </c>
      <c r="H43" s="109" t="s">
        <v>1490</v>
      </c>
      <c r="I43" s="109" t="s">
        <v>1369</v>
      </c>
      <c r="J43" s="111" t="s">
        <v>203</v>
      </c>
      <c r="K43" s="112" t="s">
        <v>1491</v>
      </c>
      <c r="L43" s="109" t="s">
        <v>1492</v>
      </c>
      <c r="M43" s="113" t="s">
        <v>1493</v>
      </c>
      <c r="N43" s="77" t="s">
        <v>313</v>
      </c>
      <c r="O43" s="114" t="s">
        <v>1098</v>
      </c>
      <c r="P43" s="112" t="s">
        <v>1494</v>
      </c>
      <c r="Q43" s="76" t="s">
        <v>277</v>
      </c>
      <c r="R43" s="115" t="str">
        <f t="shared" si="1"/>
        <v>Yes</v>
      </c>
      <c r="S43" s="76" t="str">
        <f t="shared" si="2"/>
        <v>Frøseth, Kavallieratos &amp; Katsikas (2024). "Threat Modeling in Satellite Communications for Maritime Operations". ESORICS Workshops (CyberICPS).</v>
      </c>
      <c r="T43" s="116" t="s">
        <v>1495</v>
      </c>
      <c r="U43" s="117" t="s">
        <v>1496</v>
      </c>
      <c r="V43" s="76" t="s">
        <v>504</v>
      </c>
      <c r="W43" s="76" t="s">
        <v>1379</v>
      </c>
      <c r="X43" s="76" t="s">
        <v>1497</v>
      </c>
      <c r="Y43" s="118" t="s">
        <v>1251</v>
      </c>
      <c r="Z43" s="114" t="s">
        <v>42</v>
      </c>
      <c r="AA43" s="114" t="s">
        <v>121</v>
      </c>
      <c r="AB43" s="115" t="str">
        <f t="shared" si="3"/>
        <v>Upward (observables)</v>
      </c>
      <c r="AC43" s="115" t="str">
        <f t="shared" si="4"/>
        <v>✓</v>
      </c>
      <c r="AD43" s="115" t="str">
        <f t="shared" si="5"/>
        <v>✓</v>
      </c>
      <c r="AE43" s="115" t="str">
        <f t="shared" si="6"/>
        <v>✓</v>
      </c>
      <c r="AF43" s="115" t="s">
        <v>273</v>
      </c>
      <c r="AG43" s="119"/>
      <c r="AH43" s="115">
        <f>COUNTIF('CVE Register'!$P$6:$P$300,A43)</f>
        <v>0</v>
      </c>
      <c r="AI43" s="115" t="s">
        <v>1214</v>
      </c>
      <c r="AJ43" s="117" t="s">
        <v>1498</v>
      </c>
      <c r="AK43" s="115" t="s">
        <v>278</v>
      </c>
      <c r="AL43" s="118" t="s">
        <v>1299</v>
      </c>
      <c r="AM43" s="117" t="s">
        <v>1465</v>
      </c>
      <c r="AN43" s="78" t="s">
        <v>1466</v>
      </c>
    </row>
    <row r="44" ht="51.75" customHeight="1">
      <c r="A44" s="107">
        <v>39.0</v>
      </c>
      <c r="B44" s="108" t="s">
        <v>1499</v>
      </c>
      <c r="C44" s="109" t="s">
        <v>1500</v>
      </c>
      <c r="D44" s="109" t="s">
        <v>1501</v>
      </c>
      <c r="E44" s="77" t="s">
        <v>943</v>
      </c>
      <c r="F44" s="110" t="s">
        <v>1502</v>
      </c>
      <c r="G44" s="109" t="s">
        <v>1503</v>
      </c>
      <c r="H44" s="109" t="s">
        <v>1504</v>
      </c>
      <c r="I44" s="109" t="s">
        <v>1505</v>
      </c>
      <c r="J44" s="111" t="s">
        <v>203</v>
      </c>
      <c r="K44" s="112" t="s">
        <v>1506</v>
      </c>
      <c r="L44" s="109" t="s">
        <v>1507</v>
      </c>
      <c r="M44" s="113" t="s">
        <v>1508</v>
      </c>
      <c r="N44" s="77" t="s">
        <v>883</v>
      </c>
      <c r="O44" s="114" t="s">
        <v>1098</v>
      </c>
      <c r="P44" s="112" t="s">
        <v>1509</v>
      </c>
      <c r="Q44" s="76" t="s">
        <v>236</v>
      </c>
      <c r="R44" s="115" t="str">
        <f t="shared" si="1"/>
        <v>Yes</v>
      </c>
      <c r="S44" s="76" t="str">
        <f t="shared" si="2"/>
        <v>Fawzi, Tabuada &amp; Diggavi (2014). "Secure Estimation and Control for Cyber-Physical Systems under Adversarial Attacks". IEEE Transactions on Automatic Control.</v>
      </c>
      <c r="T44" s="116" t="s">
        <v>1145</v>
      </c>
      <c r="U44" s="117" t="s">
        <v>204</v>
      </c>
      <c r="V44" s="76" t="s">
        <v>891</v>
      </c>
      <c r="W44" s="76" t="s">
        <v>893</v>
      </c>
      <c r="X44" s="76" t="s">
        <v>1510</v>
      </c>
      <c r="Y44" s="118" t="s">
        <v>896</v>
      </c>
      <c r="Z44" s="114" t="s">
        <v>197</v>
      </c>
      <c r="AA44" s="114" t="s">
        <v>249</v>
      </c>
      <c r="AB44" s="115" t="str">
        <f t="shared" si="3"/>
        <v>Upward (observables)</v>
      </c>
      <c r="AC44" s="115" t="str">
        <f t="shared" si="4"/>
        <v/>
      </c>
      <c r="AD44" s="115" t="str">
        <f t="shared" si="5"/>
        <v>✓</v>
      </c>
      <c r="AE44" s="115" t="str">
        <f t="shared" si="6"/>
        <v/>
      </c>
      <c r="AF44" s="115" t="s">
        <v>273</v>
      </c>
      <c r="AG44" s="119"/>
      <c r="AH44" s="115">
        <f>COUNTIF('CVE Register'!$P$6:$P$300,A44)</f>
        <v>0</v>
      </c>
      <c r="AI44" s="115" t="s">
        <v>903</v>
      </c>
      <c r="AJ44" s="117" t="s">
        <v>1498</v>
      </c>
      <c r="AK44" s="115" t="s">
        <v>278</v>
      </c>
      <c r="AL44" s="118" t="s">
        <v>195</v>
      </c>
      <c r="AM44" s="117" t="s">
        <v>905</v>
      </c>
      <c r="AN44" s="78" t="s">
        <v>206</v>
      </c>
    </row>
    <row r="45" ht="51.75" customHeight="1">
      <c r="A45" s="107">
        <v>40.0</v>
      </c>
      <c r="B45" s="108" t="s">
        <v>1511</v>
      </c>
      <c r="C45" s="109" t="s">
        <v>1512</v>
      </c>
      <c r="D45" s="109" t="s">
        <v>1513</v>
      </c>
      <c r="E45" s="77" t="s">
        <v>440</v>
      </c>
      <c r="F45" s="110" t="s">
        <v>441</v>
      </c>
      <c r="G45" s="109" t="s">
        <v>1514</v>
      </c>
      <c r="H45" s="109" t="s">
        <v>1515</v>
      </c>
      <c r="I45" s="109" t="s">
        <v>1516</v>
      </c>
      <c r="J45" s="111" t="s">
        <v>203</v>
      </c>
      <c r="K45" s="112" t="s">
        <v>1517</v>
      </c>
      <c r="L45" s="109" t="s">
        <v>1518</v>
      </c>
      <c r="M45" s="113" t="s">
        <v>1519</v>
      </c>
      <c r="N45" s="77" t="s">
        <v>958</v>
      </c>
      <c r="O45" s="114" t="s">
        <v>1098</v>
      </c>
      <c r="P45" s="112" t="s">
        <v>1520</v>
      </c>
      <c r="Q45" s="76" t="s">
        <v>185</v>
      </c>
      <c r="R45" s="115" t="str">
        <f t="shared" si="1"/>
        <v>Yes</v>
      </c>
      <c r="S45" s="76" t="str">
        <f t="shared" si="2"/>
        <v>Ullmann &amp; Vögeler (2009). "Delay Attacks - Implication on NTP and PTP Time Synchronization". IEEE ISPCS.</v>
      </c>
      <c r="T45" s="116" t="s">
        <v>1521</v>
      </c>
      <c r="U45" s="117" t="s">
        <v>778</v>
      </c>
      <c r="V45" s="76" t="s">
        <v>205</v>
      </c>
      <c r="W45" s="76" t="s">
        <v>968</v>
      </c>
      <c r="X45" s="76" t="s">
        <v>1522</v>
      </c>
      <c r="Y45" s="118" t="s">
        <v>1141</v>
      </c>
      <c r="Z45" s="114" t="s">
        <v>197</v>
      </c>
      <c r="AA45" s="114" t="s">
        <v>121</v>
      </c>
      <c r="AB45" s="115" t="str">
        <f t="shared" si="3"/>
        <v>Upward (observables)</v>
      </c>
      <c r="AC45" s="115" t="str">
        <f t="shared" si="4"/>
        <v/>
      </c>
      <c r="AD45" s="115" t="str">
        <f t="shared" si="5"/>
        <v>✓</v>
      </c>
      <c r="AE45" s="115" t="str">
        <f t="shared" si="6"/>
        <v>✓</v>
      </c>
      <c r="AF45" s="115" t="s">
        <v>470</v>
      </c>
      <c r="AG45" s="119"/>
      <c r="AH45" s="115">
        <f>COUNTIF('CVE Register'!$P$6:$P$300,A45)</f>
        <v>0</v>
      </c>
      <c r="AI45" s="115" t="s">
        <v>1523</v>
      </c>
      <c r="AJ45" s="117" t="s">
        <v>1524</v>
      </c>
      <c r="AK45" s="115" t="s">
        <v>278</v>
      </c>
      <c r="AL45" s="118" t="s">
        <v>1525</v>
      </c>
      <c r="AM45" s="117" t="s">
        <v>1526</v>
      </c>
      <c r="AN45" s="78" t="s">
        <v>1527</v>
      </c>
    </row>
    <row r="46" ht="46.5" customHeight="1">
      <c r="A46" s="107">
        <v>41.0</v>
      </c>
      <c r="B46" s="108" t="s">
        <v>1528</v>
      </c>
      <c r="C46" s="109" t="s">
        <v>1529</v>
      </c>
      <c r="D46" s="109" t="s">
        <v>1007</v>
      </c>
      <c r="E46" s="77" t="s">
        <v>943</v>
      </c>
      <c r="F46" s="110" t="s">
        <v>1009</v>
      </c>
      <c r="G46" s="109" t="s">
        <v>1530</v>
      </c>
      <c r="H46" s="109" t="s">
        <v>1531</v>
      </c>
      <c r="I46" s="109" t="s">
        <v>1532</v>
      </c>
      <c r="J46" s="111" t="s">
        <v>203</v>
      </c>
      <c r="K46" s="112" t="s">
        <v>1533</v>
      </c>
      <c r="L46" s="109" t="s">
        <v>1534</v>
      </c>
      <c r="M46" s="113" t="s">
        <v>1535</v>
      </c>
      <c r="N46" s="77" t="s">
        <v>313</v>
      </c>
      <c r="O46" s="114" t="s">
        <v>1098</v>
      </c>
      <c r="P46" s="112" t="s">
        <v>1536</v>
      </c>
      <c r="Q46" s="76" t="s">
        <v>236</v>
      </c>
      <c r="R46" s="115" t="str">
        <f t="shared" si="1"/>
        <v>Yes</v>
      </c>
      <c r="S46" s="76" t="str">
        <f t="shared" si="2"/>
        <v>Belali et al. (2026). "Design of a Resilient Multi-Layered Security Framework for Satellite Communications". Int. J. Information Security (IJIS).</v>
      </c>
      <c r="T46" s="116" t="s">
        <v>1537</v>
      </c>
      <c r="U46" s="117" t="s">
        <v>778</v>
      </c>
      <c r="V46" s="76" t="s">
        <v>205</v>
      </c>
      <c r="W46" s="76" t="s">
        <v>211</v>
      </c>
      <c r="X46" s="76" t="s">
        <v>1538</v>
      </c>
      <c r="Y46" s="118" t="s">
        <v>1075</v>
      </c>
      <c r="Z46" s="114" t="s">
        <v>197</v>
      </c>
      <c r="AA46" s="114" t="s">
        <v>197</v>
      </c>
      <c r="AB46" s="115" t="str">
        <f t="shared" si="3"/>
        <v>Within layer</v>
      </c>
      <c r="AC46" s="115" t="str">
        <f t="shared" si="4"/>
        <v/>
      </c>
      <c r="AD46" s="115" t="str">
        <f t="shared" si="5"/>
        <v/>
      </c>
      <c r="AE46" s="115" t="str">
        <f t="shared" si="6"/>
        <v/>
      </c>
      <c r="AF46" s="115" t="s">
        <v>752</v>
      </c>
      <c r="AG46" s="119"/>
      <c r="AH46" s="115">
        <f>COUNTIF('CVE Register'!$P$6:$P$300,A46)</f>
        <v>0</v>
      </c>
      <c r="AI46" s="115" t="s">
        <v>1539</v>
      </c>
      <c r="AJ46" s="117" t="s">
        <v>1540</v>
      </c>
      <c r="AK46" s="115" t="s">
        <v>278</v>
      </c>
      <c r="AL46" s="118" t="s">
        <v>237</v>
      </c>
      <c r="AM46" s="117" t="s">
        <v>1541</v>
      </c>
      <c r="AN46" s="78" t="s">
        <v>1542</v>
      </c>
    </row>
    <row r="47" ht="46.5" customHeight="1">
      <c r="A47" s="107">
        <v>42.0</v>
      </c>
      <c r="B47" s="108" t="s">
        <v>1543</v>
      </c>
      <c r="C47" s="109" t="s">
        <v>1544</v>
      </c>
      <c r="D47" s="109" t="s">
        <v>1545</v>
      </c>
      <c r="E47" s="77" t="s">
        <v>1043</v>
      </c>
      <c r="F47" s="110" t="s">
        <v>1044</v>
      </c>
      <c r="G47" s="109" t="s">
        <v>1369</v>
      </c>
      <c r="H47" s="109" t="s">
        <v>1546</v>
      </c>
      <c r="I47" s="109" t="s">
        <v>1369</v>
      </c>
      <c r="J47" s="111" t="s">
        <v>203</v>
      </c>
      <c r="K47" s="112" t="s">
        <v>1547</v>
      </c>
      <c r="L47" s="109" t="s">
        <v>1548</v>
      </c>
      <c r="M47" s="113" t="s">
        <v>1549</v>
      </c>
      <c r="N47" s="77" t="s">
        <v>313</v>
      </c>
      <c r="O47" s="114" t="s">
        <v>1098</v>
      </c>
      <c r="P47" s="112" t="s">
        <v>1550</v>
      </c>
      <c r="Q47" s="76" t="s">
        <v>236</v>
      </c>
      <c r="R47" s="115" t="str">
        <f t="shared" si="1"/>
        <v>Yes</v>
      </c>
      <c r="S47" s="76" t="str">
        <f t="shared" si="2"/>
        <v>Sharmin et al. (2025). "Cyber Attacks on Space Information Networks: Vulnerabilities, Threats, and Countermeasures for Satellite Security". J. Cybersecurity and Privacy (MDPI).</v>
      </c>
      <c r="T47" s="116" t="s">
        <v>1551</v>
      </c>
      <c r="U47" s="117" t="s">
        <v>1552</v>
      </c>
      <c r="V47" s="76" t="s">
        <v>504</v>
      </c>
      <c r="W47" s="76" t="s">
        <v>1379</v>
      </c>
      <c r="X47" s="76" t="s">
        <v>1553</v>
      </c>
      <c r="Y47" s="118" t="s">
        <v>1251</v>
      </c>
      <c r="Z47" s="114" t="s">
        <v>42</v>
      </c>
      <c r="AA47" s="114" t="s">
        <v>197</v>
      </c>
      <c r="AB47" s="115" t="str">
        <f t="shared" si="3"/>
        <v>Upward (observables)</v>
      </c>
      <c r="AC47" s="115" t="str">
        <f t="shared" si="4"/>
        <v>✓</v>
      </c>
      <c r="AD47" s="115" t="str">
        <f t="shared" si="5"/>
        <v/>
      </c>
      <c r="AE47" s="115" t="str">
        <f t="shared" si="6"/>
        <v/>
      </c>
      <c r="AF47" s="115" t="s">
        <v>273</v>
      </c>
      <c r="AG47" s="119"/>
      <c r="AH47" s="115">
        <f>COUNTIF('CVE Register'!$P$6:$P$300,A47)</f>
        <v>0</v>
      </c>
      <c r="AI47" s="115" t="s">
        <v>694</v>
      </c>
      <c r="AJ47" s="117" t="s">
        <v>1066</v>
      </c>
      <c r="AK47" s="115" t="s">
        <v>278</v>
      </c>
      <c r="AL47" s="118" t="s">
        <v>1299</v>
      </c>
      <c r="AM47" s="117" t="s">
        <v>1465</v>
      </c>
      <c r="AN47" s="78" t="s">
        <v>1466</v>
      </c>
    </row>
    <row r="48" ht="46.5" customHeight="1">
      <c r="A48" s="107">
        <v>43.0</v>
      </c>
      <c r="B48" s="108" t="s">
        <v>1554</v>
      </c>
      <c r="C48" s="109" t="s">
        <v>1555</v>
      </c>
      <c r="D48" s="109" t="s">
        <v>1254</v>
      </c>
      <c r="E48" s="77" t="s">
        <v>1255</v>
      </c>
      <c r="F48" s="110" t="s">
        <v>1256</v>
      </c>
      <c r="G48" s="109" t="s">
        <v>1369</v>
      </c>
      <c r="H48" s="109" t="s">
        <v>1556</v>
      </c>
      <c r="I48" s="109" t="s">
        <v>1557</v>
      </c>
      <c r="J48" s="111" t="s">
        <v>203</v>
      </c>
      <c r="K48" s="112" t="s">
        <v>1558</v>
      </c>
      <c r="L48" s="109" t="s">
        <v>1559</v>
      </c>
      <c r="M48" s="113" t="s">
        <v>1560</v>
      </c>
      <c r="N48" s="77" t="s">
        <v>313</v>
      </c>
      <c r="O48" s="114" t="s">
        <v>1098</v>
      </c>
      <c r="P48" s="112" t="s">
        <v>1561</v>
      </c>
      <c r="Q48" s="76" t="s">
        <v>236</v>
      </c>
      <c r="R48" s="115" t="str">
        <f t="shared" si="1"/>
        <v>Yes</v>
      </c>
      <c r="S48" s="76" t="str">
        <f t="shared" si="2"/>
        <v>Wang et al. (2026). "A Comprehensive Literature Review of Cybersecurity in Satellite Networks". Aerospace (MDPI).</v>
      </c>
      <c r="T48" s="116" t="s">
        <v>1562</v>
      </c>
      <c r="U48" s="117" t="s">
        <v>1552</v>
      </c>
      <c r="V48" s="76" t="s">
        <v>1379</v>
      </c>
      <c r="W48" s="76" t="s">
        <v>1379</v>
      </c>
      <c r="X48" s="76" t="s">
        <v>1563</v>
      </c>
      <c r="Y48" s="118" t="s">
        <v>1251</v>
      </c>
      <c r="Z48" s="114" t="s">
        <v>42</v>
      </c>
      <c r="AA48" s="114" t="s">
        <v>121</v>
      </c>
      <c r="AB48" s="115" t="str">
        <f t="shared" si="3"/>
        <v>Upward (observables)</v>
      </c>
      <c r="AC48" s="115" t="str">
        <f t="shared" si="4"/>
        <v>✓</v>
      </c>
      <c r="AD48" s="115" t="str">
        <f t="shared" si="5"/>
        <v>✓</v>
      </c>
      <c r="AE48" s="115" t="str">
        <f t="shared" si="6"/>
        <v>✓</v>
      </c>
      <c r="AF48" s="115" t="s">
        <v>273</v>
      </c>
      <c r="AG48" s="119"/>
      <c r="AH48" s="115">
        <f>COUNTIF('CVE Register'!$P$6:$P$300,A48)</f>
        <v>0</v>
      </c>
      <c r="AI48" s="115" t="s">
        <v>1214</v>
      </c>
      <c r="AJ48" s="117"/>
      <c r="AK48" s="115" t="s">
        <v>278</v>
      </c>
      <c r="AL48" s="118" t="s">
        <v>1299</v>
      </c>
      <c r="AM48" s="117" t="s">
        <v>1465</v>
      </c>
      <c r="AN48" s="78" t="s">
        <v>1466</v>
      </c>
    </row>
    <row r="49" ht="51.75" customHeight="1">
      <c r="A49" s="82">
        <v>44.0</v>
      </c>
      <c r="B49" s="83" t="s">
        <v>1564</v>
      </c>
      <c r="C49" s="84" t="s">
        <v>1565</v>
      </c>
      <c r="D49" s="84" t="s">
        <v>631</v>
      </c>
      <c r="E49" s="85" t="s">
        <v>293</v>
      </c>
      <c r="F49" s="86" t="s">
        <v>632</v>
      </c>
      <c r="G49" s="84" t="s">
        <v>1566</v>
      </c>
      <c r="H49" s="84" t="s">
        <v>1567</v>
      </c>
      <c r="I49" s="84" t="s">
        <v>1568</v>
      </c>
      <c r="J49" s="87" t="s">
        <v>173</v>
      </c>
      <c r="K49" s="88" t="s">
        <v>1569</v>
      </c>
      <c r="L49" s="84" t="s">
        <v>1570</v>
      </c>
      <c r="M49" s="89" t="s">
        <v>1571</v>
      </c>
      <c r="N49" s="85" t="s">
        <v>380</v>
      </c>
      <c r="O49" s="90" t="s">
        <v>381</v>
      </c>
      <c r="P49" s="88" t="s">
        <v>1572</v>
      </c>
      <c r="Q49" s="91" t="s">
        <v>185</v>
      </c>
      <c r="R49" s="92" t="str">
        <f t="shared" si="1"/>
        <v>Yes</v>
      </c>
      <c r="S49" s="91" t="str">
        <f t="shared" si="2"/>
        <v>Sathaye, Schepers, Ranganathan &amp; Noubir (2019). "Wireless Attacks on Aircraft Instrument Landing Systems". USENIX Security Symposium.</v>
      </c>
      <c r="T49" s="93" t="s">
        <v>1573</v>
      </c>
      <c r="U49" s="94" t="s">
        <v>466</v>
      </c>
      <c r="V49" s="91" t="s">
        <v>205</v>
      </c>
      <c r="W49" s="91" t="s">
        <v>407</v>
      </c>
      <c r="X49" s="91" t="s">
        <v>1574</v>
      </c>
      <c r="Y49" s="95" t="s">
        <v>934</v>
      </c>
      <c r="Z49" s="90" t="s">
        <v>42</v>
      </c>
      <c r="AA49" s="90" t="s">
        <v>42</v>
      </c>
      <c r="AB49" s="92" t="str">
        <f t="shared" si="3"/>
        <v>Within layer</v>
      </c>
      <c r="AC49" s="92" t="str">
        <f t="shared" si="4"/>
        <v/>
      </c>
      <c r="AD49" s="92" t="str">
        <f t="shared" si="5"/>
        <v/>
      </c>
      <c r="AE49" s="92" t="str">
        <f t="shared" si="6"/>
        <v/>
      </c>
      <c r="AF49" s="92" t="s">
        <v>273</v>
      </c>
      <c r="AG49" s="96"/>
      <c r="AH49" s="92">
        <f>COUNTIF('CVE Register'!$P$6:$P$300,A49)</f>
        <v>0</v>
      </c>
      <c r="AI49" s="92" t="s">
        <v>566</v>
      </c>
      <c r="AJ49" s="94" t="s">
        <v>1575</v>
      </c>
      <c r="AK49" s="92" t="s">
        <v>1576</v>
      </c>
      <c r="AL49" s="95" t="s">
        <v>136</v>
      </c>
      <c r="AM49" s="94" t="s">
        <v>1577</v>
      </c>
      <c r="AN49" s="97" t="s">
        <v>150</v>
      </c>
    </row>
    <row r="50" ht="46.5" customHeight="1">
      <c r="A50" s="82">
        <v>45.0</v>
      </c>
      <c r="B50" s="83" t="s">
        <v>1578</v>
      </c>
      <c r="C50" s="84" t="s">
        <v>1579</v>
      </c>
      <c r="D50" s="84" t="s">
        <v>1580</v>
      </c>
      <c r="E50" s="85" t="s">
        <v>1043</v>
      </c>
      <c r="F50" s="86" t="s">
        <v>1581</v>
      </c>
      <c r="G50" s="84" t="s">
        <v>1582</v>
      </c>
      <c r="H50" s="84" t="s">
        <v>1583</v>
      </c>
      <c r="I50" s="84" t="s">
        <v>1584</v>
      </c>
      <c r="J50" s="87" t="s">
        <v>173</v>
      </c>
      <c r="K50" s="88" t="s">
        <v>1585</v>
      </c>
      <c r="L50" s="84" t="s">
        <v>1586</v>
      </c>
      <c r="M50" s="89" t="s">
        <v>1587</v>
      </c>
      <c r="N50" s="85" t="s">
        <v>380</v>
      </c>
      <c r="O50" s="90" t="s">
        <v>524</v>
      </c>
      <c r="P50" s="88" t="s">
        <v>1588</v>
      </c>
      <c r="Q50" s="91" t="s">
        <v>185</v>
      </c>
      <c r="R50" s="92" t="str">
        <f t="shared" si="1"/>
        <v>Yes</v>
      </c>
      <c r="S50" s="91" t="str">
        <f t="shared" si="2"/>
        <v>Smith, Strohmeier, Harman, Lenders &amp; Martinovic (2020). "A View from the Cockpit: Exploring Pilot Reactions to Attacks on Avionic Systems". Network and Distributed System Security Symposium (NDSS).</v>
      </c>
      <c r="T50" s="93" t="s">
        <v>1589</v>
      </c>
      <c r="U50" s="94" t="s">
        <v>1590</v>
      </c>
      <c r="V50" s="91" t="s">
        <v>205</v>
      </c>
      <c r="W50" s="91" t="s">
        <v>407</v>
      </c>
      <c r="X50" s="91" t="s">
        <v>1591</v>
      </c>
      <c r="Y50" s="95" t="s">
        <v>934</v>
      </c>
      <c r="Z50" s="90" t="s">
        <v>42</v>
      </c>
      <c r="AA50" s="90" t="s">
        <v>42</v>
      </c>
      <c r="AB50" s="92" t="str">
        <f t="shared" si="3"/>
        <v>Within layer</v>
      </c>
      <c r="AC50" s="92" t="str">
        <f t="shared" si="4"/>
        <v/>
      </c>
      <c r="AD50" s="92" t="str">
        <f t="shared" si="5"/>
        <v/>
      </c>
      <c r="AE50" s="92" t="str">
        <f t="shared" si="6"/>
        <v/>
      </c>
      <c r="AF50" s="92" t="s">
        <v>273</v>
      </c>
      <c r="AG50" s="96"/>
      <c r="AH50" s="92">
        <f>COUNTIF('CVE Register'!$P$6:$P$300,A50)</f>
        <v>0</v>
      </c>
      <c r="AI50" s="92" t="s">
        <v>566</v>
      </c>
      <c r="AJ50" s="94" t="s">
        <v>1592</v>
      </c>
      <c r="AK50" s="92" t="s">
        <v>1576</v>
      </c>
      <c r="AL50" s="95" t="s">
        <v>1299</v>
      </c>
      <c r="AM50" s="94" t="s">
        <v>1301</v>
      </c>
      <c r="AN50" s="97" t="s">
        <v>1302</v>
      </c>
    </row>
    <row r="51" ht="46.5" customHeight="1">
      <c r="A51" s="82">
        <v>46.0</v>
      </c>
      <c r="B51" s="83" t="s">
        <v>1593</v>
      </c>
      <c r="C51" s="84" t="s">
        <v>1594</v>
      </c>
      <c r="D51" s="84" t="s">
        <v>1595</v>
      </c>
      <c r="E51" s="85" t="s">
        <v>1255</v>
      </c>
      <c r="F51" s="86" t="s">
        <v>1596</v>
      </c>
      <c r="G51" s="84" t="s">
        <v>1597</v>
      </c>
      <c r="H51" s="84" t="s">
        <v>1598</v>
      </c>
      <c r="I51" s="84" t="s">
        <v>1599</v>
      </c>
      <c r="J51" s="87" t="s">
        <v>173</v>
      </c>
      <c r="K51" s="88" t="s">
        <v>1600</v>
      </c>
      <c r="L51" s="84" t="s">
        <v>1601</v>
      </c>
      <c r="M51" s="89" t="s">
        <v>1602</v>
      </c>
      <c r="N51" s="85" t="s">
        <v>380</v>
      </c>
      <c r="O51" s="90" t="s">
        <v>524</v>
      </c>
      <c r="P51" s="88" t="s">
        <v>1588</v>
      </c>
      <c r="Q51" s="91" t="s">
        <v>236</v>
      </c>
      <c r="R51" s="92" t="str">
        <f t="shared" si="1"/>
        <v>Yes</v>
      </c>
      <c r="S51" s="91" t="str">
        <f t="shared" si="2"/>
        <v>Smith, Strohmeier, Lenders &amp; Martinovic (2022). "Understanding Realistic Attacks on Airborne Collision Avoidance Systems". Journal of Transportation Security.</v>
      </c>
      <c r="T51" s="93" t="s">
        <v>1603</v>
      </c>
      <c r="U51" s="94" t="s">
        <v>1604</v>
      </c>
      <c r="V51" s="91" t="s">
        <v>205</v>
      </c>
      <c r="W51" s="91" t="s">
        <v>407</v>
      </c>
      <c r="X51" s="91" t="s">
        <v>1605</v>
      </c>
      <c r="Y51" s="95" t="s">
        <v>934</v>
      </c>
      <c r="Z51" s="90" t="s">
        <v>42</v>
      </c>
      <c r="AA51" s="90" t="s">
        <v>42</v>
      </c>
      <c r="AB51" s="92" t="str">
        <f t="shared" si="3"/>
        <v>Within layer</v>
      </c>
      <c r="AC51" s="92" t="str">
        <f t="shared" si="4"/>
        <v/>
      </c>
      <c r="AD51" s="92" t="str">
        <f t="shared" si="5"/>
        <v/>
      </c>
      <c r="AE51" s="92" t="str">
        <f t="shared" si="6"/>
        <v/>
      </c>
      <c r="AF51" s="92" t="s">
        <v>273</v>
      </c>
      <c r="AG51" s="96"/>
      <c r="AH51" s="92">
        <f>COUNTIF('CVE Register'!$P$6:$P$300,A51)</f>
        <v>0</v>
      </c>
      <c r="AI51" s="92" t="s">
        <v>566</v>
      </c>
      <c r="AJ51" s="94"/>
      <c r="AK51" s="92" t="s">
        <v>1576</v>
      </c>
      <c r="AL51" s="95" t="s">
        <v>1299</v>
      </c>
      <c r="AM51" s="94" t="s">
        <v>1301</v>
      </c>
      <c r="AN51" s="97" t="s">
        <v>1302</v>
      </c>
    </row>
    <row r="52" ht="51.75" customHeight="1">
      <c r="A52" s="82">
        <v>47.0</v>
      </c>
      <c r="B52" s="83" t="s">
        <v>1606</v>
      </c>
      <c r="C52" s="84" t="s">
        <v>1607</v>
      </c>
      <c r="D52" s="84" t="s">
        <v>703</v>
      </c>
      <c r="E52" s="85" t="s">
        <v>293</v>
      </c>
      <c r="F52" s="86" t="s">
        <v>704</v>
      </c>
      <c r="G52" s="84" t="s">
        <v>1608</v>
      </c>
      <c r="H52" s="84" t="s">
        <v>452</v>
      </c>
      <c r="I52" s="84" t="s">
        <v>1609</v>
      </c>
      <c r="J52" s="87" t="s">
        <v>173</v>
      </c>
      <c r="K52" s="88" t="s">
        <v>1610</v>
      </c>
      <c r="L52" s="84" t="s">
        <v>1611</v>
      </c>
      <c r="M52" s="89" t="s">
        <v>1612</v>
      </c>
      <c r="N52" s="85" t="s">
        <v>458</v>
      </c>
      <c r="O52" s="90" t="s">
        <v>381</v>
      </c>
      <c r="P52" s="88" t="s">
        <v>1572</v>
      </c>
      <c r="Q52" s="91" t="s">
        <v>185</v>
      </c>
      <c r="R52" s="92" t="str">
        <f t="shared" si="1"/>
        <v>Yes</v>
      </c>
      <c r="S52" s="91" t="str">
        <f t="shared" si="2"/>
        <v>Tippenhauer, Pöpper, Rasmussen &amp; Čapkun (2011). "On the Requirements for Successful GPS Spoofing Attacks". ACM CCS.</v>
      </c>
      <c r="T52" s="93" t="s">
        <v>1613</v>
      </c>
      <c r="U52" s="94" t="s">
        <v>1614</v>
      </c>
      <c r="V52" s="91" t="s">
        <v>205</v>
      </c>
      <c r="W52" s="91" t="s">
        <v>407</v>
      </c>
      <c r="X52" s="91" t="s">
        <v>1615</v>
      </c>
      <c r="Y52" s="95" t="s">
        <v>386</v>
      </c>
      <c r="Z52" s="90" t="s">
        <v>42</v>
      </c>
      <c r="AA52" s="90" t="s">
        <v>42</v>
      </c>
      <c r="AB52" s="92" t="str">
        <f t="shared" si="3"/>
        <v>Within layer</v>
      </c>
      <c r="AC52" s="92" t="str">
        <f t="shared" si="4"/>
        <v/>
      </c>
      <c r="AD52" s="92" t="str">
        <f t="shared" si="5"/>
        <v/>
      </c>
      <c r="AE52" s="92" t="str">
        <f t="shared" si="6"/>
        <v/>
      </c>
      <c r="AF52" s="92" t="s">
        <v>470</v>
      </c>
      <c r="AG52" s="96"/>
      <c r="AH52" s="92">
        <f>COUNTIF('CVE Register'!$P$6:$P$300,A52)</f>
        <v>0</v>
      </c>
      <c r="AI52" s="92" t="s">
        <v>1616</v>
      </c>
      <c r="AJ52" s="94" t="s">
        <v>1617</v>
      </c>
      <c r="AK52" s="92" t="s">
        <v>1576</v>
      </c>
      <c r="AL52" s="95" t="s">
        <v>476</v>
      </c>
      <c r="AM52" s="94" t="s">
        <v>477</v>
      </c>
      <c r="AN52" s="97" t="s">
        <v>478</v>
      </c>
    </row>
    <row r="53" ht="51.75" customHeight="1">
      <c r="A53" s="82">
        <v>48.0</v>
      </c>
      <c r="B53" s="83" t="s">
        <v>1618</v>
      </c>
      <c r="C53" s="84" t="s">
        <v>1619</v>
      </c>
      <c r="D53" s="84" t="s">
        <v>1580</v>
      </c>
      <c r="E53" s="85" t="s">
        <v>1043</v>
      </c>
      <c r="F53" s="86" t="s">
        <v>1581</v>
      </c>
      <c r="G53" s="84" t="s">
        <v>1620</v>
      </c>
      <c r="H53" s="84" t="s">
        <v>1621</v>
      </c>
      <c r="I53" s="84" t="s">
        <v>1622</v>
      </c>
      <c r="J53" s="87" t="s">
        <v>173</v>
      </c>
      <c r="K53" s="88" t="s">
        <v>1623</v>
      </c>
      <c r="L53" s="84" t="s">
        <v>1624</v>
      </c>
      <c r="M53" s="89" t="s">
        <v>1625</v>
      </c>
      <c r="N53" s="85" t="s">
        <v>958</v>
      </c>
      <c r="O53" s="90" t="s">
        <v>381</v>
      </c>
      <c r="P53" s="88" t="s">
        <v>1626</v>
      </c>
      <c r="Q53" s="91" t="s">
        <v>185</v>
      </c>
      <c r="R53" s="92" t="str">
        <f t="shared" si="1"/>
        <v>Yes</v>
      </c>
      <c r="S53" s="91" t="str">
        <f t="shared" si="2"/>
        <v>Malhotra, Cohen, Brakke &amp; Goldberg (2016). "Attacking the Network Time Protocol". Network and Distributed System Security Symposium (NDSS).</v>
      </c>
      <c r="T53" s="93" t="s">
        <v>1627</v>
      </c>
      <c r="U53" s="94" t="s">
        <v>1628</v>
      </c>
      <c r="V53" s="91" t="s">
        <v>780</v>
      </c>
      <c r="W53" s="91" t="s">
        <v>968</v>
      </c>
      <c r="X53" s="91" t="s">
        <v>1629</v>
      </c>
      <c r="Y53" s="95" t="s">
        <v>1141</v>
      </c>
      <c r="Z53" s="90" t="s">
        <v>197</v>
      </c>
      <c r="AA53" s="90" t="s">
        <v>121</v>
      </c>
      <c r="AB53" s="92" t="str">
        <f t="shared" si="3"/>
        <v>Upward (observables)</v>
      </c>
      <c r="AC53" s="92" t="str">
        <f t="shared" si="4"/>
        <v/>
      </c>
      <c r="AD53" s="92" t="str">
        <f t="shared" si="5"/>
        <v>✓</v>
      </c>
      <c r="AE53" s="92" t="str">
        <f t="shared" si="6"/>
        <v>✓</v>
      </c>
      <c r="AF53" s="92" t="s">
        <v>470</v>
      </c>
      <c r="AG53" s="96" t="s">
        <v>1630</v>
      </c>
      <c r="AH53" s="92">
        <f>COUNTIF('CVE Register'!$P$6:$P$300,A53)</f>
        <v>5</v>
      </c>
      <c r="AI53" s="92" t="s">
        <v>145</v>
      </c>
      <c r="AJ53" s="94" t="s">
        <v>1631</v>
      </c>
      <c r="AK53" s="92" t="s">
        <v>1576</v>
      </c>
      <c r="AL53" s="95" t="s">
        <v>218</v>
      </c>
      <c r="AM53" s="94" t="s">
        <v>1632</v>
      </c>
      <c r="AN53" s="97" t="s">
        <v>224</v>
      </c>
    </row>
    <row r="54" ht="51.75" customHeight="1">
      <c r="A54" s="107">
        <v>49.0</v>
      </c>
      <c r="B54" s="108" t="s">
        <v>1633</v>
      </c>
      <c r="C54" s="109" t="s">
        <v>1634</v>
      </c>
      <c r="D54" s="109" t="s">
        <v>1233</v>
      </c>
      <c r="E54" s="77" t="s">
        <v>943</v>
      </c>
      <c r="F54" s="110" t="s">
        <v>1234</v>
      </c>
      <c r="G54" s="109" t="s">
        <v>1635</v>
      </c>
      <c r="H54" s="109" t="s">
        <v>1636</v>
      </c>
      <c r="I54" s="109" t="s">
        <v>1637</v>
      </c>
      <c r="J54" s="111" t="s">
        <v>203</v>
      </c>
      <c r="K54" s="112" t="s">
        <v>1638</v>
      </c>
      <c r="L54" s="109" t="s">
        <v>1639</v>
      </c>
      <c r="M54" s="113" t="s">
        <v>1640</v>
      </c>
      <c r="N54" s="77" t="s">
        <v>958</v>
      </c>
      <c r="O54" s="114" t="s">
        <v>1098</v>
      </c>
      <c r="P54" s="112" t="s">
        <v>1626</v>
      </c>
      <c r="Q54" s="76" t="s">
        <v>236</v>
      </c>
      <c r="R54" s="115" t="str">
        <f t="shared" si="1"/>
        <v>Yes</v>
      </c>
      <c r="S54" s="76" t="str">
        <f t="shared" si="2"/>
        <v>Itkin &amp; Wool (2020). "A Security Analysis and Revised Security Extension for the Precision Time Protocol". IEEE Trans. Dependable and Secure Computing (TDSC).</v>
      </c>
      <c r="T54" s="116" t="s">
        <v>1641</v>
      </c>
      <c r="U54" s="117" t="s">
        <v>1642</v>
      </c>
      <c r="V54" s="76" t="s">
        <v>205</v>
      </c>
      <c r="W54" s="76" t="s">
        <v>968</v>
      </c>
      <c r="X54" s="76" t="s">
        <v>1643</v>
      </c>
      <c r="Y54" s="118" t="s">
        <v>1141</v>
      </c>
      <c r="Z54" s="114" t="s">
        <v>197</v>
      </c>
      <c r="AA54" s="114" t="s">
        <v>121</v>
      </c>
      <c r="AB54" s="115" t="str">
        <f t="shared" si="3"/>
        <v>Upward (observables)</v>
      </c>
      <c r="AC54" s="115" t="str">
        <f t="shared" si="4"/>
        <v/>
      </c>
      <c r="AD54" s="115" t="str">
        <f t="shared" si="5"/>
        <v>✓</v>
      </c>
      <c r="AE54" s="115" t="str">
        <f t="shared" si="6"/>
        <v>✓</v>
      </c>
      <c r="AF54" s="115" t="s">
        <v>470</v>
      </c>
      <c r="AG54" s="119" t="s">
        <v>1644</v>
      </c>
      <c r="AH54" s="115">
        <f>COUNTIF('CVE Register'!$P$6:$P$300,A54)</f>
        <v>2</v>
      </c>
      <c r="AI54" s="115" t="s">
        <v>1645</v>
      </c>
      <c r="AJ54" s="117" t="s">
        <v>1646</v>
      </c>
      <c r="AK54" s="115" t="s">
        <v>1576</v>
      </c>
      <c r="AL54" s="118" t="s">
        <v>218</v>
      </c>
      <c r="AM54" s="117" t="s">
        <v>1632</v>
      </c>
      <c r="AN54" s="78" t="s">
        <v>224</v>
      </c>
    </row>
    <row r="55" ht="51.75" customHeight="1">
      <c r="A55" s="82">
        <v>50.0</v>
      </c>
      <c r="B55" s="83" t="s">
        <v>1647</v>
      </c>
      <c r="C55" s="84" t="s">
        <v>1648</v>
      </c>
      <c r="D55" s="84" t="s">
        <v>591</v>
      </c>
      <c r="E55" s="85" t="s">
        <v>360</v>
      </c>
      <c r="F55" s="86" t="s">
        <v>592</v>
      </c>
      <c r="G55" s="84" t="s">
        <v>1649</v>
      </c>
      <c r="H55" s="84" t="s">
        <v>713</v>
      </c>
      <c r="I55" s="84" t="s">
        <v>1650</v>
      </c>
      <c r="J55" s="87" t="s">
        <v>173</v>
      </c>
      <c r="K55" s="88" t="s">
        <v>1651</v>
      </c>
      <c r="L55" s="84" t="s">
        <v>1652</v>
      </c>
      <c r="M55" s="89" t="s">
        <v>1653</v>
      </c>
      <c r="N55" s="85" t="s">
        <v>313</v>
      </c>
      <c r="O55" s="90" t="s">
        <v>381</v>
      </c>
      <c r="P55" s="88" t="s">
        <v>1654</v>
      </c>
      <c r="Q55" s="91" t="s">
        <v>185</v>
      </c>
      <c r="R55" s="92" t="str">
        <f t="shared" si="1"/>
        <v>Yes</v>
      </c>
      <c r="S55" s="91" t="str">
        <f t="shared" si="2"/>
        <v>Salkield et al. (2023). "Satellite Spoofing from A to Z: On the Requirements of Satellite Downlink Overshadowing Attacks". ACM WiSec.</v>
      </c>
      <c r="T55" s="93" t="s">
        <v>1655</v>
      </c>
      <c r="U55" s="94" t="s">
        <v>1656</v>
      </c>
      <c r="V55" s="91" t="s">
        <v>205</v>
      </c>
      <c r="W55" s="91" t="s">
        <v>407</v>
      </c>
      <c r="X55" s="91" t="s">
        <v>1657</v>
      </c>
      <c r="Y55" s="95" t="s">
        <v>692</v>
      </c>
      <c r="Z55" s="90" t="s">
        <v>197</v>
      </c>
      <c r="AA55" s="90" t="s">
        <v>249</v>
      </c>
      <c r="AB55" s="92" t="str">
        <f t="shared" si="3"/>
        <v>Upward (observables)</v>
      </c>
      <c r="AC55" s="92" t="str">
        <f t="shared" si="4"/>
        <v/>
      </c>
      <c r="AD55" s="92" t="str">
        <f t="shared" si="5"/>
        <v>✓</v>
      </c>
      <c r="AE55" s="92" t="str">
        <f t="shared" si="6"/>
        <v/>
      </c>
      <c r="AF55" s="92" t="s">
        <v>273</v>
      </c>
      <c r="AG55" s="96"/>
      <c r="AH55" s="92">
        <f>COUNTIF('CVE Register'!$P$6:$P$300,A55)</f>
        <v>0</v>
      </c>
      <c r="AI55" s="92" t="s">
        <v>1658</v>
      </c>
      <c r="AJ55" s="94" t="s">
        <v>1659</v>
      </c>
      <c r="AK55" s="92" t="s">
        <v>1576</v>
      </c>
      <c r="AL55" s="95" t="s">
        <v>1660</v>
      </c>
      <c r="AM55" s="94" t="s">
        <v>1661</v>
      </c>
      <c r="AN55" s="97" t="s">
        <v>1662</v>
      </c>
    </row>
    <row r="56" ht="51.75" customHeight="1">
      <c r="A56" s="82">
        <v>51.0</v>
      </c>
      <c r="B56" s="83" t="s">
        <v>1663</v>
      </c>
      <c r="C56" s="84" t="s">
        <v>1648</v>
      </c>
      <c r="D56" s="84" t="s">
        <v>1664</v>
      </c>
      <c r="E56" s="85" t="s">
        <v>440</v>
      </c>
      <c r="F56" s="86" t="s">
        <v>1665</v>
      </c>
      <c r="G56" s="84" t="s">
        <v>1666</v>
      </c>
      <c r="H56" s="84" t="s">
        <v>713</v>
      </c>
      <c r="I56" s="84" t="s">
        <v>1667</v>
      </c>
      <c r="J56" s="87" t="s">
        <v>173</v>
      </c>
      <c r="K56" s="88" t="s">
        <v>1668</v>
      </c>
      <c r="L56" s="84" t="s">
        <v>1669</v>
      </c>
      <c r="M56" s="89" t="s">
        <v>1670</v>
      </c>
      <c r="N56" s="85" t="s">
        <v>313</v>
      </c>
      <c r="O56" s="90" t="s">
        <v>524</v>
      </c>
      <c r="P56" s="88" t="s">
        <v>1588</v>
      </c>
      <c r="Q56" s="91" t="s">
        <v>277</v>
      </c>
      <c r="R56" s="92" t="str">
        <f t="shared" si="1"/>
        <v>Yes</v>
      </c>
      <c r="S56" s="91" t="str">
        <f t="shared" si="2"/>
        <v>Salkield et al. (2023). "Firefly: Spoofing Earth Observation Satellite Data through Radio Overshadowing". Workshop on the Security of Space and Satellite Systems (SpaceSec).</v>
      </c>
      <c r="T56" s="93" t="s">
        <v>1671</v>
      </c>
      <c r="U56" s="94" t="s">
        <v>1672</v>
      </c>
      <c r="V56" s="91" t="s">
        <v>205</v>
      </c>
      <c r="W56" s="91" t="s">
        <v>407</v>
      </c>
      <c r="X56" s="91" t="s">
        <v>1673</v>
      </c>
      <c r="Y56" s="95" t="s">
        <v>692</v>
      </c>
      <c r="Z56" s="90" t="s">
        <v>197</v>
      </c>
      <c r="AA56" s="90" t="s">
        <v>249</v>
      </c>
      <c r="AB56" s="92" t="str">
        <f t="shared" si="3"/>
        <v>Upward (observables)</v>
      </c>
      <c r="AC56" s="92" t="str">
        <f t="shared" si="4"/>
        <v/>
      </c>
      <c r="AD56" s="92" t="str">
        <f t="shared" si="5"/>
        <v>✓</v>
      </c>
      <c r="AE56" s="92" t="str">
        <f t="shared" si="6"/>
        <v/>
      </c>
      <c r="AF56" s="92" t="s">
        <v>273</v>
      </c>
      <c r="AG56" s="96"/>
      <c r="AH56" s="92">
        <f>COUNTIF('CVE Register'!$P$6:$P$300,A56)</f>
        <v>0</v>
      </c>
      <c r="AI56" s="92" t="s">
        <v>1658</v>
      </c>
      <c r="AJ56" s="94"/>
      <c r="AK56" s="92" t="s">
        <v>1576</v>
      </c>
      <c r="AL56" s="95" t="s">
        <v>195</v>
      </c>
      <c r="AM56" s="94" t="s">
        <v>1674</v>
      </c>
      <c r="AN56" s="97" t="s">
        <v>206</v>
      </c>
    </row>
    <row r="57" ht="46.5" customHeight="1">
      <c r="A57" s="42">
        <v>52.0</v>
      </c>
      <c r="B57" s="43" t="s">
        <v>1675</v>
      </c>
      <c r="C57" s="45" t="s">
        <v>1676</v>
      </c>
      <c r="D57" s="45" t="s">
        <v>1664</v>
      </c>
      <c r="E57" s="46" t="s">
        <v>440</v>
      </c>
      <c r="F57" s="49" t="s">
        <v>1665</v>
      </c>
      <c r="G57" s="45" t="s">
        <v>1677</v>
      </c>
      <c r="H57" s="45" t="s">
        <v>1678</v>
      </c>
      <c r="I57" s="45" t="s">
        <v>1679</v>
      </c>
      <c r="J57" s="51" t="s">
        <v>97</v>
      </c>
      <c r="K57" s="53" t="s">
        <v>1680</v>
      </c>
      <c r="L57" s="45" t="s">
        <v>1681</v>
      </c>
      <c r="M57" s="56" t="s">
        <v>1682</v>
      </c>
      <c r="N57" s="46" t="s">
        <v>180</v>
      </c>
      <c r="O57" s="59" t="s">
        <v>182</v>
      </c>
      <c r="P57" s="53" t="s">
        <v>1683</v>
      </c>
      <c r="Q57" s="62" t="s">
        <v>277</v>
      </c>
      <c r="R57" s="65" t="str">
        <f t="shared" si="1"/>
        <v>Yes</v>
      </c>
      <c r="S57" s="62" t="str">
        <f t="shared" si="2"/>
        <v>Lüscher, Strohmeier &amp; Lenders (2024). "On the Security of Satellite-Based Air Traffic Control (ADS-C)". Workshop on the Security of Space and Satellite Systems (SpaceSec).</v>
      </c>
      <c r="T57" s="66" t="s">
        <v>1684</v>
      </c>
      <c r="U57" s="68" t="s">
        <v>1685</v>
      </c>
      <c r="V57" s="62" t="s">
        <v>205</v>
      </c>
      <c r="W57" s="62" t="s">
        <v>211</v>
      </c>
      <c r="X57" s="62" t="s">
        <v>1686</v>
      </c>
      <c r="Y57" s="70" t="s">
        <v>214</v>
      </c>
      <c r="Z57" s="59" t="s">
        <v>197</v>
      </c>
      <c r="AA57" s="59" t="s">
        <v>121</v>
      </c>
      <c r="AB57" s="65" t="str">
        <f t="shared" si="3"/>
        <v>Upward (observables)</v>
      </c>
      <c r="AC57" s="65" t="str">
        <f t="shared" si="4"/>
        <v/>
      </c>
      <c r="AD57" s="65" t="str">
        <f t="shared" si="5"/>
        <v>✓</v>
      </c>
      <c r="AE57" s="65" t="str">
        <f t="shared" si="6"/>
        <v>✓</v>
      </c>
      <c r="AF57" s="65" t="s">
        <v>273</v>
      </c>
      <c r="AG57" s="80"/>
      <c r="AH57" s="65">
        <f>COUNTIF('CVE Register'!$P$6:$P$300,A57)</f>
        <v>0</v>
      </c>
      <c r="AI57" s="65" t="s">
        <v>275</v>
      </c>
      <c r="AJ57" s="68" t="s">
        <v>1687</v>
      </c>
      <c r="AK57" s="65" t="s">
        <v>1576</v>
      </c>
      <c r="AL57" s="70" t="s">
        <v>225</v>
      </c>
      <c r="AM57" s="68" t="s">
        <v>1688</v>
      </c>
      <c r="AN57" s="81" t="s">
        <v>235</v>
      </c>
    </row>
    <row r="58" ht="51.75" customHeight="1">
      <c r="A58" s="82">
        <v>53.0</v>
      </c>
      <c r="B58" s="83" t="s">
        <v>1689</v>
      </c>
      <c r="C58" s="84" t="s">
        <v>1690</v>
      </c>
      <c r="D58" s="84" t="s">
        <v>591</v>
      </c>
      <c r="E58" s="85" t="s">
        <v>360</v>
      </c>
      <c r="F58" s="86" t="s">
        <v>592</v>
      </c>
      <c r="G58" s="84" t="s">
        <v>1691</v>
      </c>
      <c r="H58" s="84" t="s">
        <v>615</v>
      </c>
      <c r="I58" s="84" t="s">
        <v>1692</v>
      </c>
      <c r="J58" s="87" t="s">
        <v>173</v>
      </c>
      <c r="K58" s="88" t="s">
        <v>1693</v>
      </c>
      <c r="L58" s="84" t="s">
        <v>1694</v>
      </c>
      <c r="M58" s="89" t="s">
        <v>1695</v>
      </c>
      <c r="N58" s="85" t="s">
        <v>458</v>
      </c>
      <c r="O58" s="90" t="s">
        <v>524</v>
      </c>
      <c r="P58" s="88" t="s">
        <v>1696</v>
      </c>
      <c r="Q58" s="91" t="s">
        <v>185</v>
      </c>
      <c r="R58" s="92" t="str">
        <f t="shared" si="1"/>
        <v>Yes</v>
      </c>
      <c r="S58" s="91" t="str">
        <f t="shared" si="2"/>
        <v>Oligeri, Sciancalepore &amp; Di Pietro (2020). "GNSS Spoofing Detection via Opportunistic IRIDIUM Signals". ACM WiSec.</v>
      </c>
      <c r="T58" s="93" t="s">
        <v>1131</v>
      </c>
      <c r="U58" s="94" t="s">
        <v>1697</v>
      </c>
      <c r="V58" s="91" t="s">
        <v>205</v>
      </c>
      <c r="W58" s="91" t="s">
        <v>407</v>
      </c>
      <c r="X58" s="91" t="s">
        <v>1698</v>
      </c>
      <c r="Y58" s="95" t="s">
        <v>386</v>
      </c>
      <c r="Z58" s="90" t="s">
        <v>42</v>
      </c>
      <c r="AA58" s="90" t="s">
        <v>42</v>
      </c>
      <c r="AB58" s="92" t="str">
        <f t="shared" si="3"/>
        <v>Within layer</v>
      </c>
      <c r="AC58" s="92" t="str">
        <f t="shared" si="4"/>
        <v/>
      </c>
      <c r="AD58" s="92" t="str">
        <f t="shared" si="5"/>
        <v/>
      </c>
      <c r="AE58" s="92" t="str">
        <f t="shared" si="6"/>
        <v/>
      </c>
      <c r="AF58" s="92" t="s">
        <v>470</v>
      </c>
      <c r="AG58" s="96"/>
      <c r="AH58" s="92">
        <f>COUNTIF('CVE Register'!$P$6:$P$300,A58)</f>
        <v>0</v>
      </c>
      <c r="AI58" s="92" t="s">
        <v>1116</v>
      </c>
      <c r="AJ58" s="94" t="s">
        <v>1699</v>
      </c>
      <c r="AK58" s="92" t="s">
        <v>1576</v>
      </c>
      <c r="AL58" s="95" t="s">
        <v>476</v>
      </c>
      <c r="AM58" s="94" t="s">
        <v>477</v>
      </c>
      <c r="AN58" s="97" t="s">
        <v>478</v>
      </c>
    </row>
    <row r="59" ht="51.75" customHeight="1">
      <c r="A59" s="42">
        <v>54.0</v>
      </c>
      <c r="B59" s="43" t="s">
        <v>1700</v>
      </c>
      <c r="C59" s="45" t="s">
        <v>1701</v>
      </c>
      <c r="D59" s="45" t="s">
        <v>1702</v>
      </c>
      <c r="E59" s="46" t="s">
        <v>943</v>
      </c>
      <c r="F59" s="49" t="s">
        <v>1703</v>
      </c>
      <c r="G59" s="45" t="s">
        <v>1704</v>
      </c>
      <c r="H59" s="45" t="s">
        <v>1705</v>
      </c>
      <c r="I59" s="45" t="s">
        <v>1706</v>
      </c>
      <c r="J59" s="51" t="s">
        <v>97</v>
      </c>
      <c r="K59" s="53" t="s">
        <v>1707</v>
      </c>
      <c r="L59" s="45" t="s">
        <v>1708</v>
      </c>
      <c r="M59" s="56" t="s">
        <v>1709</v>
      </c>
      <c r="N59" s="46" t="s">
        <v>458</v>
      </c>
      <c r="O59" s="59" t="s">
        <v>182</v>
      </c>
      <c r="P59" s="53" t="s">
        <v>1710</v>
      </c>
      <c r="Q59" s="62" t="s">
        <v>236</v>
      </c>
      <c r="R59" s="65" t="str">
        <f t="shared" si="1"/>
        <v>Yes</v>
      </c>
      <c r="S59" s="62" t="str">
        <f t="shared" si="2"/>
        <v>Felux, Fol, Figuet, Waltert &amp; Olive (2024). "Impacts of Global Navigation Satellite System Jamming on Aviation". NAVIGATION: Journal of the Institute of Navigation (ION).</v>
      </c>
      <c r="T59" s="66" t="s">
        <v>1711</v>
      </c>
      <c r="U59" s="68" t="s">
        <v>1712</v>
      </c>
      <c r="V59" s="62" t="s">
        <v>1459</v>
      </c>
      <c r="W59" s="62" t="s">
        <v>689</v>
      </c>
      <c r="X59" s="62" t="s">
        <v>1713</v>
      </c>
      <c r="Y59" s="70" t="s">
        <v>386</v>
      </c>
      <c r="Z59" s="59" t="s">
        <v>42</v>
      </c>
      <c r="AA59" s="59" t="s">
        <v>121</v>
      </c>
      <c r="AB59" s="65" t="str">
        <f t="shared" si="3"/>
        <v>Upward (observables)</v>
      </c>
      <c r="AC59" s="65" t="str">
        <f t="shared" si="4"/>
        <v>✓</v>
      </c>
      <c r="AD59" s="65" t="str">
        <f t="shared" si="5"/>
        <v>✓</v>
      </c>
      <c r="AE59" s="65" t="str">
        <f t="shared" si="6"/>
        <v>✓</v>
      </c>
      <c r="AF59" s="65" t="s">
        <v>470</v>
      </c>
      <c r="AG59" s="80"/>
      <c r="AH59" s="65">
        <f>COUNTIF('CVE Register'!$P$6:$P$300,A59)</f>
        <v>0</v>
      </c>
      <c r="AI59" s="65" t="s">
        <v>1714</v>
      </c>
      <c r="AJ59" s="68" t="s">
        <v>1715</v>
      </c>
      <c r="AK59" s="65" t="s">
        <v>1576</v>
      </c>
      <c r="AL59" s="70" t="s">
        <v>476</v>
      </c>
      <c r="AM59" s="68" t="s">
        <v>1068</v>
      </c>
      <c r="AN59" s="81" t="s">
        <v>478</v>
      </c>
    </row>
    <row r="60" ht="51.75" customHeight="1">
      <c r="A60" s="42">
        <v>55.0</v>
      </c>
      <c r="B60" s="43" t="s">
        <v>1716</v>
      </c>
      <c r="C60" s="45" t="s">
        <v>1717</v>
      </c>
      <c r="D60" s="45" t="s">
        <v>1718</v>
      </c>
      <c r="E60" s="46" t="s">
        <v>1043</v>
      </c>
      <c r="F60" s="49" t="s">
        <v>1719</v>
      </c>
      <c r="G60" s="45" t="s">
        <v>1720</v>
      </c>
      <c r="H60" s="45" t="s">
        <v>615</v>
      </c>
      <c r="I60" s="45" t="s">
        <v>1721</v>
      </c>
      <c r="J60" s="51" t="s">
        <v>97</v>
      </c>
      <c r="K60" s="53" t="s">
        <v>1722</v>
      </c>
      <c r="L60" s="45" t="s">
        <v>1723</v>
      </c>
      <c r="M60" s="56" t="s">
        <v>1724</v>
      </c>
      <c r="N60" s="46" t="s">
        <v>458</v>
      </c>
      <c r="O60" s="59" t="s">
        <v>182</v>
      </c>
      <c r="P60" s="53" t="s">
        <v>1710</v>
      </c>
      <c r="Q60" s="62" t="s">
        <v>185</v>
      </c>
      <c r="R60" s="65" t="str">
        <f t="shared" si="1"/>
        <v>Yes</v>
      </c>
      <c r="S60" s="62" t="str">
        <f t="shared" si="2"/>
        <v>Felux, Lenders, Strohmeier, Figuet &amp; Monstein (2025). "Navigating Turbulence: Understanding New GNSS Risks in Conflict Zones". Int. Conf. on Cyber Conflict (CyCon), NATO CCDCOE.</v>
      </c>
      <c r="T60" s="66" t="s">
        <v>1725</v>
      </c>
      <c r="U60" s="68" t="s">
        <v>1726</v>
      </c>
      <c r="V60" s="62" t="s">
        <v>205</v>
      </c>
      <c r="W60" s="62" t="s">
        <v>407</v>
      </c>
      <c r="X60" s="62" t="s">
        <v>1727</v>
      </c>
      <c r="Y60" s="70" t="s">
        <v>386</v>
      </c>
      <c r="Z60" s="59" t="s">
        <v>42</v>
      </c>
      <c r="AA60" s="59" t="s">
        <v>121</v>
      </c>
      <c r="AB60" s="65" t="str">
        <f t="shared" si="3"/>
        <v>Upward (observables)</v>
      </c>
      <c r="AC60" s="65" t="str">
        <f t="shared" si="4"/>
        <v>✓</v>
      </c>
      <c r="AD60" s="65" t="str">
        <f t="shared" si="5"/>
        <v>✓</v>
      </c>
      <c r="AE60" s="65" t="str">
        <f t="shared" si="6"/>
        <v>✓</v>
      </c>
      <c r="AF60" s="65" t="s">
        <v>470</v>
      </c>
      <c r="AG60" s="80"/>
      <c r="AH60" s="65">
        <f>COUNTIF('CVE Register'!$P$6:$P$300,A60)</f>
        <v>0</v>
      </c>
      <c r="AI60" s="65" t="s">
        <v>1728</v>
      </c>
      <c r="AJ60" s="68" t="s">
        <v>1715</v>
      </c>
      <c r="AK60" s="65" t="s">
        <v>1576</v>
      </c>
      <c r="AL60" s="70" t="s">
        <v>476</v>
      </c>
      <c r="AM60" s="68" t="s">
        <v>628</v>
      </c>
      <c r="AN60" s="81" t="s">
        <v>478</v>
      </c>
    </row>
    <row r="61" ht="51.75" customHeight="1">
      <c r="A61" s="42">
        <v>56.0</v>
      </c>
      <c r="B61" s="43" t="s">
        <v>1729</v>
      </c>
      <c r="C61" s="45" t="s">
        <v>1730</v>
      </c>
      <c r="D61" s="45" t="s">
        <v>1731</v>
      </c>
      <c r="E61" s="46" t="s">
        <v>1043</v>
      </c>
      <c r="F61" s="49" t="s">
        <v>1732</v>
      </c>
      <c r="G61" s="45" t="s">
        <v>1733</v>
      </c>
      <c r="H61" s="45" t="s">
        <v>615</v>
      </c>
      <c r="I61" s="45" t="s">
        <v>1734</v>
      </c>
      <c r="J61" s="51" t="s">
        <v>97</v>
      </c>
      <c r="K61" s="53" t="s">
        <v>1735</v>
      </c>
      <c r="L61" s="45" t="s">
        <v>1736</v>
      </c>
      <c r="M61" s="56" t="s">
        <v>1737</v>
      </c>
      <c r="N61" s="46" t="s">
        <v>458</v>
      </c>
      <c r="O61" s="59" t="s">
        <v>182</v>
      </c>
      <c r="P61" s="53" t="s">
        <v>1588</v>
      </c>
      <c r="Q61" s="62" t="s">
        <v>310</v>
      </c>
      <c r="R61" s="65" t="str">
        <f t="shared" si="1"/>
        <v>No</v>
      </c>
      <c r="S61" s="62" t="str">
        <f t="shared" si="2"/>
        <v>Lo, Liu, Ibrahim, Chen, Akos &amp; Walter (2026). "Global Incidents of Aviation Spoofing in 2024-2025 Detected with Automatic Dependent Surveillance Broadcast". ION ITM 2026 per author-hosted file name (ION record not confirmed).</v>
      </c>
      <c r="T61" s="66" t="s">
        <v>1738</v>
      </c>
      <c r="U61" s="68" t="s">
        <v>1739</v>
      </c>
      <c r="V61" s="62" t="s">
        <v>205</v>
      </c>
      <c r="W61" s="62" t="s">
        <v>407</v>
      </c>
      <c r="X61" s="62" t="s">
        <v>1740</v>
      </c>
      <c r="Y61" s="70" t="s">
        <v>386</v>
      </c>
      <c r="Z61" s="59" t="s">
        <v>42</v>
      </c>
      <c r="AA61" s="59" t="s">
        <v>249</v>
      </c>
      <c r="AB61" s="65" t="str">
        <f t="shared" si="3"/>
        <v>Upward (observables)</v>
      </c>
      <c r="AC61" s="65" t="str">
        <f t="shared" si="4"/>
        <v>✓</v>
      </c>
      <c r="AD61" s="65" t="str">
        <f t="shared" si="5"/>
        <v>✓</v>
      </c>
      <c r="AE61" s="65" t="str">
        <f t="shared" si="6"/>
        <v/>
      </c>
      <c r="AF61" s="65" t="s">
        <v>470</v>
      </c>
      <c r="AG61" s="80"/>
      <c r="AH61" s="65">
        <f>COUNTIF('CVE Register'!$P$6:$P$300,A61)</f>
        <v>0</v>
      </c>
      <c r="AI61" s="65" t="s">
        <v>1741</v>
      </c>
      <c r="AJ61" s="68" t="s">
        <v>1742</v>
      </c>
      <c r="AK61" s="65" t="s">
        <v>1576</v>
      </c>
      <c r="AL61" s="70" t="s">
        <v>34</v>
      </c>
      <c r="AM61" s="68" t="s">
        <v>1743</v>
      </c>
      <c r="AN61" s="81" t="s">
        <v>84</v>
      </c>
    </row>
    <row r="62" ht="51.75" customHeight="1">
      <c r="A62" s="82">
        <v>57.0</v>
      </c>
      <c r="B62" s="83" t="s">
        <v>1744</v>
      </c>
      <c r="C62" s="84" t="s">
        <v>1745</v>
      </c>
      <c r="D62" s="84" t="s">
        <v>1746</v>
      </c>
      <c r="E62" s="85" t="s">
        <v>1747</v>
      </c>
      <c r="F62" s="86" t="s">
        <v>1748</v>
      </c>
      <c r="G62" s="84" t="s">
        <v>1749</v>
      </c>
      <c r="H62" s="84" t="s">
        <v>1750</v>
      </c>
      <c r="I62" s="84" t="s">
        <v>1751</v>
      </c>
      <c r="J62" s="87" t="s">
        <v>173</v>
      </c>
      <c r="K62" s="88" t="s">
        <v>1752</v>
      </c>
      <c r="L62" s="84" t="s">
        <v>1753</v>
      </c>
      <c r="M62" s="89" t="s">
        <v>1754</v>
      </c>
      <c r="N62" s="85" t="s">
        <v>458</v>
      </c>
      <c r="O62" s="90" t="s">
        <v>381</v>
      </c>
      <c r="P62" s="88" t="s">
        <v>1588</v>
      </c>
      <c r="Q62" s="91" t="s">
        <v>310</v>
      </c>
      <c r="R62" s="92" t="str">
        <f t="shared" si="1"/>
        <v>No</v>
      </c>
      <c r="S62" s="91" t="str">
        <f t="shared" si="2"/>
        <v>Wang et al. (2025). "Practical Spoofing Attacks on Galileo Open Service Navigation Message Authentication". arXiv preprint 2501.09246 (extends an ION GNSS+ 2023 paper).</v>
      </c>
      <c r="T62" s="93" t="s">
        <v>1755</v>
      </c>
      <c r="U62" s="94" t="s">
        <v>1756</v>
      </c>
      <c r="V62" s="91" t="s">
        <v>205</v>
      </c>
      <c r="W62" s="91" t="s">
        <v>968</v>
      </c>
      <c r="X62" s="91" t="s">
        <v>1757</v>
      </c>
      <c r="Y62" s="95" t="s">
        <v>386</v>
      </c>
      <c r="Z62" s="90" t="s">
        <v>42</v>
      </c>
      <c r="AA62" s="90" t="s">
        <v>42</v>
      </c>
      <c r="AB62" s="92" t="str">
        <f t="shared" si="3"/>
        <v>Within layer</v>
      </c>
      <c r="AC62" s="92" t="str">
        <f t="shared" si="4"/>
        <v/>
      </c>
      <c r="AD62" s="92" t="str">
        <f t="shared" si="5"/>
        <v/>
      </c>
      <c r="AE62" s="92" t="str">
        <f t="shared" si="6"/>
        <v/>
      </c>
      <c r="AF62" s="92" t="s">
        <v>470</v>
      </c>
      <c r="AG62" s="96"/>
      <c r="AH62" s="92">
        <f>COUNTIF('CVE Register'!$P$6:$P$300,A62)</f>
        <v>0</v>
      </c>
      <c r="AI62" s="92" t="s">
        <v>1758</v>
      </c>
      <c r="AJ62" s="94" t="s">
        <v>1759</v>
      </c>
      <c r="AK62" s="92" t="s">
        <v>1576</v>
      </c>
      <c r="AL62" s="95" t="s">
        <v>476</v>
      </c>
      <c r="AM62" s="94" t="s">
        <v>477</v>
      </c>
      <c r="AN62" s="97" t="s">
        <v>478</v>
      </c>
    </row>
    <row r="63" ht="46.5" customHeight="1">
      <c r="A63" s="107">
        <v>58.0</v>
      </c>
      <c r="B63" s="108" t="s">
        <v>1760</v>
      </c>
      <c r="C63" s="109" t="s">
        <v>1761</v>
      </c>
      <c r="D63" s="109" t="s">
        <v>1762</v>
      </c>
      <c r="E63" s="77" t="s">
        <v>1747</v>
      </c>
      <c r="F63" s="110" t="s">
        <v>1748</v>
      </c>
      <c r="G63" s="109" t="s">
        <v>1763</v>
      </c>
      <c r="H63" s="109" t="s">
        <v>1764</v>
      </c>
      <c r="I63" s="109" t="s">
        <v>1369</v>
      </c>
      <c r="J63" s="111" t="s">
        <v>203</v>
      </c>
      <c r="K63" s="112" t="s">
        <v>1765</v>
      </c>
      <c r="L63" s="109" t="s">
        <v>1766</v>
      </c>
      <c r="M63" s="113" t="s">
        <v>1767</v>
      </c>
      <c r="N63" s="77" t="s">
        <v>313</v>
      </c>
      <c r="O63" s="114" t="s">
        <v>1098</v>
      </c>
      <c r="P63" s="112" t="s">
        <v>1768</v>
      </c>
      <c r="Q63" s="76" t="s">
        <v>310</v>
      </c>
      <c r="R63" s="115" t="str">
        <f t="shared" si="1"/>
        <v>No</v>
      </c>
      <c r="S63" s="76" t="str">
        <f t="shared" si="2"/>
        <v>Ballard, Song &amp; Zhu (2025). "Satellite Cybersecurity Across Orbital Altitudes: Analyzing Ground-Based Threats to LEO, MEO, and GEO". arXiv preprint 2512.21367.</v>
      </c>
      <c r="T63" s="116" t="s">
        <v>1769</v>
      </c>
      <c r="U63" s="117" t="s">
        <v>466</v>
      </c>
      <c r="V63" s="76" t="s">
        <v>1379</v>
      </c>
      <c r="W63" s="76" t="s">
        <v>1379</v>
      </c>
      <c r="X63" s="76" t="s">
        <v>1770</v>
      </c>
      <c r="Y63" s="118" t="s">
        <v>1251</v>
      </c>
      <c r="Z63" s="114" t="s">
        <v>42</v>
      </c>
      <c r="AA63" s="114" t="s">
        <v>197</v>
      </c>
      <c r="AB63" s="115" t="str">
        <f t="shared" si="3"/>
        <v>Upward (observables)</v>
      </c>
      <c r="AC63" s="115" t="str">
        <f t="shared" si="4"/>
        <v>✓</v>
      </c>
      <c r="AD63" s="115" t="str">
        <f t="shared" si="5"/>
        <v/>
      </c>
      <c r="AE63" s="115" t="str">
        <f t="shared" si="6"/>
        <v/>
      </c>
      <c r="AF63" s="115" t="s">
        <v>273</v>
      </c>
      <c r="AG63" s="119"/>
      <c r="AH63" s="115">
        <f>COUNTIF('CVE Register'!$P$6:$P$300,A63)</f>
        <v>0</v>
      </c>
      <c r="AI63" s="115" t="s">
        <v>1214</v>
      </c>
      <c r="AJ63" s="117" t="s">
        <v>1771</v>
      </c>
      <c r="AK63" s="115" t="s">
        <v>1576</v>
      </c>
      <c r="AL63" s="118" t="s">
        <v>1299</v>
      </c>
      <c r="AM63" s="117" t="s">
        <v>1465</v>
      </c>
      <c r="AN63" s="78" t="s">
        <v>1466</v>
      </c>
    </row>
    <row r="64" ht="51.75" customHeight="1">
      <c r="A64" s="82">
        <v>59.0</v>
      </c>
      <c r="B64" s="83" t="s">
        <v>1772</v>
      </c>
      <c r="C64" s="84" t="s">
        <v>1773</v>
      </c>
      <c r="D64" s="84" t="s">
        <v>1774</v>
      </c>
      <c r="E64" s="85" t="s">
        <v>1775</v>
      </c>
      <c r="F64" s="124" t="s">
        <v>1776</v>
      </c>
      <c r="G64" s="84" t="s">
        <v>1777</v>
      </c>
      <c r="H64" s="84" t="s">
        <v>1778</v>
      </c>
      <c r="I64" s="84" t="s">
        <v>1779</v>
      </c>
      <c r="J64" s="87" t="s">
        <v>173</v>
      </c>
      <c r="K64" s="88" t="s">
        <v>1780</v>
      </c>
      <c r="L64" s="84" t="s">
        <v>1781</v>
      </c>
      <c r="M64" s="89" t="s">
        <v>1782</v>
      </c>
      <c r="N64" s="85" t="s">
        <v>380</v>
      </c>
      <c r="O64" s="90" t="s">
        <v>381</v>
      </c>
      <c r="P64" s="88" t="s">
        <v>1783</v>
      </c>
      <c r="Q64" s="91" t="s">
        <v>326</v>
      </c>
      <c r="R64" s="92" t="str">
        <f t="shared" si="1"/>
        <v>No</v>
      </c>
      <c r="S64" s="91" t="str">
        <f t="shared" si="2"/>
        <v>Costin &amp; Francillon (2012). "Ghost in the Air(Traffic): On Insecurity of ADS-B Protocol and Practical Attacks on ADS-B Devices". Black Hat USA 2012 (talk + white paper).</v>
      </c>
      <c r="T64" s="93" t="s">
        <v>1784</v>
      </c>
      <c r="U64" s="94" t="s">
        <v>1785</v>
      </c>
      <c r="V64" s="91" t="s">
        <v>205</v>
      </c>
      <c r="W64" s="91" t="s">
        <v>407</v>
      </c>
      <c r="X64" s="91" t="s">
        <v>1786</v>
      </c>
      <c r="Y64" s="95" t="s">
        <v>409</v>
      </c>
      <c r="Z64" s="90" t="s">
        <v>42</v>
      </c>
      <c r="AA64" s="90" t="s">
        <v>42</v>
      </c>
      <c r="AB64" s="92" t="str">
        <f t="shared" si="3"/>
        <v>Within layer</v>
      </c>
      <c r="AC64" s="92" t="str">
        <f t="shared" si="4"/>
        <v/>
      </c>
      <c r="AD64" s="92" t="str">
        <f t="shared" si="5"/>
        <v/>
      </c>
      <c r="AE64" s="92" t="str">
        <f t="shared" si="6"/>
        <v/>
      </c>
      <c r="AF64" s="92" t="s">
        <v>273</v>
      </c>
      <c r="AG64" s="96"/>
      <c r="AH64" s="92">
        <f>COUNTIF('CVE Register'!$P$6:$P$300,A64)</f>
        <v>0</v>
      </c>
      <c r="AI64" s="92" t="s">
        <v>427</v>
      </c>
      <c r="AJ64" s="94" t="s">
        <v>1771</v>
      </c>
      <c r="AK64" s="92" t="s">
        <v>1576</v>
      </c>
      <c r="AL64" s="95" t="s">
        <v>34</v>
      </c>
      <c r="AM64" s="94" t="s">
        <v>1787</v>
      </c>
      <c r="AN64" s="97" t="s">
        <v>84</v>
      </c>
    </row>
    <row r="65" ht="51.75" customHeight="1">
      <c r="A65" s="82">
        <v>60.0</v>
      </c>
      <c r="B65" s="83" t="s">
        <v>1788</v>
      </c>
      <c r="C65" s="84" t="s">
        <v>1789</v>
      </c>
      <c r="D65" s="84" t="s">
        <v>1790</v>
      </c>
      <c r="E65" s="85" t="s">
        <v>1775</v>
      </c>
      <c r="F65" s="124" t="s">
        <v>1776</v>
      </c>
      <c r="G65" s="84" t="s">
        <v>1791</v>
      </c>
      <c r="H65" s="84" t="s">
        <v>1792</v>
      </c>
      <c r="I65" s="84" t="s">
        <v>1793</v>
      </c>
      <c r="J65" s="87" t="s">
        <v>173</v>
      </c>
      <c r="K65" s="88" t="s">
        <v>1794</v>
      </c>
      <c r="L65" s="84" t="s">
        <v>1795</v>
      </c>
      <c r="M65" s="89" t="s">
        <v>1796</v>
      </c>
      <c r="N65" s="85" t="s">
        <v>180</v>
      </c>
      <c r="O65" s="90" t="s">
        <v>524</v>
      </c>
      <c r="P65" s="88" t="s">
        <v>1588</v>
      </c>
      <c r="Q65" s="91" t="s">
        <v>326</v>
      </c>
      <c r="R65" s="92" t="str">
        <f t="shared" si="1"/>
        <v>No</v>
      </c>
      <c r="S65" s="91" t="str">
        <f t="shared" si="2"/>
        <v>Teso (2013). "Aircraft Hacking: Practical Aero Series". HITBSecConf 2013 Amsterdam (talk).</v>
      </c>
      <c r="T65" s="93" t="s">
        <v>1797</v>
      </c>
      <c r="U65" s="94" t="s">
        <v>1798</v>
      </c>
      <c r="V65" s="91" t="s">
        <v>780</v>
      </c>
      <c r="W65" s="91" t="s">
        <v>781</v>
      </c>
      <c r="X65" s="91" t="s">
        <v>1799</v>
      </c>
      <c r="Y65" s="95" t="s">
        <v>214</v>
      </c>
      <c r="Z65" s="90" t="s">
        <v>197</v>
      </c>
      <c r="AA65" s="90" t="s">
        <v>42</v>
      </c>
      <c r="AB65" s="92" t="str">
        <f t="shared" si="3"/>
        <v>Downward (config / keys / sync)</v>
      </c>
      <c r="AC65" s="92" t="str">
        <f t="shared" si="4"/>
        <v>✓</v>
      </c>
      <c r="AD65" s="92" t="str">
        <f t="shared" si="5"/>
        <v/>
      </c>
      <c r="AE65" s="92" t="str">
        <f t="shared" si="6"/>
        <v/>
      </c>
      <c r="AF65" s="92" t="s">
        <v>273</v>
      </c>
      <c r="AG65" s="96"/>
      <c r="AH65" s="92">
        <f>COUNTIF('CVE Register'!$P$6:$P$300,A65)</f>
        <v>0</v>
      </c>
      <c r="AI65" s="92" t="s">
        <v>1800</v>
      </c>
      <c r="AJ65" s="94" t="s">
        <v>1801</v>
      </c>
      <c r="AK65" s="92" t="s">
        <v>1576</v>
      </c>
      <c r="AL65" s="95" t="s">
        <v>788</v>
      </c>
      <c r="AM65" s="94" t="s">
        <v>1802</v>
      </c>
      <c r="AN65" s="97" t="s">
        <v>792</v>
      </c>
    </row>
    <row r="66" ht="46.5" customHeight="1">
      <c r="A66" s="82">
        <v>61.0</v>
      </c>
      <c r="B66" s="83" t="s">
        <v>1803</v>
      </c>
      <c r="C66" s="84" t="s">
        <v>1804</v>
      </c>
      <c r="D66" s="84" t="s">
        <v>1805</v>
      </c>
      <c r="E66" s="85" t="s">
        <v>1775</v>
      </c>
      <c r="F66" s="124" t="s">
        <v>1776</v>
      </c>
      <c r="G66" s="84" t="s">
        <v>1806</v>
      </c>
      <c r="H66" s="84" t="s">
        <v>1807</v>
      </c>
      <c r="I66" s="84" t="s">
        <v>1808</v>
      </c>
      <c r="J66" s="87" t="s">
        <v>173</v>
      </c>
      <c r="K66" s="88" t="s">
        <v>1809</v>
      </c>
      <c r="L66" s="84" t="s">
        <v>1810</v>
      </c>
      <c r="M66" s="89" t="s">
        <v>1811</v>
      </c>
      <c r="N66" s="85" t="s">
        <v>180</v>
      </c>
      <c r="O66" s="90" t="s">
        <v>524</v>
      </c>
      <c r="P66" s="88" t="s">
        <v>1588</v>
      </c>
      <c r="Q66" s="91" t="s">
        <v>326</v>
      </c>
      <c r="R66" s="92" t="str">
        <f t="shared" si="1"/>
        <v>No</v>
      </c>
      <c r="S66" s="91" t="str">
        <f t="shared" si="2"/>
        <v>Santamarta (2014). "SATCOM Terminals: Hacking by Air, Sea, and Land". Black Hat USA 2014 (talk + white paper).</v>
      </c>
      <c r="T66" s="93" t="s">
        <v>1812</v>
      </c>
      <c r="U66" s="94" t="s">
        <v>1813</v>
      </c>
      <c r="V66" s="91" t="s">
        <v>780</v>
      </c>
      <c r="W66" s="91" t="s">
        <v>1814</v>
      </c>
      <c r="X66" s="91" t="s">
        <v>1815</v>
      </c>
      <c r="Y66" s="95" t="s">
        <v>418</v>
      </c>
      <c r="Z66" s="90" t="s">
        <v>42</v>
      </c>
      <c r="AA66" s="90" t="s">
        <v>197</v>
      </c>
      <c r="AB66" s="92" t="str">
        <f t="shared" si="3"/>
        <v>Upward (observables)</v>
      </c>
      <c r="AC66" s="92" t="str">
        <f t="shared" si="4"/>
        <v>✓</v>
      </c>
      <c r="AD66" s="92" t="str">
        <f t="shared" si="5"/>
        <v/>
      </c>
      <c r="AE66" s="92" t="str">
        <f t="shared" si="6"/>
        <v/>
      </c>
      <c r="AF66" s="92" t="s">
        <v>273</v>
      </c>
      <c r="AG66" s="96" t="s">
        <v>1816</v>
      </c>
      <c r="AH66" s="92">
        <f>COUNTIF('CVE Register'!$P$6:$P$300,A66)</f>
        <v>3</v>
      </c>
      <c r="AI66" s="92" t="s">
        <v>435</v>
      </c>
      <c r="AJ66" s="94" t="s">
        <v>1817</v>
      </c>
      <c r="AK66" s="92" t="s">
        <v>1576</v>
      </c>
      <c r="AL66" s="95" t="s">
        <v>1818</v>
      </c>
      <c r="AM66" s="94" t="s">
        <v>1819</v>
      </c>
      <c r="AN66" s="97" t="s">
        <v>1820</v>
      </c>
    </row>
    <row r="67" ht="46.5" customHeight="1">
      <c r="A67" s="42">
        <v>62.0</v>
      </c>
      <c r="B67" s="43" t="s">
        <v>1821</v>
      </c>
      <c r="C67" s="45" t="s">
        <v>1822</v>
      </c>
      <c r="D67" s="45" t="s">
        <v>1823</v>
      </c>
      <c r="E67" s="46" t="s">
        <v>1775</v>
      </c>
      <c r="F67" s="125" t="s">
        <v>1776</v>
      </c>
      <c r="G67" s="45" t="s">
        <v>1824</v>
      </c>
      <c r="H67" s="45" t="s">
        <v>1825</v>
      </c>
      <c r="I67" s="45" t="s">
        <v>1826</v>
      </c>
      <c r="J67" s="51" t="s">
        <v>97</v>
      </c>
      <c r="K67" s="53" t="s">
        <v>1827</v>
      </c>
      <c r="L67" s="45" t="s">
        <v>1828</v>
      </c>
      <c r="M67" s="56" t="s">
        <v>1829</v>
      </c>
      <c r="N67" s="46" t="s">
        <v>180</v>
      </c>
      <c r="O67" s="59" t="s">
        <v>182</v>
      </c>
      <c r="P67" s="53" t="s">
        <v>1830</v>
      </c>
      <c r="Q67" s="62" t="s">
        <v>326</v>
      </c>
      <c r="R67" s="65" t="str">
        <f t="shared" si="1"/>
        <v>No</v>
      </c>
      <c r="S67" s="62" t="str">
        <f t="shared" si="2"/>
        <v>Santamarta (2018). "Last Call for SATCOM Security". Black Hat USA 2018 (talk + white paper).</v>
      </c>
      <c r="T67" s="66" t="s">
        <v>1831</v>
      </c>
      <c r="U67" s="68" t="s">
        <v>1832</v>
      </c>
      <c r="V67" s="62" t="s">
        <v>1833</v>
      </c>
      <c r="W67" s="62" t="s">
        <v>781</v>
      </c>
      <c r="X67" s="62" t="s">
        <v>1834</v>
      </c>
      <c r="Y67" s="70" t="s">
        <v>418</v>
      </c>
      <c r="Z67" s="59" t="s">
        <v>42</v>
      </c>
      <c r="AA67" s="59" t="s">
        <v>197</v>
      </c>
      <c r="AB67" s="65" t="str">
        <f t="shared" si="3"/>
        <v>Upward (observables)</v>
      </c>
      <c r="AC67" s="65" t="str">
        <f t="shared" si="4"/>
        <v>✓</v>
      </c>
      <c r="AD67" s="65" t="str">
        <f t="shared" si="5"/>
        <v/>
      </c>
      <c r="AE67" s="65" t="str">
        <f t="shared" si="6"/>
        <v/>
      </c>
      <c r="AF67" s="65" t="s">
        <v>273</v>
      </c>
      <c r="AG67" s="80"/>
      <c r="AH67" s="65">
        <f>COUNTIF('CVE Register'!$P$6:$P$300,A67)</f>
        <v>0</v>
      </c>
      <c r="AI67" s="65" t="s">
        <v>1835</v>
      </c>
      <c r="AJ67" s="68" t="s">
        <v>1771</v>
      </c>
      <c r="AK67" s="65" t="s">
        <v>1576</v>
      </c>
      <c r="AL67" s="70" t="s">
        <v>187</v>
      </c>
      <c r="AM67" s="68" t="s">
        <v>1836</v>
      </c>
      <c r="AN67" s="81" t="s">
        <v>194</v>
      </c>
    </row>
    <row r="68" ht="46.5" customHeight="1">
      <c r="A68" s="42">
        <v>63.0</v>
      </c>
      <c r="B68" s="43" t="s">
        <v>1837</v>
      </c>
      <c r="C68" s="45" t="s">
        <v>1838</v>
      </c>
      <c r="D68" s="45" t="s">
        <v>1839</v>
      </c>
      <c r="E68" s="46" t="s">
        <v>1775</v>
      </c>
      <c r="F68" s="125" t="s">
        <v>1776</v>
      </c>
      <c r="G68" s="45" t="s">
        <v>303</v>
      </c>
      <c r="H68" s="45" t="s">
        <v>1840</v>
      </c>
      <c r="I68" s="45" t="s">
        <v>1841</v>
      </c>
      <c r="J68" s="51" t="s">
        <v>97</v>
      </c>
      <c r="K68" s="53" t="s">
        <v>1842</v>
      </c>
      <c r="L68" s="45" t="s">
        <v>1843</v>
      </c>
      <c r="M68" s="56" t="s">
        <v>1844</v>
      </c>
      <c r="N68" s="46" t="s">
        <v>313</v>
      </c>
      <c r="O68" s="59" t="s">
        <v>182</v>
      </c>
      <c r="P68" s="53" t="s">
        <v>1845</v>
      </c>
      <c r="Q68" s="62" t="s">
        <v>326</v>
      </c>
      <c r="R68" s="65" t="str">
        <f t="shared" si="1"/>
        <v>No</v>
      </c>
      <c r="S68" s="62" t="str">
        <f t="shared" si="2"/>
        <v>Pavur (2020). "Whispers Among the Stars: Perpetrating (and Preventing) Satellite Eavesdropping Attacks". Black Hat USA 2020 (talk).</v>
      </c>
      <c r="T68" s="66" t="s">
        <v>1846</v>
      </c>
      <c r="U68" s="68" t="s">
        <v>1832</v>
      </c>
      <c r="V68" s="62" t="s">
        <v>205</v>
      </c>
      <c r="W68" s="62" t="s">
        <v>211</v>
      </c>
      <c r="X68" s="62" t="s">
        <v>1847</v>
      </c>
      <c r="Y68" s="70" t="s">
        <v>333</v>
      </c>
      <c r="Z68" s="59" t="s">
        <v>197</v>
      </c>
      <c r="AA68" s="59" t="s">
        <v>197</v>
      </c>
      <c r="AB68" s="65" t="str">
        <f t="shared" si="3"/>
        <v>Within layer</v>
      </c>
      <c r="AC68" s="65" t="str">
        <f t="shared" si="4"/>
        <v/>
      </c>
      <c r="AD68" s="65" t="str">
        <f t="shared" si="5"/>
        <v/>
      </c>
      <c r="AE68" s="65" t="str">
        <f t="shared" si="6"/>
        <v/>
      </c>
      <c r="AF68" s="65" t="s">
        <v>273</v>
      </c>
      <c r="AG68" s="80"/>
      <c r="AH68" s="65">
        <f>COUNTIF('CVE Register'!$P$6:$P$300,A68)</f>
        <v>0</v>
      </c>
      <c r="AI68" s="65" t="s">
        <v>343</v>
      </c>
      <c r="AJ68" s="68"/>
      <c r="AK68" s="65" t="s">
        <v>1576</v>
      </c>
      <c r="AL68" s="70" t="s">
        <v>225</v>
      </c>
      <c r="AM68" s="68" t="s">
        <v>345</v>
      </c>
      <c r="AN68" s="81" t="s">
        <v>346</v>
      </c>
    </row>
    <row r="69" ht="51.75" customHeight="1">
      <c r="A69" s="82">
        <v>64.0</v>
      </c>
      <c r="B69" s="83" t="s">
        <v>1848</v>
      </c>
      <c r="C69" s="84" t="s">
        <v>1849</v>
      </c>
      <c r="D69" s="84" t="s">
        <v>1850</v>
      </c>
      <c r="E69" s="85" t="s">
        <v>1775</v>
      </c>
      <c r="F69" s="124" t="s">
        <v>1776</v>
      </c>
      <c r="G69" s="84" t="s">
        <v>1851</v>
      </c>
      <c r="H69" s="84" t="s">
        <v>1852</v>
      </c>
      <c r="I69" s="84" t="s">
        <v>1853</v>
      </c>
      <c r="J69" s="87" t="s">
        <v>173</v>
      </c>
      <c r="K69" s="88" t="s">
        <v>1854</v>
      </c>
      <c r="L69" s="84" t="s">
        <v>1855</v>
      </c>
      <c r="M69" s="89" t="s">
        <v>1856</v>
      </c>
      <c r="N69" s="85" t="s">
        <v>313</v>
      </c>
      <c r="O69" s="90" t="s">
        <v>381</v>
      </c>
      <c r="P69" s="88" t="s">
        <v>1857</v>
      </c>
      <c r="Q69" s="91" t="s">
        <v>326</v>
      </c>
      <c r="R69" s="92" t="str">
        <f t="shared" si="1"/>
        <v>No</v>
      </c>
      <c r="S69" s="91" t="str">
        <f t="shared" si="2"/>
        <v>Wouters (2022). "Glitched on Earth by Humans: A Black-Box Security Evaluation of the SpaceX Starlink User Terminal". Black Hat USA 2022 (talk).</v>
      </c>
      <c r="T69" s="93" t="s">
        <v>1858</v>
      </c>
      <c r="U69" s="94" t="s">
        <v>1859</v>
      </c>
      <c r="V69" s="91" t="s">
        <v>780</v>
      </c>
      <c r="W69" s="91" t="s">
        <v>781</v>
      </c>
      <c r="X69" s="91" t="s">
        <v>1860</v>
      </c>
      <c r="Y69" s="95" t="s">
        <v>418</v>
      </c>
      <c r="Z69" s="90" t="s">
        <v>42</v>
      </c>
      <c r="AA69" s="90" t="s">
        <v>42</v>
      </c>
      <c r="AB69" s="92" t="str">
        <f t="shared" si="3"/>
        <v>Within layer</v>
      </c>
      <c r="AC69" s="92" t="str">
        <f t="shared" si="4"/>
        <v/>
      </c>
      <c r="AD69" s="92" t="str">
        <f t="shared" si="5"/>
        <v/>
      </c>
      <c r="AE69" s="92" t="str">
        <f t="shared" si="6"/>
        <v/>
      </c>
      <c r="AF69" s="92" t="s">
        <v>273</v>
      </c>
      <c r="AG69" s="96"/>
      <c r="AH69" s="92">
        <f>COUNTIF('CVE Register'!$P$6:$P$300,A69)</f>
        <v>0</v>
      </c>
      <c r="AI69" s="92" t="s">
        <v>1195</v>
      </c>
      <c r="AJ69" s="94" t="s">
        <v>1771</v>
      </c>
      <c r="AK69" s="92" t="s">
        <v>1576</v>
      </c>
      <c r="AL69" s="95" t="s">
        <v>176</v>
      </c>
      <c r="AM69" s="94" t="s">
        <v>1861</v>
      </c>
      <c r="AN69" s="97" t="s">
        <v>186</v>
      </c>
    </row>
    <row r="70" ht="63.0" customHeight="1">
      <c r="A70" s="82">
        <v>65.0</v>
      </c>
      <c r="B70" s="83" t="s">
        <v>1862</v>
      </c>
      <c r="C70" s="84" t="s">
        <v>1863</v>
      </c>
      <c r="D70" s="84" t="s">
        <v>1864</v>
      </c>
      <c r="E70" s="85" t="s">
        <v>1775</v>
      </c>
      <c r="F70" s="124" t="s">
        <v>1776</v>
      </c>
      <c r="G70" s="84" t="s">
        <v>1865</v>
      </c>
      <c r="H70" s="84" t="s">
        <v>1866</v>
      </c>
      <c r="I70" s="84" t="s">
        <v>1867</v>
      </c>
      <c r="J70" s="87" t="s">
        <v>173</v>
      </c>
      <c r="K70" s="88" t="s">
        <v>1868</v>
      </c>
      <c r="L70" s="84" t="s">
        <v>1869</v>
      </c>
      <c r="M70" s="89" t="s">
        <v>1870</v>
      </c>
      <c r="N70" s="85" t="s">
        <v>313</v>
      </c>
      <c r="O70" s="90" t="s">
        <v>381</v>
      </c>
      <c r="P70" s="88" t="s">
        <v>1871</v>
      </c>
      <c r="Q70" s="91" t="s">
        <v>326</v>
      </c>
      <c r="R70" s="92" t="str">
        <f t="shared" si="1"/>
        <v>No</v>
      </c>
      <c r="S70" s="91" t="str">
        <f t="shared" si="2"/>
        <v>Olchawa, Starcik, Fradique &amp; Boulaich (2025). "Burning, Trashing, Spacecraft Crashing: A Collection of Vulnerabilities that will End your Space Mission". Black Hat USA 2025 (talk).</v>
      </c>
      <c r="T70" s="93" t="s">
        <v>1872</v>
      </c>
      <c r="U70" s="94" t="s">
        <v>1873</v>
      </c>
      <c r="V70" s="91" t="s">
        <v>780</v>
      </c>
      <c r="W70" s="91" t="s">
        <v>781</v>
      </c>
      <c r="X70" s="91" t="s">
        <v>1874</v>
      </c>
      <c r="Y70" s="95" t="s">
        <v>490</v>
      </c>
      <c r="Z70" s="90" t="s">
        <v>121</v>
      </c>
      <c r="AA70" s="90" t="s">
        <v>42</v>
      </c>
      <c r="AB70" s="92" t="str">
        <f t="shared" si="3"/>
        <v>Downward (config / keys / sync)</v>
      </c>
      <c r="AC70" s="92" t="str">
        <f t="shared" si="4"/>
        <v>✓</v>
      </c>
      <c r="AD70" s="92" t="str">
        <f t="shared" si="5"/>
        <v>✓</v>
      </c>
      <c r="AE70" s="92" t="str">
        <f t="shared" si="6"/>
        <v>✓</v>
      </c>
      <c r="AF70" s="92" t="s">
        <v>273</v>
      </c>
      <c r="AG70" s="96" t="s">
        <v>1875</v>
      </c>
      <c r="AH70" s="92">
        <f>COUNTIF('CVE Register'!$P$6:$P$300,A70)</f>
        <v>45</v>
      </c>
      <c r="AI70" s="92" t="s">
        <v>1876</v>
      </c>
      <c r="AJ70" s="94" t="s">
        <v>1877</v>
      </c>
      <c r="AK70" s="92" t="s">
        <v>1576</v>
      </c>
      <c r="AL70" s="95" t="s">
        <v>1878</v>
      </c>
      <c r="AM70" s="94" t="s">
        <v>1879</v>
      </c>
      <c r="AN70" s="97" t="s">
        <v>1880</v>
      </c>
    </row>
    <row r="71" ht="46.5" customHeight="1">
      <c r="A71" s="42">
        <v>66.0</v>
      </c>
      <c r="B71" s="43" t="s">
        <v>1881</v>
      </c>
      <c r="C71" s="45" t="s">
        <v>1882</v>
      </c>
      <c r="D71" s="45" t="s">
        <v>1883</v>
      </c>
      <c r="E71" s="46" t="s">
        <v>1775</v>
      </c>
      <c r="F71" s="125" t="s">
        <v>1776</v>
      </c>
      <c r="G71" s="45" t="s">
        <v>1884</v>
      </c>
      <c r="H71" s="45" t="s">
        <v>1885</v>
      </c>
      <c r="I71" s="45" t="s">
        <v>1886</v>
      </c>
      <c r="J71" s="51" t="s">
        <v>97</v>
      </c>
      <c r="K71" s="53" t="s">
        <v>1887</v>
      </c>
      <c r="L71" s="45" t="s">
        <v>1888</v>
      </c>
      <c r="M71" s="56" t="s">
        <v>1889</v>
      </c>
      <c r="N71" s="46" t="s">
        <v>313</v>
      </c>
      <c r="O71" s="59" t="s">
        <v>182</v>
      </c>
      <c r="P71" s="53" t="s">
        <v>1588</v>
      </c>
      <c r="Q71" s="62" t="s">
        <v>326</v>
      </c>
      <c r="R71" s="65" t="str">
        <f t="shared" si="1"/>
        <v>No</v>
      </c>
      <c r="S71" s="62" t="str">
        <f t="shared" si="2"/>
        <v>Sec &amp; schneider (2024). "Investigating the Iridium Satellite Network". 38th Chaos Communication Congress (38C3) (talk).</v>
      </c>
      <c r="T71" s="66" t="s">
        <v>1890</v>
      </c>
      <c r="U71" s="68" t="s">
        <v>1891</v>
      </c>
      <c r="V71" s="62" t="s">
        <v>205</v>
      </c>
      <c r="W71" s="62" t="s">
        <v>211</v>
      </c>
      <c r="X71" s="62" t="s">
        <v>1892</v>
      </c>
      <c r="Y71" s="70" t="s">
        <v>692</v>
      </c>
      <c r="Z71" s="59" t="s">
        <v>197</v>
      </c>
      <c r="AA71" s="59" t="s">
        <v>197</v>
      </c>
      <c r="AB71" s="65" t="str">
        <f t="shared" si="3"/>
        <v>Within layer</v>
      </c>
      <c r="AC71" s="65" t="str">
        <f t="shared" si="4"/>
        <v/>
      </c>
      <c r="AD71" s="65" t="str">
        <f t="shared" si="5"/>
        <v/>
      </c>
      <c r="AE71" s="65" t="str">
        <f t="shared" si="6"/>
        <v/>
      </c>
      <c r="AF71" s="65" t="s">
        <v>752</v>
      </c>
      <c r="AG71" s="80"/>
      <c r="AH71" s="65">
        <f>COUNTIF('CVE Register'!$P$6:$P$300,A71)</f>
        <v>0</v>
      </c>
      <c r="AI71" s="65" t="s">
        <v>863</v>
      </c>
      <c r="AJ71" s="68" t="s">
        <v>1893</v>
      </c>
      <c r="AK71" s="65" t="s">
        <v>1576</v>
      </c>
      <c r="AL71" s="70" t="s">
        <v>1244</v>
      </c>
      <c r="AM71" s="68" t="s">
        <v>1894</v>
      </c>
      <c r="AN71" s="81" t="s">
        <v>1895</v>
      </c>
    </row>
    <row r="72" ht="63.0" customHeight="1">
      <c r="A72" s="82">
        <v>67.0</v>
      </c>
      <c r="B72" s="83" t="s">
        <v>1896</v>
      </c>
      <c r="C72" s="84" t="s">
        <v>1897</v>
      </c>
      <c r="D72" s="84" t="s">
        <v>1898</v>
      </c>
      <c r="E72" s="85" t="s">
        <v>1775</v>
      </c>
      <c r="F72" s="124" t="s">
        <v>1899</v>
      </c>
      <c r="G72" s="84" t="s">
        <v>1900</v>
      </c>
      <c r="H72" s="84" t="s">
        <v>1901</v>
      </c>
      <c r="I72" s="84" t="s">
        <v>1902</v>
      </c>
      <c r="J72" s="87" t="s">
        <v>173</v>
      </c>
      <c r="K72" s="88" t="s">
        <v>1903</v>
      </c>
      <c r="L72" s="84" t="s">
        <v>1904</v>
      </c>
      <c r="M72" s="89" t="s">
        <v>1905</v>
      </c>
      <c r="N72" s="85" t="s">
        <v>313</v>
      </c>
      <c r="O72" s="90" t="s">
        <v>381</v>
      </c>
      <c r="P72" s="88" t="s">
        <v>1588</v>
      </c>
      <c r="Q72" s="91" t="s">
        <v>326</v>
      </c>
      <c r="R72" s="92" t="str">
        <f t="shared" si="1"/>
        <v>No</v>
      </c>
      <c r="S72" s="91" t="str">
        <f t="shared" si="2"/>
        <v>AFRL / US Space Force &amp; Aerospace Corp. (2023). "Moonlighter on-orbit hacking sandbox (Hack-A-Sat 4 finals, DEF CON 31)". DEF CON 31 Hack-A-Sat 4 (competition event).</v>
      </c>
      <c r="T72" s="93" t="s">
        <v>1906</v>
      </c>
      <c r="U72" s="94" t="s">
        <v>1907</v>
      </c>
      <c r="V72" s="91" t="s">
        <v>780</v>
      </c>
      <c r="W72" s="91" t="s">
        <v>781</v>
      </c>
      <c r="X72" s="91" t="s">
        <v>1908</v>
      </c>
      <c r="Y72" s="95" t="s">
        <v>1075</v>
      </c>
      <c r="Z72" s="90" t="s">
        <v>197</v>
      </c>
      <c r="AA72" s="90" t="s">
        <v>42</v>
      </c>
      <c r="AB72" s="92" t="str">
        <f t="shared" si="3"/>
        <v>Downward (config / keys / sync)</v>
      </c>
      <c r="AC72" s="92" t="str">
        <f t="shared" si="4"/>
        <v>✓</v>
      </c>
      <c r="AD72" s="92" t="str">
        <f t="shared" si="5"/>
        <v/>
      </c>
      <c r="AE72" s="92" t="str">
        <f t="shared" si="6"/>
        <v/>
      </c>
      <c r="AF72" s="92" t="s">
        <v>273</v>
      </c>
      <c r="AG72" s="96"/>
      <c r="AH72" s="92">
        <f>COUNTIF('CVE Register'!$P$6:$P$300,A72)</f>
        <v>0</v>
      </c>
      <c r="AI72" s="92" t="s">
        <v>786</v>
      </c>
      <c r="AJ72" s="94" t="s">
        <v>1771</v>
      </c>
      <c r="AK72" s="92" t="s">
        <v>1576</v>
      </c>
      <c r="AL72" s="95" t="s">
        <v>1909</v>
      </c>
      <c r="AM72" s="94" t="s">
        <v>1910</v>
      </c>
      <c r="AN72" s="97" t="s">
        <v>1911</v>
      </c>
    </row>
    <row r="73" ht="63.0" customHeight="1">
      <c r="A73" s="107">
        <v>68.0</v>
      </c>
      <c r="B73" s="108" t="s">
        <v>1912</v>
      </c>
      <c r="C73" s="109" t="s">
        <v>1913</v>
      </c>
      <c r="D73" s="109" t="s">
        <v>1914</v>
      </c>
      <c r="E73" s="77" t="s">
        <v>1775</v>
      </c>
      <c r="F73" s="126" t="s">
        <v>1915</v>
      </c>
      <c r="G73" s="109" t="s">
        <v>1916</v>
      </c>
      <c r="H73" s="109" t="s">
        <v>1917</v>
      </c>
      <c r="I73" s="109" t="s">
        <v>1918</v>
      </c>
      <c r="J73" s="111" t="s">
        <v>203</v>
      </c>
      <c r="K73" s="112" t="s">
        <v>1919</v>
      </c>
      <c r="L73" s="109" t="s">
        <v>1920</v>
      </c>
      <c r="M73" s="113" t="s">
        <v>1921</v>
      </c>
      <c r="N73" s="77" t="s">
        <v>313</v>
      </c>
      <c r="O73" s="114" t="s">
        <v>1098</v>
      </c>
      <c r="P73" s="112" t="s">
        <v>1922</v>
      </c>
      <c r="Q73" s="76" t="s">
        <v>362</v>
      </c>
      <c r="R73" s="115" t="str">
        <f t="shared" si="1"/>
        <v>No</v>
      </c>
      <c r="S73" s="76" t="str">
        <f t="shared" si="2"/>
        <v>CISA &amp; FBI (2022). "Strengthening Cybersecurity of SATCOM Network Providers and Customers (AA22-076A)". CISA Cybersecurity Advisory (17 Mar 2022).</v>
      </c>
      <c r="T73" s="116" t="s">
        <v>1022</v>
      </c>
      <c r="U73" s="117" t="s">
        <v>1923</v>
      </c>
      <c r="V73" s="76" t="s">
        <v>1833</v>
      </c>
      <c r="W73" s="76" t="s">
        <v>1814</v>
      </c>
      <c r="X73" s="76" t="s">
        <v>1924</v>
      </c>
      <c r="Y73" s="118" t="s">
        <v>1243</v>
      </c>
      <c r="Z73" s="114" t="s">
        <v>121</v>
      </c>
      <c r="AA73" s="114" t="s">
        <v>197</v>
      </c>
      <c r="AB73" s="115" t="str">
        <f t="shared" si="3"/>
        <v>Downward (config / keys / sync)</v>
      </c>
      <c r="AC73" s="115" t="str">
        <f t="shared" si="4"/>
        <v/>
      </c>
      <c r="AD73" s="115" t="str">
        <f t="shared" si="5"/>
        <v>✓</v>
      </c>
      <c r="AE73" s="115" t="str">
        <f t="shared" si="6"/>
        <v>✓</v>
      </c>
      <c r="AF73" s="115" t="s">
        <v>273</v>
      </c>
      <c r="AG73" s="119"/>
      <c r="AH73" s="115">
        <f>COUNTIF('CVE Register'!$P$6:$P$300,A73)</f>
        <v>0</v>
      </c>
      <c r="AI73" s="115" t="s">
        <v>343</v>
      </c>
      <c r="AJ73" s="117"/>
      <c r="AK73" s="115" t="s">
        <v>1576</v>
      </c>
      <c r="AL73" s="118" t="s">
        <v>1925</v>
      </c>
      <c r="AM73" s="117" t="s">
        <v>1926</v>
      </c>
      <c r="AN73" s="78" t="s">
        <v>1927</v>
      </c>
    </row>
    <row r="74" ht="51.75" customHeight="1">
      <c r="A74" s="42">
        <v>69.0</v>
      </c>
      <c r="B74" s="43" t="s">
        <v>1928</v>
      </c>
      <c r="C74" s="45" t="s">
        <v>1929</v>
      </c>
      <c r="D74" s="45" t="s">
        <v>1930</v>
      </c>
      <c r="E74" s="46" t="s">
        <v>1775</v>
      </c>
      <c r="F74" s="125" t="s">
        <v>1931</v>
      </c>
      <c r="G74" s="45" t="s">
        <v>1932</v>
      </c>
      <c r="H74" s="45" t="s">
        <v>1705</v>
      </c>
      <c r="I74" s="45" t="s">
        <v>1721</v>
      </c>
      <c r="J74" s="51" t="s">
        <v>97</v>
      </c>
      <c r="K74" s="53" t="s">
        <v>1933</v>
      </c>
      <c r="L74" s="45" t="s">
        <v>1934</v>
      </c>
      <c r="M74" s="56" t="s">
        <v>1935</v>
      </c>
      <c r="N74" s="46" t="s">
        <v>458</v>
      </c>
      <c r="O74" s="59" t="s">
        <v>182</v>
      </c>
      <c r="P74" s="53" t="s">
        <v>1936</v>
      </c>
      <c r="Q74" s="62" t="s">
        <v>362</v>
      </c>
      <c r="R74" s="65" t="str">
        <f t="shared" si="1"/>
        <v>No</v>
      </c>
      <c r="S74" s="62" t="str">
        <f t="shared" si="2"/>
        <v>EASA (2026). "Global Navigation Satellite System Outage and Alterations Leading to Navigation / Surveillance Degradation (SIB 2022-02R4)". EASA Safety Information Bulletin, revision 4 (3 Jul 2026).</v>
      </c>
      <c r="T74" s="66" t="s">
        <v>1050</v>
      </c>
      <c r="U74" s="68" t="s">
        <v>1937</v>
      </c>
      <c r="V74" s="62" t="s">
        <v>1459</v>
      </c>
      <c r="W74" s="62" t="s">
        <v>689</v>
      </c>
      <c r="X74" s="62" t="s">
        <v>1938</v>
      </c>
      <c r="Y74" s="70" t="s">
        <v>386</v>
      </c>
      <c r="Z74" s="59" t="s">
        <v>42</v>
      </c>
      <c r="AA74" s="59" t="s">
        <v>121</v>
      </c>
      <c r="AB74" s="65" t="str">
        <f t="shared" si="3"/>
        <v>Upward (observables)</v>
      </c>
      <c r="AC74" s="65" t="str">
        <f t="shared" si="4"/>
        <v>✓</v>
      </c>
      <c r="AD74" s="65" t="str">
        <f t="shared" si="5"/>
        <v>✓</v>
      </c>
      <c r="AE74" s="65" t="str">
        <f t="shared" si="6"/>
        <v>✓</v>
      </c>
      <c r="AF74" s="65" t="s">
        <v>470</v>
      </c>
      <c r="AG74" s="80"/>
      <c r="AH74" s="65">
        <f>COUNTIF('CVE Register'!$P$6:$P$300,A74)</f>
        <v>0</v>
      </c>
      <c r="AI74" s="65" t="s">
        <v>1939</v>
      </c>
      <c r="AJ74" s="68"/>
      <c r="AK74" s="65" t="s">
        <v>1576</v>
      </c>
      <c r="AL74" s="70" t="s">
        <v>476</v>
      </c>
      <c r="AM74" s="68" t="s">
        <v>1068</v>
      </c>
      <c r="AN74" s="81" t="s">
        <v>478</v>
      </c>
    </row>
    <row r="75" ht="51.75" customHeight="1">
      <c r="A75" s="42">
        <v>70.0</v>
      </c>
      <c r="B75" s="43" t="s">
        <v>1940</v>
      </c>
      <c r="C75" s="45" t="s">
        <v>1941</v>
      </c>
      <c r="D75" s="45" t="s">
        <v>1942</v>
      </c>
      <c r="E75" s="46" t="s">
        <v>1775</v>
      </c>
      <c r="F75" s="125" t="s">
        <v>1943</v>
      </c>
      <c r="G75" s="45" t="s">
        <v>1720</v>
      </c>
      <c r="H75" s="45" t="s">
        <v>615</v>
      </c>
      <c r="I75" s="45" t="s">
        <v>1721</v>
      </c>
      <c r="J75" s="51" t="s">
        <v>97</v>
      </c>
      <c r="K75" s="53" t="s">
        <v>1944</v>
      </c>
      <c r="L75" s="45" t="s">
        <v>1945</v>
      </c>
      <c r="M75" s="56" t="s">
        <v>1946</v>
      </c>
      <c r="N75" s="46" t="s">
        <v>458</v>
      </c>
      <c r="O75" s="59" t="s">
        <v>182</v>
      </c>
      <c r="P75" s="53" t="s">
        <v>1936</v>
      </c>
      <c r="Q75" s="62" t="s">
        <v>362</v>
      </c>
      <c r="R75" s="65" t="str">
        <f t="shared" si="1"/>
        <v>No</v>
      </c>
      <c r="S75" s="62" t="str">
        <f t="shared" si="2"/>
        <v>FAA (2024). "Recognizing and Mitigating GPS / GNSS Disruptions (SAFO 24002)". FAA Safety Alert for Operators (2 Feb 2024).</v>
      </c>
      <c r="T75" s="66" t="s">
        <v>1947</v>
      </c>
      <c r="U75" s="68" t="s">
        <v>1948</v>
      </c>
      <c r="V75" s="62" t="s">
        <v>205</v>
      </c>
      <c r="W75" s="62" t="s">
        <v>407</v>
      </c>
      <c r="X75" s="62" t="s">
        <v>1949</v>
      </c>
      <c r="Y75" s="70" t="s">
        <v>386</v>
      </c>
      <c r="Z75" s="59" t="s">
        <v>42</v>
      </c>
      <c r="AA75" s="59" t="s">
        <v>121</v>
      </c>
      <c r="AB75" s="65" t="str">
        <f t="shared" si="3"/>
        <v>Upward (observables)</v>
      </c>
      <c r="AC75" s="65" t="str">
        <f t="shared" si="4"/>
        <v>✓</v>
      </c>
      <c r="AD75" s="65" t="str">
        <f t="shared" si="5"/>
        <v>✓</v>
      </c>
      <c r="AE75" s="65" t="str">
        <f t="shared" si="6"/>
        <v>✓</v>
      </c>
      <c r="AF75" s="65" t="s">
        <v>470</v>
      </c>
      <c r="AG75" s="80"/>
      <c r="AH75" s="65">
        <f>COUNTIF('CVE Register'!$P$6:$P$300,A75)</f>
        <v>0</v>
      </c>
      <c r="AI75" s="65" t="s">
        <v>1950</v>
      </c>
      <c r="AJ75" s="68"/>
      <c r="AK75" s="65" t="s">
        <v>1576</v>
      </c>
      <c r="AL75" s="70" t="s">
        <v>476</v>
      </c>
      <c r="AM75" s="68" t="s">
        <v>1068</v>
      </c>
      <c r="AN75" s="81" t="s">
        <v>478</v>
      </c>
    </row>
    <row r="76" ht="51.75" customHeight="1">
      <c r="A76" s="42">
        <v>71.0</v>
      </c>
      <c r="B76" s="43" t="s">
        <v>1951</v>
      </c>
      <c r="C76" s="45" t="s">
        <v>1952</v>
      </c>
      <c r="D76" s="45" t="s">
        <v>1953</v>
      </c>
      <c r="E76" s="46" t="s">
        <v>1775</v>
      </c>
      <c r="F76" s="125" t="s">
        <v>1954</v>
      </c>
      <c r="G76" s="45" t="s">
        <v>1733</v>
      </c>
      <c r="H76" s="45" t="s">
        <v>615</v>
      </c>
      <c r="I76" s="45" t="s">
        <v>1955</v>
      </c>
      <c r="J76" s="51" t="s">
        <v>97</v>
      </c>
      <c r="K76" s="53" t="s">
        <v>1956</v>
      </c>
      <c r="L76" s="45" t="s">
        <v>1957</v>
      </c>
      <c r="M76" s="56" t="s">
        <v>1958</v>
      </c>
      <c r="N76" s="46" t="s">
        <v>458</v>
      </c>
      <c r="O76" s="59" t="s">
        <v>182</v>
      </c>
      <c r="P76" s="53" t="s">
        <v>1588</v>
      </c>
      <c r="Q76" s="62" t="s">
        <v>500</v>
      </c>
      <c r="R76" s="65" t="str">
        <f t="shared" si="1"/>
        <v>No</v>
      </c>
      <c r="S76" s="62" t="str">
        <f t="shared" si="2"/>
        <v>OPSGROUP (2024). "Final Report of the GPS Spoofing WorkGroup". OPSGROUP industry report (6 Sep 2024).</v>
      </c>
      <c r="T76" s="66" t="s">
        <v>1959</v>
      </c>
      <c r="U76" s="68" t="s">
        <v>466</v>
      </c>
      <c r="V76" s="62" t="s">
        <v>205</v>
      </c>
      <c r="W76" s="62" t="s">
        <v>407</v>
      </c>
      <c r="X76" s="62" t="s">
        <v>1960</v>
      </c>
      <c r="Y76" s="70" t="s">
        <v>386</v>
      </c>
      <c r="Z76" s="59" t="s">
        <v>42</v>
      </c>
      <c r="AA76" s="59" t="s">
        <v>121</v>
      </c>
      <c r="AB76" s="65" t="str">
        <f t="shared" si="3"/>
        <v>Upward (observables)</v>
      </c>
      <c r="AC76" s="65" t="str">
        <f t="shared" si="4"/>
        <v>✓</v>
      </c>
      <c r="AD76" s="65" t="str">
        <f t="shared" si="5"/>
        <v>✓</v>
      </c>
      <c r="AE76" s="65" t="str">
        <f t="shared" si="6"/>
        <v>✓</v>
      </c>
      <c r="AF76" s="65" t="s">
        <v>470</v>
      </c>
      <c r="AG76" s="80"/>
      <c r="AH76" s="65">
        <f>COUNTIF('CVE Register'!$P$6:$P$300,A76)</f>
        <v>0</v>
      </c>
      <c r="AI76" s="65" t="s">
        <v>1714</v>
      </c>
      <c r="AJ76" s="68"/>
      <c r="AK76" s="65" t="s">
        <v>1576</v>
      </c>
      <c r="AL76" s="70" t="s">
        <v>476</v>
      </c>
      <c r="AM76" s="68" t="s">
        <v>628</v>
      </c>
      <c r="AN76" s="81" t="s">
        <v>478</v>
      </c>
    </row>
    <row r="77" ht="51.75" customHeight="1">
      <c r="A77" s="42">
        <v>72.0</v>
      </c>
      <c r="B77" s="43" t="s">
        <v>1961</v>
      </c>
      <c r="C77" s="45" t="s">
        <v>1962</v>
      </c>
      <c r="D77" s="45" t="s">
        <v>1963</v>
      </c>
      <c r="E77" s="46" t="s">
        <v>1775</v>
      </c>
      <c r="F77" s="125" t="s">
        <v>1964</v>
      </c>
      <c r="G77" s="45" t="s">
        <v>1965</v>
      </c>
      <c r="H77" s="45" t="s">
        <v>615</v>
      </c>
      <c r="I77" s="45" t="s">
        <v>1692</v>
      </c>
      <c r="J77" s="51" t="s">
        <v>97</v>
      </c>
      <c r="K77" s="53" t="s">
        <v>1966</v>
      </c>
      <c r="L77" s="45" t="s">
        <v>1967</v>
      </c>
      <c r="M77" s="56" t="s">
        <v>1968</v>
      </c>
      <c r="N77" s="46" t="s">
        <v>458</v>
      </c>
      <c r="O77" s="59" t="s">
        <v>182</v>
      </c>
      <c r="P77" s="53" t="s">
        <v>1969</v>
      </c>
      <c r="Q77" s="62" t="s">
        <v>500</v>
      </c>
      <c r="R77" s="65" t="str">
        <f t="shared" si="1"/>
        <v>No</v>
      </c>
      <c r="S77" s="62" t="str">
        <f t="shared" si="2"/>
        <v>Aireon (2026). "GNSS Spoofing Detection in Aviation Using ADS-B Data". Aireon white paper.</v>
      </c>
      <c r="T77" s="66" t="s">
        <v>1970</v>
      </c>
      <c r="U77" s="68" t="s">
        <v>1971</v>
      </c>
      <c r="V77" s="62" t="s">
        <v>205</v>
      </c>
      <c r="W77" s="62" t="s">
        <v>407</v>
      </c>
      <c r="X77" s="62" t="s">
        <v>1972</v>
      </c>
      <c r="Y77" s="70" t="s">
        <v>386</v>
      </c>
      <c r="Z77" s="59" t="s">
        <v>42</v>
      </c>
      <c r="AA77" s="59" t="s">
        <v>249</v>
      </c>
      <c r="AB77" s="65" t="str">
        <f t="shared" si="3"/>
        <v>Upward (observables)</v>
      </c>
      <c r="AC77" s="65" t="str">
        <f t="shared" si="4"/>
        <v>✓</v>
      </c>
      <c r="AD77" s="65" t="str">
        <f t="shared" si="5"/>
        <v>✓</v>
      </c>
      <c r="AE77" s="65" t="str">
        <f t="shared" si="6"/>
        <v/>
      </c>
      <c r="AF77" s="65" t="s">
        <v>470</v>
      </c>
      <c r="AG77" s="80"/>
      <c r="AH77" s="65">
        <f>COUNTIF('CVE Register'!$P$6:$P$300,A77)</f>
        <v>0</v>
      </c>
      <c r="AI77" s="65" t="s">
        <v>1065</v>
      </c>
      <c r="AJ77" s="68" t="s">
        <v>1771</v>
      </c>
      <c r="AK77" s="65" t="s">
        <v>1576</v>
      </c>
      <c r="AL77" s="70" t="s">
        <v>34</v>
      </c>
      <c r="AM77" s="68" t="s">
        <v>1743</v>
      </c>
      <c r="AN77" s="81" t="s">
        <v>84</v>
      </c>
    </row>
    <row r="78" ht="51.75" customHeight="1">
      <c r="A78" s="42">
        <v>73.0</v>
      </c>
      <c r="B78" s="43" t="s">
        <v>1973</v>
      </c>
      <c r="C78" s="45" t="s">
        <v>1974</v>
      </c>
      <c r="D78" s="45" t="s">
        <v>1975</v>
      </c>
      <c r="E78" s="46" t="s">
        <v>1775</v>
      </c>
      <c r="F78" s="125" t="s">
        <v>1976</v>
      </c>
      <c r="G78" s="45" t="s">
        <v>1977</v>
      </c>
      <c r="H78" s="45" t="s">
        <v>615</v>
      </c>
      <c r="I78" s="45" t="s">
        <v>1978</v>
      </c>
      <c r="J78" s="51" t="s">
        <v>97</v>
      </c>
      <c r="K78" s="53" t="s">
        <v>1979</v>
      </c>
      <c r="L78" s="45" t="s">
        <v>1980</v>
      </c>
      <c r="M78" s="56" t="s">
        <v>1981</v>
      </c>
      <c r="N78" s="46" t="s">
        <v>458</v>
      </c>
      <c r="O78" s="59" t="s">
        <v>182</v>
      </c>
      <c r="P78" s="53" t="s">
        <v>1588</v>
      </c>
      <c r="Q78" s="62" t="s">
        <v>500</v>
      </c>
      <c r="R78" s="65" t="str">
        <f t="shared" si="1"/>
        <v>No</v>
      </c>
      <c r="S78" s="62" t="str">
        <f t="shared" si="2"/>
        <v>C4ADS (2019). "Above Us Only Stars". C4ADS report (26 Mar 2019).</v>
      </c>
      <c r="T78" s="66" t="s">
        <v>1982</v>
      </c>
      <c r="U78" s="68" t="s">
        <v>466</v>
      </c>
      <c r="V78" s="62" t="s">
        <v>205</v>
      </c>
      <c r="W78" s="62" t="s">
        <v>407</v>
      </c>
      <c r="X78" s="62" t="s">
        <v>1983</v>
      </c>
      <c r="Y78" s="70" t="s">
        <v>386</v>
      </c>
      <c r="Z78" s="59" t="s">
        <v>42</v>
      </c>
      <c r="AA78" s="59" t="s">
        <v>249</v>
      </c>
      <c r="AB78" s="65" t="str">
        <f t="shared" si="3"/>
        <v>Upward (observables)</v>
      </c>
      <c r="AC78" s="65" t="str">
        <f t="shared" si="4"/>
        <v>✓</v>
      </c>
      <c r="AD78" s="65" t="str">
        <f t="shared" si="5"/>
        <v>✓</v>
      </c>
      <c r="AE78" s="65" t="str">
        <f t="shared" si="6"/>
        <v/>
      </c>
      <c r="AF78" s="65" t="s">
        <v>470</v>
      </c>
      <c r="AG78" s="80"/>
      <c r="AH78" s="65">
        <f>COUNTIF('CVE Register'!$P$6:$P$300,A78)</f>
        <v>0</v>
      </c>
      <c r="AI78" s="65" t="s">
        <v>627</v>
      </c>
      <c r="AJ78" s="68" t="s">
        <v>1984</v>
      </c>
      <c r="AK78" s="65" t="s">
        <v>1576</v>
      </c>
      <c r="AL78" s="70" t="s">
        <v>476</v>
      </c>
      <c r="AM78" s="68" t="s">
        <v>628</v>
      </c>
      <c r="AN78" s="81" t="s">
        <v>478</v>
      </c>
    </row>
    <row r="79" ht="63.0" customHeight="1">
      <c r="A79" s="42">
        <v>74.0</v>
      </c>
      <c r="B79" s="43" t="s">
        <v>1985</v>
      </c>
      <c r="C79" s="45" t="s">
        <v>1986</v>
      </c>
      <c r="D79" s="45" t="s">
        <v>1987</v>
      </c>
      <c r="E79" s="46" t="s">
        <v>1775</v>
      </c>
      <c r="F79" s="125" t="s">
        <v>1988</v>
      </c>
      <c r="G79" s="45" t="s">
        <v>1989</v>
      </c>
      <c r="H79" s="45" t="s">
        <v>1990</v>
      </c>
      <c r="I79" s="45" t="s">
        <v>1991</v>
      </c>
      <c r="J79" s="51" t="s">
        <v>97</v>
      </c>
      <c r="K79" s="53" t="s">
        <v>1992</v>
      </c>
      <c r="L79" s="45" t="s">
        <v>1993</v>
      </c>
      <c r="M79" s="56" t="s">
        <v>1994</v>
      </c>
      <c r="N79" s="46" t="s">
        <v>313</v>
      </c>
      <c r="O79" s="59" t="s">
        <v>182</v>
      </c>
      <c r="P79" s="53" t="s">
        <v>1995</v>
      </c>
      <c r="Q79" s="62" t="s">
        <v>392</v>
      </c>
      <c r="R79" s="65" t="str">
        <f t="shared" si="1"/>
        <v>No</v>
      </c>
      <c r="S79" s="62" t="str">
        <f t="shared" si="2"/>
        <v>Viasat (2022). "KA-SAT Network cyber attack overview". Viasat incident statement (30 Mar 2022).</v>
      </c>
      <c r="T79" s="66" t="s">
        <v>1996</v>
      </c>
      <c r="U79" s="68" t="s">
        <v>466</v>
      </c>
      <c r="V79" s="62" t="s">
        <v>1833</v>
      </c>
      <c r="W79" s="62" t="s">
        <v>1814</v>
      </c>
      <c r="X79" s="62" t="s">
        <v>1997</v>
      </c>
      <c r="Y79" s="70" t="s">
        <v>1243</v>
      </c>
      <c r="Z79" s="59" t="s">
        <v>121</v>
      </c>
      <c r="AA79" s="59" t="s">
        <v>42</v>
      </c>
      <c r="AB79" s="65" t="str">
        <f t="shared" si="3"/>
        <v>Downward (config / keys / sync)</v>
      </c>
      <c r="AC79" s="65" t="str">
        <f t="shared" si="4"/>
        <v>✓</v>
      </c>
      <c r="AD79" s="65" t="str">
        <f t="shared" si="5"/>
        <v>✓</v>
      </c>
      <c r="AE79" s="65" t="str">
        <f t="shared" si="6"/>
        <v>✓</v>
      </c>
      <c r="AF79" s="65" t="s">
        <v>273</v>
      </c>
      <c r="AG79" s="80"/>
      <c r="AH79" s="65">
        <f>COUNTIF('CVE Register'!$P$6:$P$300,A79)</f>
        <v>0</v>
      </c>
      <c r="AI79" s="65" t="s">
        <v>1999</v>
      </c>
      <c r="AJ79" s="68" t="s">
        <v>2000</v>
      </c>
      <c r="AK79" s="65" t="s">
        <v>1576</v>
      </c>
      <c r="AL79" s="70" t="s">
        <v>2001</v>
      </c>
      <c r="AM79" s="68" t="s">
        <v>2002</v>
      </c>
      <c r="AN79" s="81" t="s">
        <v>2003</v>
      </c>
    </row>
    <row r="80" ht="51.75" customHeight="1">
      <c r="A80" s="42">
        <v>75.0</v>
      </c>
      <c r="B80" s="43" t="s">
        <v>2005</v>
      </c>
      <c r="C80" s="45" t="s">
        <v>2006</v>
      </c>
      <c r="D80" s="45" t="s">
        <v>2007</v>
      </c>
      <c r="E80" s="46" t="s">
        <v>1775</v>
      </c>
      <c r="F80" s="125" t="s">
        <v>2008</v>
      </c>
      <c r="G80" s="45" t="s">
        <v>2010</v>
      </c>
      <c r="H80" s="45" t="s">
        <v>2011</v>
      </c>
      <c r="I80" s="45" t="s">
        <v>1706</v>
      </c>
      <c r="J80" s="51" t="s">
        <v>97</v>
      </c>
      <c r="K80" s="53" t="s">
        <v>2012</v>
      </c>
      <c r="L80" s="45" t="s">
        <v>2013</v>
      </c>
      <c r="M80" s="56" t="s">
        <v>2014</v>
      </c>
      <c r="N80" s="46" t="s">
        <v>458</v>
      </c>
      <c r="O80" s="59" t="s">
        <v>182</v>
      </c>
      <c r="P80" s="53" t="s">
        <v>1588</v>
      </c>
      <c r="Q80" s="62" t="s">
        <v>392</v>
      </c>
      <c r="R80" s="65" t="str">
        <f t="shared" si="1"/>
        <v>No</v>
      </c>
      <c r="S80" s="62" t="str">
        <f t="shared" si="2"/>
        <v>ERR News (2024). "Finnair suspends flights to Tartu for 1 month to seek GPS jamming solution". Documented incident (news report, 29 Apr 2024).</v>
      </c>
      <c r="T80" s="66" t="s">
        <v>2016</v>
      </c>
      <c r="U80" s="68" t="s">
        <v>466</v>
      </c>
      <c r="V80" s="62" t="s">
        <v>1459</v>
      </c>
      <c r="W80" s="62" t="s">
        <v>689</v>
      </c>
      <c r="X80" s="62" t="s">
        <v>2018</v>
      </c>
      <c r="Y80" s="70" t="s">
        <v>386</v>
      </c>
      <c r="Z80" s="59" t="s">
        <v>42</v>
      </c>
      <c r="AA80" s="59" t="s">
        <v>121</v>
      </c>
      <c r="AB80" s="65" t="str">
        <f t="shared" si="3"/>
        <v>Upward (observables)</v>
      </c>
      <c r="AC80" s="65" t="str">
        <f t="shared" si="4"/>
        <v>✓</v>
      </c>
      <c r="AD80" s="65" t="str">
        <f t="shared" si="5"/>
        <v>✓</v>
      </c>
      <c r="AE80" s="65" t="str">
        <f t="shared" si="6"/>
        <v>✓</v>
      </c>
      <c r="AF80" s="65" t="s">
        <v>470</v>
      </c>
      <c r="AG80" s="80"/>
      <c r="AH80" s="65">
        <f>COUNTIF('CVE Register'!$P$6:$P$300,A80)</f>
        <v>0</v>
      </c>
      <c r="AI80" s="65" t="s">
        <v>1950</v>
      </c>
      <c r="AJ80" s="68"/>
      <c r="AK80" s="65" t="s">
        <v>1576</v>
      </c>
      <c r="AL80" s="70" t="s">
        <v>476</v>
      </c>
      <c r="AM80" s="68" t="s">
        <v>1068</v>
      </c>
      <c r="AN80" s="81" t="s">
        <v>478</v>
      </c>
    </row>
    <row r="81" ht="51.75" customHeight="1">
      <c r="A81" s="42">
        <v>76.0</v>
      </c>
      <c r="B81" s="43" t="s">
        <v>2019</v>
      </c>
      <c r="C81" s="45" t="s">
        <v>2020</v>
      </c>
      <c r="D81" s="45" t="s">
        <v>2021</v>
      </c>
      <c r="E81" s="46" t="s">
        <v>1775</v>
      </c>
      <c r="F81" s="125" t="s">
        <v>2022</v>
      </c>
      <c r="G81" s="45" t="s">
        <v>2023</v>
      </c>
      <c r="H81" s="45" t="s">
        <v>2024</v>
      </c>
      <c r="I81" s="45" t="s">
        <v>2025</v>
      </c>
      <c r="J81" s="51" t="s">
        <v>97</v>
      </c>
      <c r="K81" s="53" t="s">
        <v>2026</v>
      </c>
      <c r="L81" s="45" t="s">
        <v>2027</v>
      </c>
      <c r="M81" s="56" t="s">
        <v>2028</v>
      </c>
      <c r="N81" s="46" t="s">
        <v>958</v>
      </c>
      <c r="O81" s="59" t="s">
        <v>182</v>
      </c>
      <c r="P81" s="53" t="s">
        <v>2029</v>
      </c>
      <c r="Q81" s="62" t="s">
        <v>392</v>
      </c>
      <c r="R81" s="65" t="str">
        <f t="shared" si="1"/>
        <v>No</v>
      </c>
      <c r="S81" s="62" t="str">
        <f t="shared" si="2"/>
        <v>US Air Force, via RNT Foundation (2016). "GPS Anomaly - Official USAF Statement (26 Jan 2016 UTC timing error)". Documented incident (official statement, 28 Jan 2016).</v>
      </c>
      <c r="T81" s="66" t="s">
        <v>2030</v>
      </c>
      <c r="U81" s="68" t="s">
        <v>2031</v>
      </c>
      <c r="V81" s="62" t="s">
        <v>780</v>
      </c>
      <c r="W81" s="62" t="s">
        <v>2017</v>
      </c>
      <c r="X81" s="62" t="s">
        <v>2032</v>
      </c>
      <c r="Y81" s="70" t="s">
        <v>74</v>
      </c>
      <c r="Z81" s="59" t="s">
        <v>121</v>
      </c>
      <c r="AA81" s="59" t="s">
        <v>42</v>
      </c>
      <c r="AB81" s="65" t="str">
        <f t="shared" si="3"/>
        <v>Downward (config / keys / sync)</v>
      </c>
      <c r="AC81" s="65" t="str">
        <f t="shared" si="4"/>
        <v>✓</v>
      </c>
      <c r="AD81" s="65" t="str">
        <f t="shared" si="5"/>
        <v>✓</v>
      </c>
      <c r="AE81" s="65" t="str">
        <f t="shared" si="6"/>
        <v>✓</v>
      </c>
      <c r="AF81" s="65" t="s">
        <v>470</v>
      </c>
      <c r="AG81" s="80"/>
      <c r="AH81" s="65">
        <f>COUNTIF('CVE Register'!$P$6:$P$300,A81)</f>
        <v>0</v>
      </c>
      <c r="AI81" s="65" t="s">
        <v>2033</v>
      </c>
      <c r="AJ81" s="68" t="s">
        <v>2034</v>
      </c>
      <c r="AK81" s="65" t="s">
        <v>1576</v>
      </c>
      <c r="AL81" s="70" t="s">
        <v>2035</v>
      </c>
      <c r="AM81" s="68" t="s">
        <v>2036</v>
      </c>
      <c r="AN81" s="81" t="s">
        <v>2037</v>
      </c>
    </row>
    <row r="82" ht="51.75" customHeight="1">
      <c r="A82" s="42">
        <v>77.0</v>
      </c>
      <c r="B82" s="43" t="s">
        <v>2038</v>
      </c>
      <c r="C82" s="45" t="s">
        <v>2039</v>
      </c>
      <c r="D82" s="45" t="s">
        <v>2040</v>
      </c>
      <c r="E82" s="46" t="s">
        <v>1775</v>
      </c>
      <c r="F82" s="125" t="s">
        <v>2041</v>
      </c>
      <c r="G82" s="45" t="s">
        <v>2023</v>
      </c>
      <c r="H82" s="45" t="s">
        <v>2042</v>
      </c>
      <c r="I82" s="45" t="s">
        <v>2043</v>
      </c>
      <c r="J82" s="51" t="s">
        <v>97</v>
      </c>
      <c r="K82" s="53" t="s">
        <v>2044</v>
      </c>
      <c r="L82" s="45" t="s">
        <v>2045</v>
      </c>
      <c r="M82" s="56" t="s">
        <v>2046</v>
      </c>
      <c r="N82" s="46" t="s">
        <v>458</v>
      </c>
      <c r="O82" s="59" t="s">
        <v>182</v>
      </c>
      <c r="P82" s="53" t="s">
        <v>1588</v>
      </c>
      <c r="Q82" s="62" t="s">
        <v>392</v>
      </c>
      <c r="R82" s="65" t="str">
        <f t="shared" si="1"/>
        <v>No</v>
      </c>
      <c r="S82" s="62" t="str">
        <f t="shared" si="2"/>
        <v>EUSPA (2020). "Galileo performance assessment (July 2019 service outage)". Documented incident (EUSPA performance report, 31 Jan 2020).</v>
      </c>
      <c r="T82" s="66" t="s">
        <v>2047</v>
      </c>
      <c r="U82" s="68" t="s">
        <v>466</v>
      </c>
      <c r="V82" s="62" t="s">
        <v>2048</v>
      </c>
      <c r="W82" s="62" t="s">
        <v>2017</v>
      </c>
      <c r="X82" s="62" t="s">
        <v>2049</v>
      </c>
      <c r="Y82" s="70" t="s">
        <v>74</v>
      </c>
      <c r="Z82" s="59" t="s">
        <v>121</v>
      </c>
      <c r="AA82" s="59" t="s">
        <v>42</v>
      </c>
      <c r="AB82" s="65" t="str">
        <f t="shared" si="3"/>
        <v>Downward (config / keys / sync)</v>
      </c>
      <c r="AC82" s="65" t="str">
        <f t="shared" si="4"/>
        <v>✓</v>
      </c>
      <c r="AD82" s="65" t="str">
        <f t="shared" si="5"/>
        <v>✓</v>
      </c>
      <c r="AE82" s="65" t="str">
        <f t="shared" si="6"/>
        <v>✓</v>
      </c>
      <c r="AF82" s="65" t="s">
        <v>470</v>
      </c>
      <c r="AG82" s="80"/>
      <c r="AH82" s="65">
        <f>COUNTIF('CVE Register'!$P$6:$P$300,A82)</f>
        <v>0</v>
      </c>
      <c r="AI82" s="65" t="s">
        <v>2033</v>
      </c>
      <c r="AJ82" s="68"/>
      <c r="AK82" s="65" t="s">
        <v>1576</v>
      </c>
      <c r="AL82" s="70" t="s">
        <v>2050</v>
      </c>
      <c r="AM82" s="68" t="s">
        <v>2051</v>
      </c>
      <c r="AN82" s="81" t="s">
        <v>2052</v>
      </c>
    </row>
    <row r="83" ht="51.75" customHeight="1">
      <c r="A83" s="42">
        <v>78.0</v>
      </c>
      <c r="B83" s="43" t="s">
        <v>2053</v>
      </c>
      <c r="C83" s="45" t="s">
        <v>2054</v>
      </c>
      <c r="D83" s="45" t="s">
        <v>2055</v>
      </c>
      <c r="E83" s="46" t="s">
        <v>1775</v>
      </c>
      <c r="F83" s="125" t="s">
        <v>2056</v>
      </c>
      <c r="G83" s="45" t="s">
        <v>2023</v>
      </c>
      <c r="H83" s="45" t="s">
        <v>2057</v>
      </c>
      <c r="I83" s="45" t="s">
        <v>2058</v>
      </c>
      <c r="J83" s="51" t="s">
        <v>97</v>
      </c>
      <c r="K83" s="53" t="s">
        <v>2059</v>
      </c>
      <c r="L83" s="45" t="s">
        <v>2060</v>
      </c>
      <c r="M83" s="56" t="s">
        <v>2061</v>
      </c>
      <c r="N83" s="46" t="s">
        <v>2062</v>
      </c>
      <c r="O83" s="59" t="s">
        <v>182</v>
      </c>
      <c r="P83" s="53" t="s">
        <v>2063</v>
      </c>
      <c r="Q83" s="62" t="s">
        <v>392</v>
      </c>
      <c r="R83" s="65" t="str">
        <f t="shared" si="1"/>
        <v>No</v>
      </c>
      <c r="S83" s="62" t="str">
        <f t="shared" si="2"/>
        <v>UK CAA (2024). "Independent Review into August 2023 NATS Flight Planning System Failure". Documented incident (regulator review, 14 Nov 2024).</v>
      </c>
      <c r="T83" s="66" t="s">
        <v>2064</v>
      </c>
      <c r="U83" s="68" t="s">
        <v>466</v>
      </c>
      <c r="V83" s="62" t="s">
        <v>780</v>
      </c>
      <c r="W83" s="62" t="s">
        <v>2017</v>
      </c>
      <c r="X83" s="62" t="s">
        <v>2065</v>
      </c>
      <c r="Y83" s="70" t="s">
        <v>860</v>
      </c>
      <c r="Z83" s="59" t="s">
        <v>121</v>
      </c>
      <c r="AA83" s="59" t="s">
        <v>121</v>
      </c>
      <c r="AB83" s="65" t="str">
        <f t="shared" si="3"/>
        <v>Within layer</v>
      </c>
      <c r="AC83" s="65" t="str">
        <f t="shared" si="4"/>
        <v/>
      </c>
      <c r="AD83" s="65" t="str">
        <f t="shared" si="5"/>
        <v/>
      </c>
      <c r="AE83" s="65" t="str">
        <f t="shared" si="6"/>
        <v/>
      </c>
      <c r="AF83" s="65" t="s">
        <v>273</v>
      </c>
      <c r="AG83" s="80"/>
      <c r="AH83" s="65">
        <f>COUNTIF('CVE Register'!$P$6:$P$300,A83)</f>
        <v>0</v>
      </c>
      <c r="AI83" s="65" t="s">
        <v>2066</v>
      </c>
      <c r="AJ83" s="68"/>
      <c r="AK83" s="65" t="s">
        <v>1576</v>
      </c>
      <c r="AL83" s="70" t="s">
        <v>399</v>
      </c>
      <c r="AM83" s="68" t="s">
        <v>2067</v>
      </c>
      <c r="AN83" s="81" t="s">
        <v>410</v>
      </c>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row>
  </sheetData>
  <autoFilter ref="$A$5:$AN$83"/>
  <mergeCells count="6">
    <mergeCell ref="A1:AN1"/>
    <mergeCell ref="A2:AN2"/>
    <mergeCell ref="B3:C3"/>
    <mergeCell ref="D3:E3"/>
    <mergeCell ref="F3:G3"/>
    <mergeCell ref="H3:AN3"/>
  </mergeCells>
  <conditionalFormatting sqref="J6:J1000">
    <cfRule type="expression" dxfId="2" priority="1">
      <formula>$J6="Demonstrated in Real-World / Active Exploit"</formula>
    </cfRule>
  </conditionalFormatting>
  <conditionalFormatting sqref="J6:J1000">
    <cfRule type="expression" dxfId="4" priority="2">
      <formula>$J6="Simulated / Proof-of-Concept"</formula>
    </cfRule>
  </conditionalFormatting>
  <conditionalFormatting sqref="J6:J1000">
    <cfRule type="expression" dxfId="13" priority="3">
      <formula>$J6="Theoretical / Unexploited"</formula>
    </cfRule>
  </conditionalFormatting>
  <conditionalFormatting sqref="A6:AK1000">
    <cfRule type="expression" dxfId="3" priority="4">
      <formula>$J6="Demonstrated in Real-World / Active Exploit"</formula>
    </cfRule>
  </conditionalFormatting>
  <conditionalFormatting sqref="A6:AK1000">
    <cfRule type="expression" dxfId="5" priority="5">
      <formula>$J6="Simulated / Proof-of-Concept"</formula>
    </cfRule>
  </conditionalFormatting>
  <conditionalFormatting sqref="A6:AK1000">
    <cfRule type="expression" dxfId="6" priority="6">
      <formula>$J6="Theoretical / Unexploited"</formula>
    </cfRule>
  </conditionalFormatting>
  <conditionalFormatting sqref="AL6:AN1000">
    <cfRule type="expression" dxfId="3" priority="7">
      <formula>$J6="Demonstrated in Real-World / Active Exploit"</formula>
    </cfRule>
  </conditionalFormatting>
  <conditionalFormatting sqref="AL6:AN1000">
    <cfRule type="expression" dxfId="5" priority="8">
      <formula>$J6="Simulated / Proof-of-Concept"</formula>
    </cfRule>
  </conditionalFormatting>
  <conditionalFormatting sqref="AL6:AN1000">
    <cfRule type="expression" dxfId="6" priority="9">
      <formula>$J6="Theoretical / Unexploited"</formula>
    </cfRule>
  </conditionalFormatting>
  <dataValidations>
    <dataValidation type="list" allowBlank="1" sqref="J6:J300">
      <formula1>"Demonstrated in Real-World / Active Exploit,Simulated / Proof-of-Concept,Theoretical / Unexploited"</formula1>
    </dataValidation>
    <dataValidation type="list" allowBlank="1" showInputMessage="1" showErrorMessage="1" prompt="Not in list - Pick a value from the Classification Key vocabulary." sqref="Q6:Q300">
      <formula1>'Classification Key'!$C$48:$C$55</formula1>
    </dataValidation>
    <dataValidation type="list" allowBlank="1" showInputMessage="1" showErrorMessage="1" prompt="Invalid level - Pick E0, E1, E2 or E3." sqref="O6:O300">
      <formula1>"E0,E1,E2,E3"</formula1>
    </dataValidation>
    <dataValidation type="list" allowBlank="1" showInputMessage="1" showErrorMessage="1" prompt="Not in list - Pick a value from the Classification Key vocabulary." sqref="W6:W300">
      <formula1>'Classification Key'!$C$67:$C$76</formula1>
    </dataValidation>
    <dataValidation type="list" allowBlank="1" showInputMessage="1" showErrorMessage="1" prompt="Not in list - Pick a value from the Classification Key vocabulary." sqref="Y6:Y300">
      <formula1>'Classification Key'!$C$87:$C$103</formula1>
    </dataValidation>
    <dataValidation type="list" allowBlank="1" showInputMessage="1" showErrorMessage="1" prompt="Not in list - Pick a value from the Classification Key vocabulary." sqref="V6:V300">
      <formula1>'Classification Key'!$C$57:$C$65</formula1>
    </dataValidation>
    <dataValidation type="list" allowBlank="1" showInputMessage="1" showErrorMessage="1" prompt="Not in list - Pick a value from the Classification Key vocabulary." sqref="AF6:AF300">
      <formula1>'Classification Key'!$C$83:$C$85</formula1>
    </dataValidation>
    <dataValidation type="list" allowBlank="1" showInputMessage="1" showErrorMessage="1" prompt="Not in list - Pick a value from the Classification Key vocabulary." sqref="Z6:AA300">
      <formula1>'Classification Key'!$C$78:$C$81</formula1>
    </dataValidation>
  </dataValidations>
  <hyperlinks>
    <hyperlink r:id="rId2" ref="F6"/>
    <hyperlink r:id="rId3" ref="T6"/>
    <hyperlink r:id="rId4" ref="F7"/>
    <hyperlink r:id="rId5" ref="T7"/>
    <hyperlink r:id="rId6" ref="F8"/>
    <hyperlink r:id="rId7" ref="T8"/>
    <hyperlink r:id="rId8" ref="F9"/>
    <hyperlink r:id="rId9" ref="T9"/>
    <hyperlink r:id="rId10" ref="F10"/>
    <hyperlink r:id="rId11" ref="T10"/>
    <hyperlink r:id="rId12" ref="F11"/>
    <hyperlink r:id="rId13" ref="T11"/>
    <hyperlink r:id="rId14" ref="F12"/>
    <hyperlink r:id="rId15" ref="T12"/>
    <hyperlink r:id="rId16" ref="F13"/>
    <hyperlink r:id="rId17" ref="T13"/>
    <hyperlink r:id="rId18" ref="F14"/>
    <hyperlink r:id="rId19" ref="T14"/>
    <hyperlink r:id="rId20" ref="F15"/>
    <hyperlink r:id="rId21" ref="T15"/>
    <hyperlink r:id="rId22" ref="F16"/>
    <hyperlink r:id="rId23" ref="T16"/>
    <hyperlink r:id="rId24" ref="F17"/>
    <hyperlink r:id="rId25" ref="T17"/>
    <hyperlink r:id="rId26" ref="F18"/>
    <hyperlink r:id="rId27" ref="T18"/>
    <hyperlink r:id="rId28" ref="F19"/>
    <hyperlink r:id="rId29" ref="T19"/>
    <hyperlink r:id="rId30" ref="F20"/>
    <hyperlink r:id="rId31" ref="T20"/>
    <hyperlink r:id="rId32" ref="F21"/>
    <hyperlink r:id="rId33" ref="T21"/>
    <hyperlink r:id="rId34" ref="F22"/>
    <hyperlink r:id="rId35" ref="T22"/>
    <hyperlink r:id="rId36" ref="F23"/>
    <hyperlink r:id="rId37" ref="T23"/>
    <hyperlink r:id="rId38" ref="F24"/>
    <hyperlink r:id="rId39" ref="T24"/>
    <hyperlink r:id="rId40" ref="F25"/>
    <hyperlink r:id="rId41" ref="T25"/>
    <hyperlink r:id="rId42" ref="F26"/>
    <hyperlink r:id="rId43" ref="T26"/>
    <hyperlink r:id="rId44" ref="T27"/>
    <hyperlink r:id="rId45" ref="F28"/>
    <hyperlink r:id="rId46" ref="T28"/>
    <hyperlink r:id="rId47" ref="F29"/>
    <hyperlink r:id="rId48" ref="T29"/>
    <hyperlink r:id="rId49" ref="F30"/>
    <hyperlink r:id="rId50" ref="T30"/>
    <hyperlink r:id="rId51" ref="F31"/>
    <hyperlink r:id="rId52" ref="T31"/>
    <hyperlink r:id="rId53" ref="F32"/>
    <hyperlink r:id="rId54" ref="T32"/>
    <hyperlink r:id="rId55" ref="F33"/>
    <hyperlink r:id="rId56" ref="T33"/>
    <hyperlink r:id="rId57" ref="F34"/>
    <hyperlink r:id="rId58" ref="T34"/>
    <hyperlink r:id="rId59" ref="F35"/>
    <hyperlink r:id="rId60" ref="T35"/>
    <hyperlink r:id="rId61" ref="F36"/>
    <hyperlink r:id="rId62" ref="T36"/>
    <hyperlink r:id="rId63" ref="F37"/>
    <hyperlink r:id="rId64" ref="T37"/>
    <hyperlink r:id="rId65" ref="F38"/>
    <hyperlink r:id="rId66" ref="T38"/>
    <hyperlink r:id="rId67" ref="F39"/>
    <hyperlink r:id="rId68" ref="T39"/>
    <hyperlink r:id="rId69" ref="F40"/>
    <hyperlink r:id="rId70" ref="T40"/>
    <hyperlink r:id="rId71" ref="F41"/>
    <hyperlink r:id="rId72" ref="T41"/>
    <hyperlink r:id="rId73" ref="F42"/>
    <hyperlink r:id="rId74" ref="T42"/>
    <hyperlink r:id="rId75" ref="F43"/>
    <hyperlink r:id="rId76" ref="T43"/>
    <hyperlink r:id="rId77" ref="F44"/>
    <hyperlink r:id="rId78" ref="T44"/>
    <hyperlink r:id="rId79" ref="F45"/>
    <hyperlink r:id="rId80" ref="T45"/>
    <hyperlink r:id="rId81" ref="F46"/>
    <hyperlink r:id="rId82" ref="T46"/>
    <hyperlink r:id="rId83" ref="T47"/>
    <hyperlink r:id="rId84" ref="F48"/>
    <hyperlink r:id="rId85" ref="T48"/>
    <hyperlink r:id="rId86" ref="F49"/>
    <hyperlink r:id="rId87" ref="T49"/>
    <hyperlink r:id="rId88" ref="F50"/>
    <hyperlink r:id="rId89" ref="T50"/>
    <hyperlink r:id="rId90" ref="F51"/>
    <hyperlink r:id="rId91" ref="T51"/>
    <hyperlink r:id="rId92" ref="F52"/>
    <hyperlink r:id="rId93" ref="T52"/>
    <hyperlink r:id="rId94" ref="F53"/>
    <hyperlink r:id="rId95" ref="T53"/>
    <hyperlink r:id="rId96" ref="F54"/>
    <hyperlink r:id="rId97" ref="T54"/>
    <hyperlink r:id="rId98" ref="F55"/>
    <hyperlink r:id="rId99" ref="T55"/>
    <hyperlink r:id="rId100" ref="F56"/>
    <hyperlink r:id="rId101" ref="T56"/>
    <hyperlink r:id="rId102" ref="F57"/>
    <hyperlink r:id="rId103" ref="T57"/>
    <hyperlink r:id="rId104" ref="F58"/>
    <hyperlink r:id="rId105" ref="T58"/>
    <hyperlink r:id="rId106" ref="F59"/>
    <hyperlink r:id="rId107" ref="T59"/>
    <hyperlink r:id="rId108" ref="F60"/>
    <hyperlink r:id="rId109" ref="T60"/>
    <hyperlink r:id="rId110" ref="F61"/>
    <hyperlink r:id="rId111" ref="T61"/>
    <hyperlink r:id="rId112" ref="F62"/>
    <hyperlink r:id="rId113" ref="T62"/>
    <hyperlink r:id="rId114" ref="F63"/>
    <hyperlink r:id="rId115" ref="T63"/>
    <hyperlink r:id="rId116" ref="T64"/>
    <hyperlink r:id="rId117" ref="T65"/>
    <hyperlink r:id="rId118" ref="T66"/>
    <hyperlink r:id="rId119" ref="T67"/>
    <hyperlink r:id="rId120" ref="T68"/>
    <hyperlink r:id="rId121" ref="T69"/>
    <hyperlink r:id="rId122" ref="T70"/>
    <hyperlink r:id="rId123" ref="T71"/>
    <hyperlink r:id="rId124" ref="T72"/>
    <hyperlink r:id="rId125" ref="T73"/>
    <hyperlink r:id="rId126" ref="T74"/>
    <hyperlink r:id="rId127" ref="T75"/>
    <hyperlink r:id="rId128" ref="T76"/>
    <hyperlink r:id="rId129" ref="T77"/>
    <hyperlink r:id="rId130" ref="T78"/>
    <hyperlink r:id="rId131" ref="T79"/>
    <hyperlink r:id="rId132" ref="T80"/>
    <hyperlink r:id="rId133" ref="T81"/>
    <hyperlink r:id="rId134" ref="T82"/>
    <hyperlink r:id="rId135" ref="T83"/>
  </hyperlinks>
  <printOptions/>
  <pageMargins bottom="1.0" footer="0.0" header="0.0" left="0.75" right="0.75" top="1.0"/>
  <pageSetup fitToHeight="0" orientation="landscape"/>
  <drawing r:id="rId136"/>
  <legacyDrawing r:id="rId13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77C0E"/>
    <pageSetUpPr fitToPage="1"/>
  </sheetPr>
  <sheetViews>
    <sheetView showGridLines="0"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4.43" defaultRowHeight="15.0"/>
  <cols>
    <col customWidth="1" min="1" max="1" width="7.0"/>
    <col customWidth="1" min="2" max="2" width="34.0"/>
    <col customWidth="1" min="3" max="3" width="7.0"/>
    <col customWidth="1" min="4" max="4" width="46.0"/>
    <col customWidth="1" min="5" max="5" width="14.0"/>
    <col customWidth="1" min="6" max="6" width="15.0"/>
    <col customWidth="1" min="7" max="7" width="11.0"/>
    <col customWidth="1" min="8" max="8" width="12.0"/>
    <col customWidth="1" min="9" max="9" width="11.0"/>
    <col customWidth="1" min="10" max="10" width="26.0"/>
    <col customWidth="1" min="11" max="11" width="11.0"/>
    <col customWidth="1" min="12" max="12" width="9.0"/>
    <col customWidth="1" min="13" max="13" width="26.0"/>
    <col customWidth="1" min="14" max="14" width="9.0"/>
    <col customWidth="1" min="15" max="15" width="16.0"/>
    <col customWidth="1" min="16" max="16" width="12.0"/>
    <col customWidth="1" min="17" max="17" width="11.0"/>
    <col customWidth="1" min="18" max="18" width="66.0"/>
    <col customWidth="1" min="19" max="26" width="8.71"/>
  </cols>
  <sheetData>
    <row r="1" ht="30.0" customHeight="1">
      <c r="A1" s="3" t="s">
        <v>2</v>
      </c>
      <c r="B1" s="5"/>
      <c r="C1" s="5"/>
      <c r="D1" s="5"/>
      <c r="E1" s="5"/>
      <c r="F1" s="5"/>
      <c r="G1" s="5"/>
      <c r="H1" s="5"/>
      <c r="I1" s="5"/>
      <c r="J1" s="5"/>
      <c r="K1" s="5"/>
      <c r="L1" s="5"/>
      <c r="M1" s="5"/>
      <c r="N1" s="5"/>
      <c r="O1" s="5"/>
      <c r="P1" s="5"/>
      <c r="Q1" s="5"/>
      <c r="R1" s="7"/>
    </row>
    <row r="2" ht="54.0" customHeight="1">
      <c r="A2" s="8" t="s">
        <v>5</v>
      </c>
      <c r="B2" s="5"/>
      <c r="C2" s="5"/>
      <c r="D2" s="5"/>
      <c r="E2" s="5"/>
      <c r="F2" s="5"/>
      <c r="G2" s="5"/>
      <c r="H2" s="5"/>
      <c r="I2" s="5"/>
      <c r="J2" s="5"/>
      <c r="K2" s="5"/>
      <c r="L2" s="5"/>
      <c r="M2" s="5"/>
      <c r="N2" s="5"/>
      <c r="O2" s="5"/>
      <c r="P2" s="5"/>
      <c r="Q2" s="5"/>
      <c r="R2" s="7"/>
    </row>
    <row r="3" ht="42.0" customHeight="1">
      <c r="A3" s="11" t="s">
        <v>10</v>
      </c>
    </row>
    <row r="5" ht="54.0" customHeight="1">
      <c r="A5" s="15" t="s">
        <v>13</v>
      </c>
      <c r="B5" s="15" t="s">
        <v>16</v>
      </c>
      <c r="C5" s="15" t="s">
        <v>17</v>
      </c>
      <c r="D5" s="15" t="s">
        <v>18</v>
      </c>
      <c r="E5" s="15" t="s">
        <v>19</v>
      </c>
      <c r="F5" s="15" t="s">
        <v>20</v>
      </c>
      <c r="G5" s="15" t="s">
        <v>21</v>
      </c>
      <c r="H5" s="15" t="s">
        <v>23</v>
      </c>
      <c r="I5" s="15" t="s">
        <v>24</v>
      </c>
      <c r="J5" s="15" t="s">
        <v>25</v>
      </c>
      <c r="K5" s="15" t="s">
        <v>26</v>
      </c>
      <c r="L5" s="15" t="s">
        <v>27</v>
      </c>
      <c r="M5" s="15" t="s">
        <v>28</v>
      </c>
      <c r="N5" s="15" t="s">
        <v>29</v>
      </c>
      <c r="O5" s="15" t="s">
        <v>30</v>
      </c>
      <c r="P5" s="15" t="s">
        <v>31</v>
      </c>
      <c r="Q5" s="15" t="s">
        <v>32</v>
      </c>
      <c r="R5" s="15" t="s">
        <v>33</v>
      </c>
    </row>
    <row r="6" ht="51.75" customHeight="1">
      <c r="A6" s="17" t="s">
        <v>34</v>
      </c>
      <c r="B6" s="21" t="s">
        <v>37</v>
      </c>
      <c r="C6" s="22" t="s">
        <v>42</v>
      </c>
      <c r="D6" s="23" t="s">
        <v>47</v>
      </c>
      <c r="E6" s="21" t="s">
        <v>52</v>
      </c>
      <c r="F6" s="21" t="s">
        <v>54</v>
      </c>
      <c r="G6" s="22" t="s">
        <v>56</v>
      </c>
      <c r="H6" s="21" t="s">
        <v>57</v>
      </c>
      <c r="I6" s="22">
        <f t="shared" ref="I6:I32" si="1">IF(J6="",0,LEN(J6)-LEN(SUBSTITUTE(J6,",",""))+1)</f>
        <v>6</v>
      </c>
      <c r="J6" s="23" t="s">
        <v>72</v>
      </c>
      <c r="K6" s="22">
        <f>COUNTIF('Threat Atlas'!$AL$6:$AL$300,"*"&amp;A6&amp;"*")</f>
        <v>16</v>
      </c>
      <c r="L6" s="22">
        <f>COUNTIF('CVE Register'!$W$6:$W$300,"*"&amp;A6&amp;"*")</f>
        <v>0</v>
      </c>
      <c r="M6" s="21" t="str">
        <f t="shared" ref="M6:M32" si="2">IF(AND(K6=0,L6=0),"Postulated: no published source or CVE",IF(K6=0,"CVE only",IF(L6=0,"Published source, no CVE","Published source and CVE")))</f>
        <v>Published source, no CVE</v>
      </c>
      <c r="N6" s="22">
        <v>13.0</v>
      </c>
      <c r="O6" s="21" t="s">
        <v>82</v>
      </c>
      <c r="P6" s="22">
        <v>2.0</v>
      </c>
      <c r="Q6" s="22">
        <v>3.0</v>
      </c>
      <c r="R6" s="23" t="s">
        <v>84</v>
      </c>
    </row>
    <row r="7" ht="51.75" customHeight="1">
      <c r="A7" s="17" t="s">
        <v>86</v>
      </c>
      <c r="B7" s="21" t="s">
        <v>89</v>
      </c>
      <c r="C7" s="22" t="s">
        <v>42</v>
      </c>
      <c r="D7" s="23" t="s">
        <v>93</v>
      </c>
      <c r="E7" s="21" t="s">
        <v>95</v>
      </c>
      <c r="F7" s="21" t="s">
        <v>54</v>
      </c>
      <c r="G7" s="22" t="s">
        <v>56</v>
      </c>
      <c r="H7" s="21" t="s">
        <v>100</v>
      </c>
      <c r="I7" s="22">
        <f t="shared" si="1"/>
        <v>2</v>
      </c>
      <c r="J7" s="23" t="s">
        <v>107</v>
      </c>
      <c r="K7" s="22">
        <f>COUNTIF('Threat Atlas'!$AL$6:$AL$300,"*"&amp;A7&amp;"*")</f>
        <v>17</v>
      </c>
      <c r="L7" s="22">
        <f>COUNTIF('CVE Register'!$W$6:$W$300,"*"&amp;A7&amp;"*")</f>
        <v>0</v>
      </c>
      <c r="M7" s="21" t="str">
        <f t="shared" si="2"/>
        <v>Published source, no CVE</v>
      </c>
      <c r="N7" s="22">
        <v>14.0</v>
      </c>
      <c r="O7" s="21" t="s">
        <v>82</v>
      </c>
      <c r="P7" s="22">
        <v>2.0</v>
      </c>
      <c r="Q7" s="22">
        <v>3.0</v>
      </c>
      <c r="R7" s="23" t="s">
        <v>135</v>
      </c>
    </row>
    <row r="8" ht="51.75" customHeight="1">
      <c r="A8" s="17" t="s">
        <v>136</v>
      </c>
      <c r="B8" s="21" t="s">
        <v>137</v>
      </c>
      <c r="C8" s="22" t="s">
        <v>42</v>
      </c>
      <c r="D8" s="23" t="s">
        <v>138</v>
      </c>
      <c r="E8" s="21" t="s">
        <v>52</v>
      </c>
      <c r="F8" s="21" t="s">
        <v>139</v>
      </c>
      <c r="G8" s="22" t="s">
        <v>140</v>
      </c>
      <c r="H8" s="21"/>
      <c r="I8" s="22">
        <f t="shared" si="1"/>
        <v>2</v>
      </c>
      <c r="J8" s="23" t="s">
        <v>141</v>
      </c>
      <c r="K8" s="22">
        <f>COUNTIF('Threat Atlas'!$AL$6:$AL$300,"*"&amp;A8&amp;"*")</f>
        <v>7</v>
      </c>
      <c r="L8" s="22">
        <f>COUNTIF('CVE Register'!$W$6:$W$300,"*"&amp;A8&amp;"*")</f>
        <v>0</v>
      </c>
      <c r="M8" s="21" t="str">
        <f t="shared" si="2"/>
        <v>Published source, no CVE</v>
      </c>
      <c r="N8" s="22">
        <v>12.0</v>
      </c>
      <c r="O8" s="21" t="s">
        <v>82</v>
      </c>
      <c r="P8" s="22">
        <v>2.0</v>
      </c>
      <c r="Q8" s="22">
        <v>3.0</v>
      </c>
      <c r="R8" s="23" t="s">
        <v>150</v>
      </c>
    </row>
    <row r="9" ht="51.75" customHeight="1">
      <c r="A9" s="17" t="s">
        <v>151</v>
      </c>
      <c r="B9" s="21" t="s">
        <v>152</v>
      </c>
      <c r="C9" s="22" t="s">
        <v>42</v>
      </c>
      <c r="D9" s="23" t="s">
        <v>153</v>
      </c>
      <c r="E9" s="21" t="s">
        <v>154</v>
      </c>
      <c r="F9" s="21" t="s">
        <v>139</v>
      </c>
      <c r="G9" s="22" t="s">
        <v>127</v>
      </c>
      <c r="H9" s="21"/>
      <c r="I9" s="22">
        <f t="shared" si="1"/>
        <v>1</v>
      </c>
      <c r="J9" s="23" t="s">
        <v>155</v>
      </c>
      <c r="K9" s="22">
        <f>COUNTIF('Threat Atlas'!$AL$6:$AL$300,"*"&amp;A9&amp;"*")</f>
        <v>3</v>
      </c>
      <c r="L9" s="22">
        <f>COUNTIF('CVE Register'!$W$6:$W$300,"*"&amp;A9&amp;"*")</f>
        <v>0</v>
      </c>
      <c r="M9" s="21" t="str">
        <f t="shared" si="2"/>
        <v>Published source, no CVE</v>
      </c>
      <c r="N9" s="22">
        <v>11.0</v>
      </c>
      <c r="O9" s="21" t="s">
        <v>82</v>
      </c>
      <c r="P9" s="22">
        <v>2.0</v>
      </c>
      <c r="Q9" s="22">
        <v>3.0</v>
      </c>
      <c r="R9" s="23" t="s">
        <v>156</v>
      </c>
    </row>
    <row r="10" ht="51.75" customHeight="1">
      <c r="A10" s="17" t="s">
        <v>157</v>
      </c>
      <c r="B10" s="21" t="s">
        <v>158</v>
      </c>
      <c r="C10" s="22" t="s">
        <v>42</v>
      </c>
      <c r="D10" s="23" t="s">
        <v>159</v>
      </c>
      <c r="E10" s="21" t="s">
        <v>154</v>
      </c>
      <c r="F10" s="21" t="s">
        <v>160</v>
      </c>
      <c r="G10" s="22" t="s">
        <v>162</v>
      </c>
      <c r="H10" s="21" t="s">
        <v>163</v>
      </c>
      <c r="I10" s="22">
        <f t="shared" si="1"/>
        <v>2</v>
      </c>
      <c r="J10" s="23" t="s">
        <v>107</v>
      </c>
      <c r="K10" s="22">
        <f>COUNTIF('Threat Atlas'!$AL$6:$AL$300,"*"&amp;A10&amp;"*")</f>
        <v>17</v>
      </c>
      <c r="L10" s="22">
        <f>COUNTIF('CVE Register'!$W$6:$W$300,"*"&amp;A10&amp;"*")</f>
        <v>1</v>
      </c>
      <c r="M10" s="21" t="str">
        <f t="shared" si="2"/>
        <v>Published source and CVE</v>
      </c>
      <c r="N10" s="22">
        <v>13.0</v>
      </c>
      <c r="O10" s="21" t="s">
        <v>82</v>
      </c>
      <c r="P10" s="22">
        <v>2.0</v>
      </c>
      <c r="Q10" s="22">
        <v>3.0</v>
      </c>
      <c r="R10" s="23" t="s">
        <v>175</v>
      </c>
    </row>
    <row r="11" ht="51.75" customHeight="1">
      <c r="A11" s="17" t="s">
        <v>176</v>
      </c>
      <c r="B11" s="21" t="s">
        <v>178</v>
      </c>
      <c r="C11" s="22" t="s">
        <v>42</v>
      </c>
      <c r="D11" s="23" t="s">
        <v>179</v>
      </c>
      <c r="E11" s="21" t="s">
        <v>154</v>
      </c>
      <c r="F11" s="21" t="s">
        <v>139</v>
      </c>
      <c r="G11" s="22" t="s">
        <v>127</v>
      </c>
      <c r="H11" s="21"/>
      <c r="I11" s="22">
        <f t="shared" si="1"/>
        <v>3</v>
      </c>
      <c r="J11" s="23" t="s">
        <v>181</v>
      </c>
      <c r="K11" s="22">
        <f>COUNTIF('Threat Atlas'!$AL$6:$AL$300,"*"&amp;A11&amp;"*")</f>
        <v>5</v>
      </c>
      <c r="L11" s="22">
        <f>COUNTIF('CVE Register'!$W$6:$W$300,"*"&amp;A11&amp;"*")</f>
        <v>5</v>
      </c>
      <c r="M11" s="21" t="str">
        <f t="shared" si="2"/>
        <v>Published source and CVE</v>
      </c>
      <c r="N11" s="22">
        <v>14.0</v>
      </c>
      <c r="O11" s="21" t="s">
        <v>82</v>
      </c>
      <c r="P11" s="22">
        <v>2.0</v>
      </c>
      <c r="Q11" s="22">
        <v>3.0</v>
      </c>
      <c r="R11" s="23" t="s">
        <v>186</v>
      </c>
    </row>
    <row r="12" ht="40.5" customHeight="1">
      <c r="A12" s="17" t="s">
        <v>187</v>
      </c>
      <c r="B12" s="21" t="s">
        <v>188</v>
      </c>
      <c r="C12" s="22" t="s">
        <v>42</v>
      </c>
      <c r="D12" s="23" t="s">
        <v>189</v>
      </c>
      <c r="E12" s="21" t="s">
        <v>52</v>
      </c>
      <c r="F12" s="21" t="s">
        <v>139</v>
      </c>
      <c r="G12" s="22" t="s">
        <v>128</v>
      </c>
      <c r="H12" s="21"/>
      <c r="I12" s="22">
        <f t="shared" si="1"/>
        <v>2</v>
      </c>
      <c r="J12" s="23" t="s">
        <v>190</v>
      </c>
      <c r="K12" s="22">
        <f>COUNTIF('Threat Atlas'!$AL$6:$AL$300,"*"&amp;A12&amp;"*")</f>
        <v>4</v>
      </c>
      <c r="L12" s="22">
        <f>COUNTIF('CVE Register'!$W$6:$W$300,"*"&amp;A12&amp;"*")</f>
        <v>3</v>
      </c>
      <c r="M12" s="21" t="str">
        <f t="shared" si="2"/>
        <v>Published source and CVE</v>
      </c>
      <c r="N12" s="22">
        <v>7.0</v>
      </c>
      <c r="O12" s="21" t="s">
        <v>192</v>
      </c>
      <c r="P12" s="22">
        <v>2.0</v>
      </c>
      <c r="Q12" s="22">
        <v>3.0</v>
      </c>
      <c r="R12" s="23" t="s">
        <v>194</v>
      </c>
    </row>
    <row r="13" ht="51.75" customHeight="1">
      <c r="A13" s="17" t="s">
        <v>195</v>
      </c>
      <c r="B13" s="21" t="s">
        <v>196</v>
      </c>
      <c r="C13" s="22" t="s">
        <v>197</v>
      </c>
      <c r="D13" s="23" t="s">
        <v>198</v>
      </c>
      <c r="E13" s="21" t="s">
        <v>199</v>
      </c>
      <c r="F13" s="21" t="s">
        <v>200</v>
      </c>
      <c r="G13" s="22" t="s">
        <v>201</v>
      </c>
      <c r="H13" s="21"/>
      <c r="I13" s="22">
        <f t="shared" si="1"/>
        <v>3</v>
      </c>
      <c r="J13" s="23" t="s">
        <v>202</v>
      </c>
      <c r="K13" s="22">
        <f>COUNTIF('Threat Atlas'!$AL$6:$AL$300,"*"&amp;A13&amp;"*")</f>
        <v>7</v>
      </c>
      <c r="L13" s="22">
        <f>COUNTIF('CVE Register'!$W$6:$W$300,"*"&amp;A13&amp;"*")</f>
        <v>0</v>
      </c>
      <c r="M13" s="21" t="str">
        <f t="shared" si="2"/>
        <v>Published source, no CVE</v>
      </c>
      <c r="N13" s="22">
        <v>10.0</v>
      </c>
      <c r="O13" s="21" t="s">
        <v>82</v>
      </c>
      <c r="P13" s="22">
        <v>1.0</v>
      </c>
      <c r="Q13" s="22">
        <v>2.0</v>
      </c>
      <c r="R13" s="23" t="s">
        <v>206</v>
      </c>
    </row>
    <row r="14" ht="51.75" customHeight="1">
      <c r="A14" s="17" t="s">
        <v>207</v>
      </c>
      <c r="B14" s="21" t="s">
        <v>208</v>
      </c>
      <c r="C14" s="22" t="s">
        <v>197</v>
      </c>
      <c r="D14" s="23" t="s">
        <v>209</v>
      </c>
      <c r="E14" s="21" t="s">
        <v>210</v>
      </c>
      <c r="F14" s="21" t="s">
        <v>200</v>
      </c>
      <c r="G14" s="22" t="s">
        <v>140</v>
      </c>
      <c r="H14" s="21"/>
      <c r="I14" s="22">
        <f t="shared" si="1"/>
        <v>2</v>
      </c>
      <c r="J14" s="23" t="s">
        <v>213</v>
      </c>
      <c r="K14" s="22">
        <f>COUNTIF('Threat Atlas'!$AL$6:$AL$300,"*"&amp;A14&amp;"*")</f>
        <v>3</v>
      </c>
      <c r="L14" s="22">
        <f>COUNTIF('CVE Register'!$W$6:$W$300,"*"&amp;A14&amp;"*")</f>
        <v>0</v>
      </c>
      <c r="M14" s="21" t="str">
        <f t="shared" si="2"/>
        <v>Published source, no CVE</v>
      </c>
      <c r="N14" s="22">
        <v>9.0</v>
      </c>
      <c r="O14" s="21" t="s">
        <v>82</v>
      </c>
      <c r="P14" s="22">
        <v>1.0</v>
      </c>
      <c r="Q14" s="22">
        <v>2.0</v>
      </c>
      <c r="R14" s="23" t="s">
        <v>217</v>
      </c>
    </row>
    <row r="15" ht="51.75" customHeight="1">
      <c r="A15" s="17" t="s">
        <v>218</v>
      </c>
      <c r="B15" s="21" t="s">
        <v>219</v>
      </c>
      <c r="C15" s="22" t="s">
        <v>197</v>
      </c>
      <c r="D15" s="23" t="s">
        <v>220</v>
      </c>
      <c r="E15" s="21" t="s">
        <v>199</v>
      </c>
      <c r="F15" s="21" t="s">
        <v>200</v>
      </c>
      <c r="G15" s="22" t="s">
        <v>127</v>
      </c>
      <c r="H15" s="21" t="s">
        <v>163</v>
      </c>
      <c r="I15" s="22">
        <f t="shared" si="1"/>
        <v>2</v>
      </c>
      <c r="J15" s="23" t="s">
        <v>222</v>
      </c>
      <c r="K15" s="22">
        <f>COUNTIF('Threat Atlas'!$AL$6:$AL$300,"*"&amp;A15&amp;"*")</f>
        <v>3</v>
      </c>
      <c r="L15" s="22">
        <f>COUNTIF('CVE Register'!$W$6:$W$300,"*"&amp;A15&amp;"*")</f>
        <v>7</v>
      </c>
      <c r="M15" s="21" t="str">
        <f t="shared" si="2"/>
        <v>Published source and CVE</v>
      </c>
      <c r="N15" s="22">
        <v>14.0</v>
      </c>
      <c r="O15" s="21" t="s">
        <v>82</v>
      </c>
      <c r="P15" s="22">
        <v>3.0</v>
      </c>
      <c r="Q15" s="22">
        <v>4.0</v>
      </c>
      <c r="R15" s="23" t="s">
        <v>224</v>
      </c>
    </row>
    <row r="16" ht="40.5" customHeight="1">
      <c r="A16" s="17" t="s">
        <v>225</v>
      </c>
      <c r="B16" s="21" t="s">
        <v>226</v>
      </c>
      <c r="C16" s="22" t="s">
        <v>197</v>
      </c>
      <c r="D16" s="23" t="s">
        <v>227</v>
      </c>
      <c r="E16" s="21" t="s">
        <v>210</v>
      </c>
      <c r="F16" s="21" t="s">
        <v>200</v>
      </c>
      <c r="G16" s="22" t="s">
        <v>128</v>
      </c>
      <c r="H16" s="21"/>
      <c r="I16" s="22">
        <f t="shared" si="1"/>
        <v>3</v>
      </c>
      <c r="J16" s="23" t="s">
        <v>228</v>
      </c>
      <c r="K16" s="22">
        <f>COUNTIF('Threat Atlas'!$AL$6:$AL$300,"*"&amp;A16&amp;"*")</f>
        <v>8</v>
      </c>
      <c r="L16" s="22">
        <f>COUNTIF('CVE Register'!$W$6:$W$300,"*"&amp;A16&amp;"*")</f>
        <v>10</v>
      </c>
      <c r="M16" s="21" t="str">
        <f t="shared" si="2"/>
        <v>Published source and CVE</v>
      </c>
      <c r="N16" s="22">
        <v>8.0</v>
      </c>
      <c r="O16" s="21" t="s">
        <v>82</v>
      </c>
      <c r="P16" s="22">
        <v>1.0</v>
      </c>
      <c r="Q16" s="22">
        <v>2.0</v>
      </c>
      <c r="R16" s="23" t="s">
        <v>235</v>
      </c>
    </row>
    <row r="17" ht="51.75" customHeight="1">
      <c r="A17" s="17" t="s">
        <v>237</v>
      </c>
      <c r="B17" s="21" t="s">
        <v>238</v>
      </c>
      <c r="C17" s="22" t="s">
        <v>197</v>
      </c>
      <c r="D17" s="23" t="s">
        <v>239</v>
      </c>
      <c r="E17" s="21" t="s">
        <v>199</v>
      </c>
      <c r="F17" s="21" t="s">
        <v>200</v>
      </c>
      <c r="G17" s="22" t="s">
        <v>240</v>
      </c>
      <c r="H17" s="21"/>
      <c r="I17" s="22">
        <f t="shared" si="1"/>
        <v>2</v>
      </c>
      <c r="J17" s="23" t="s">
        <v>241</v>
      </c>
      <c r="K17" s="22">
        <f>COUNTIF('Threat Atlas'!$AL$6:$AL$300,"*"&amp;A17&amp;"*")</f>
        <v>5</v>
      </c>
      <c r="L17" s="22">
        <f>COUNTIF('CVE Register'!$W$6:$W$300,"*"&amp;A17&amp;"*")</f>
        <v>10</v>
      </c>
      <c r="M17" s="21" t="str">
        <f t="shared" si="2"/>
        <v>Published source and CVE</v>
      </c>
      <c r="N17" s="22">
        <v>15.0</v>
      </c>
      <c r="O17" s="21" t="s">
        <v>82</v>
      </c>
      <c r="P17" s="22">
        <v>3.0</v>
      </c>
      <c r="Q17" s="22">
        <v>4.0</v>
      </c>
      <c r="R17" s="23" t="s">
        <v>246</v>
      </c>
    </row>
    <row r="18" ht="40.5" customHeight="1">
      <c r="A18" s="75" t="s">
        <v>247</v>
      </c>
      <c r="B18" s="76" t="s">
        <v>248</v>
      </c>
      <c r="C18" s="77" t="s">
        <v>249</v>
      </c>
      <c r="D18" s="78" t="s">
        <v>250</v>
      </c>
      <c r="E18" s="76" t="s">
        <v>251</v>
      </c>
      <c r="F18" s="76" t="s">
        <v>139</v>
      </c>
      <c r="G18" s="77" t="s">
        <v>128</v>
      </c>
      <c r="H18" s="76"/>
      <c r="I18" s="77">
        <f t="shared" si="1"/>
        <v>1</v>
      </c>
      <c r="J18" s="78" t="s">
        <v>252</v>
      </c>
      <c r="K18" s="77">
        <f>COUNTIF('Threat Atlas'!$AL$6:$AL$300,"*"&amp;A18&amp;"*")</f>
        <v>0</v>
      </c>
      <c r="L18" s="77">
        <f>COUNTIF('CVE Register'!$W$6:$W$300,"*"&amp;A18&amp;"*")</f>
        <v>0</v>
      </c>
      <c r="M18" s="76" t="str">
        <f t="shared" si="2"/>
        <v>Postulated: no published source or CVE</v>
      </c>
      <c r="N18" s="77">
        <v>6.0</v>
      </c>
      <c r="O18" s="76" t="s">
        <v>255</v>
      </c>
      <c r="P18" s="77">
        <v>0.0</v>
      </c>
      <c r="Q18" s="77">
        <v>1.0</v>
      </c>
      <c r="R18" s="78" t="s">
        <v>256</v>
      </c>
    </row>
    <row r="19" ht="40.5" customHeight="1">
      <c r="A19" s="75" t="s">
        <v>257</v>
      </c>
      <c r="B19" s="76" t="s">
        <v>258</v>
      </c>
      <c r="C19" s="77" t="s">
        <v>249</v>
      </c>
      <c r="D19" s="78" t="s">
        <v>259</v>
      </c>
      <c r="E19" s="76" t="s">
        <v>199</v>
      </c>
      <c r="F19" s="76" t="s">
        <v>260</v>
      </c>
      <c r="G19" s="77" t="s">
        <v>123</v>
      </c>
      <c r="H19" s="76" t="s">
        <v>163</v>
      </c>
      <c r="I19" s="77">
        <f t="shared" si="1"/>
        <v>1</v>
      </c>
      <c r="J19" s="78" t="s">
        <v>262</v>
      </c>
      <c r="K19" s="77">
        <f>COUNTIF('Threat Atlas'!$AL$6:$AL$300,"*"&amp;A19&amp;"*")</f>
        <v>0</v>
      </c>
      <c r="L19" s="77">
        <f>COUNTIF('CVE Register'!$W$6:$W$300,"*"&amp;A19&amp;"*")</f>
        <v>0</v>
      </c>
      <c r="M19" s="76" t="str">
        <f t="shared" si="2"/>
        <v>Postulated: no published source or CVE</v>
      </c>
      <c r="N19" s="77">
        <v>6.0</v>
      </c>
      <c r="O19" s="76" t="s">
        <v>255</v>
      </c>
      <c r="P19" s="77">
        <v>0.0</v>
      </c>
      <c r="Q19" s="77">
        <v>1.0</v>
      </c>
      <c r="R19" s="78" t="s">
        <v>267</v>
      </c>
    </row>
    <row r="20" ht="40.5" customHeight="1">
      <c r="A20" s="75" t="s">
        <v>268</v>
      </c>
      <c r="B20" s="76" t="s">
        <v>269</v>
      </c>
      <c r="C20" s="77" t="s">
        <v>249</v>
      </c>
      <c r="D20" s="78" t="s">
        <v>270</v>
      </c>
      <c r="E20" s="76" t="s">
        <v>271</v>
      </c>
      <c r="F20" s="76" t="s">
        <v>160</v>
      </c>
      <c r="G20" s="77" t="s">
        <v>140</v>
      </c>
      <c r="H20" s="76"/>
      <c r="I20" s="77">
        <f t="shared" si="1"/>
        <v>5</v>
      </c>
      <c r="J20" s="78" t="s">
        <v>272</v>
      </c>
      <c r="K20" s="77">
        <f>COUNTIF('Threat Atlas'!$AL$6:$AL$300,"*"&amp;A20&amp;"*")</f>
        <v>4</v>
      </c>
      <c r="L20" s="77">
        <f>COUNTIF('CVE Register'!$W$6:$W$300,"*"&amp;A20&amp;"*")</f>
        <v>0</v>
      </c>
      <c r="M20" s="76" t="str">
        <f t="shared" si="2"/>
        <v>Published source, no CVE</v>
      </c>
      <c r="N20" s="77">
        <v>5.0</v>
      </c>
      <c r="O20" s="76" t="s">
        <v>255</v>
      </c>
      <c r="P20" s="77">
        <v>0.0</v>
      </c>
      <c r="Q20" s="77">
        <v>1.0</v>
      </c>
      <c r="R20" s="78" t="s">
        <v>279</v>
      </c>
    </row>
    <row r="21" ht="40.5" customHeight="1">
      <c r="A21" s="75" t="s">
        <v>281</v>
      </c>
      <c r="B21" s="76" t="s">
        <v>282</v>
      </c>
      <c r="C21" s="77" t="s">
        <v>249</v>
      </c>
      <c r="D21" s="78" t="s">
        <v>284</v>
      </c>
      <c r="E21" s="76" t="s">
        <v>251</v>
      </c>
      <c r="F21" s="76" t="s">
        <v>139</v>
      </c>
      <c r="G21" s="77" t="s">
        <v>140</v>
      </c>
      <c r="H21" s="76"/>
      <c r="I21" s="77">
        <f t="shared" si="1"/>
        <v>2</v>
      </c>
      <c r="J21" s="78" t="s">
        <v>286</v>
      </c>
      <c r="K21" s="77">
        <f>COUNTIF('Threat Atlas'!$AL$6:$AL$300,"*"&amp;A21&amp;"*")</f>
        <v>0</v>
      </c>
      <c r="L21" s="77">
        <f>COUNTIF('CVE Register'!$W$6:$W$300,"*"&amp;A21&amp;"*")</f>
        <v>0</v>
      </c>
      <c r="M21" s="76" t="str">
        <f t="shared" si="2"/>
        <v>Postulated: no published source or CVE</v>
      </c>
      <c r="N21" s="77">
        <v>3.0</v>
      </c>
      <c r="O21" s="76" t="s">
        <v>255</v>
      </c>
      <c r="P21" s="77">
        <v>0.0</v>
      </c>
      <c r="Q21" s="77">
        <v>1.0</v>
      </c>
      <c r="R21" s="78" t="s">
        <v>298</v>
      </c>
    </row>
    <row r="22" ht="40.5" customHeight="1">
      <c r="A22" s="75" t="s">
        <v>299</v>
      </c>
      <c r="B22" s="76" t="s">
        <v>300</v>
      </c>
      <c r="C22" s="77" t="s">
        <v>249</v>
      </c>
      <c r="D22" s="78" t="s">
        <v>301</v>
      </c>
      <c r="E22" s="76" t="s">
        <v>251</v>
      </c>
      <c r="F22" s="76" t="s">
        <v>139</v>
      </c>
      <c r="G22" s="77" t="s">
        <v>140</v>
      </c>
      <c r="H22" s="76"/>
      <c r="I22" s="77">
        <f t="shared" si="1"/>
        <v>3</v>
      </c>
      <c r="J22" s="78" t="s">
        <v>302</v>
      </c>
      <c r="K22" s="77">
        <f>COUNTIF('Threat Atlas'!$AL$6:$AL$300,"*"&amp;A22&amp;"*")</f>
        <v>3</v>
      </c>
      <c r="L22" s="77">
        <f>COUNTIF('CVE Register'!$W$6:$W$300,"*"&amp;A22&amp;"*")</f>
        <v>0</v>
      </c>
      <c r="M22" s="76" t="str">
        <f t="shared" si="2"/>
        <v>Published source, no CVE</v>
      </c>
      <c r="N22" s="77">
        <v>3.0</v>
      </c>
      <c r="O22" s="76" t="s">
        <v>255</v>
      </c>
      <c r="P22" s="77">
        <v>0.0</v>
      </c>
      <c r="Q22" s="77">
        <v>1.0</v>
      </c>
      <c r="R22" s="78" t="s">
        <v>315</v>
      </c>
    </row>
    <row r="23" ht="51.75" customHeight="1">
      <c r="A23" s="75" t="s">
        <v>316</v>
      </c>
      <c r="B23" s="76" t="s">
        <v>317</v>
      </c>
      <c r="C23" s="77" t="s">
        <v>249</v>
      </c>
      <c r="D23" s="78" t="s">
        <v>318</v>
      </c>
      <c r="E23" s="76" t="s">
        <v>251</v>
      </c>
      <c r="F23" s="76" t="s">
        <v>139</v>
      </c>
      <c r="G23" s="77" t="s">
        <v>123</v>
      </c>
      <c r="H23" s="76"/>
      <c r="I23" s="77">
        <f t="shared" si="1"/>
        <v>2</v>
      </c>
      <c r="J23" s="78" t="s">
        <v>319</v>
      </c>
      <c r="K23" s="77">
        <f>COUNTIF('Threat Atlas'!$AL$6:$AL$300,"*"&amp;A23&amp;"*")</f>
        <v>0</v>
      </c>
      <c r="L23" s="77">
        <f>COUNTIF('CVE Register'!$W$6:$W$300,"*"&amp;A23&amp;"*")</f>
        <v>0</v>
      </c>
      <c r="M23" s="76" t="str">
        <f t="shared" si="2"/>
        <v>Postulated: no published source or CVE</v>
      </c>
      <c r="N23" s="77">
        <v>2.0</v>
      </c>
      <c r="O23" s="76" t="s">
        <v>255</v>
      </c>
      <c r="P23" s="77" t="s">
        <v>324</v>
      </c>
      <c r="Q23" s="77">
        <v>1.0</v>
      </c>
      <c r="R23" s="78" t="s">
        <v>325</v>
      </c>
    </row>
    <row r="24" ht="40.5" customHeight="1">
      <c r="A24" s="75" t="s">
        <v>327</v>
      </c>
      <c r="B24" s="76" t="s">
        <v>328</v>
      </c>
      <c r="C24" s="77" t="s">
        <v>249</v>
      </c>
      <c r="D24" s="78" t="s">
        <v>330</v>
      </c>
      <c r="E24" s="76" t="s">
        <v>154</v>
      </c>
      <c r="F24" s="76" t="s">
        <v>331</v>
      </c>
      <c r="G24" s="77" t="s">
        <v>332</v>
      </c>
      <c r="H24" s="76" t="s">
        <v>334</v>
      </c>
      <c r="I24" s="77">
        <f t="shared" si="1"/>
        <v>1</v>
      </c>
      <c r="J24" s="78" t="s">
        <v>335</v>
      </c>
      <c r="K24" s="77">
        <f>COUNTIF('Threat Atlas'!$AL$6:$AL$300,"*"&amp;A24&amp;"*")</f>
        <v>1</v>
      </c>
      <c r="L24" s="77">
        <f>COUNTIF('CVE Register'!$W$6:$W$300,"*"&amp;A24&amp;"*")</f>
        <v>0</v>
      </c>
      <c r="M24" s="76" t="str">
        <f t="shared" si="2"/>
        <v>Published source, no CVE</v>
      </c>
      <c r="N24" s="77">
        <v>8.0</v>
      </c>
      <c r="O24" s="76" t="s">
        <v>255</v>
      </c>
      <c r="P24" s="77">
        <v>0.0</v>
      </c>
      <c r="Q24" s="77">
        <v>1.0</v>
      </c>
      <c r="R24" s="78" t="s">
        <v>337</v>
      </c>
    </row>
    <row r="25" ht="51.75" customHeight="1">
      <c r="A25" s="17" t="s">
        <v>338</v>
      </c>
      <c r="B25" s="21" t="s">
        <v>339</v>
      </c>
      <c r="C25" s="22" t="s">
        <v>121</v>
      </c>
      <c r="D25" s="23" t="s">
        <v>340</v>
      </c>
      <c r="E25" s="21" t="s">
        <v>341</v>
      </c>
      <c r="F25" s="21" t="s">
        <v>160</v>
      </c>
      <c r="G25" s="22" t="s">
        <v>123</v>
      </c>
      <c r="H25" s="21" t="s">
        <v>163</v>
      </c>
      <c r="I25" s="22">
        <f t="shared" si="1"/>
        <v>2</v>
      </c>
      <c r="J25" s="23" t="s">
        <v>342</v>
      </c>
      <c r="K25" s="22">
        <f>COUNTIF('Threat Atlas'!$AL$6:$AL$300,"*"&amp;A25&amp;"*")</f>
        <v>2</v>
      </c>
      <c r="L25" s="22">
        <f>COUNTIF('CVE Register'!$W$6:$W$300,"*"&amp;A25&amp;"*")</f>
        <v>8</v>
      </c>
      <c r="M25" s="21" t="str">
        <f t="shared" si="2"/>
        <v>Published source and CVE</v>
      </c>
      <c r="N25" s="22">
        <v>17.0</v>
      </c>
      <c r="O25" s="21" t="s">
        <v>82</v>
      </c>
      <c r="P25" s="22">
        <v>5.0</v>
      </c>
      <c r="Q25" s="22">
        <v>6.0</v>
      </c>
      <c r="R25" s="23" t="s">
        <v>356</v>
      </c>
    </row>
    <row r="26" ht="40.5" customHeight="1">
      <c r="A26" s="17" t="s">
        <v>358</v>
      </c>
      <c r="B26" s="21" t="s">
        <v>359</v>
      </c>
      <c r="C26" s="22" t="s">
        <v>121</v>
      </c>
      <c r="D26" s="23" t="s">
        <v>361</v>
      </c>
      <c r="E26" s="21" t="s">
        <v>271</v>
      </c>
      <c r="F26" s="21" t="s">
        <v>160</v>
      </c>
      <c r="G26" s="22" t="s">
        <v>123</v>
      </c>
      <c r="H26" s="21"/>
      <c r="I26" s="22">
        <f t="shared" si="1"/>
        <v>2</v>
      </c>
      <c r="J26" s="23" t="s">
        <v>364</v>
      </c>
      <c r="K26" s="22">
        <f>COUNTIF('Threat Atlas'!$AL$6:$AL$300,"*"&amp;A26&amp;"*")</f>
        <v>2</v>
      </c>
      <c r="L26" s="22">
        <f>COUNTIF('CVE Register'!$W$6:$W$300,"*"&amp;A26&amp;"*")</f>
        <v>0</v>
      </c>
      <c r="M26" s="21" t="str">
        <f t="shared" si="2"/>
        <v>Published source, no CVE</v>
      </c>
      <c r="N26" s="22">
        <v>7.0</v>
      </c>
      <c r="O26" s="21" t="s">
        <v>255</v>
      </c>
      <c r="P26" s="22">
        <v>1.0</v>
      </c>
      <c r="Q26" s="22">
        <v>2.0</v>
      </c>
      <c r="R26" s="23" t="s">
        <v>368</v>
      </c>
    </row>
    <row r="27" ht="51.75" customHeight="1">
      <c r="A27" s="17" t="s">
        <v>280</v>
      </c>
      <c r="B27" s="21" t="s">
        <v>369</v>
      </c>
      <c r="C27" s="22" t="s">
        <v>121</v>
      </c>
      <c r="D27" s="23" t="s">
        <v>370</v>
      </c>
      <c r="E27" s="21" t="s">
        <v>271</v>
      </c>
      <c r="F27" s="21" t="s">
        <v>260</v>
      </c>
      <c r="G27" s="22" t="s">
        <v>123</v>
      </c>
      <c r="H27" s="21"/>
      <c r="I27" s="22">
        <f t="shared" si="1"/>
        <v>3</v>
      </c>
      <c r="J27" s="23" t="s">
        <v>374</v>
      </c>
      <c r="K27" s="22">
        <f>COUNTIF('Threat Atlas'!$AL$6:$AL$300,"*"&amp;A27&amp;"*")</f>
        <v>4</v>
      </c>
      <c r="L27" s="22">
        <f>COUNTIF('CVE Register'!$W$6:$W$300,"*"&amp;A27&amp;"*")</f>
        <v>4</v>
      </c>
      <c r="M27" s="21" t="str">
        <f t="shared" si="2"/>
        <v>Published source and CVE</v>
      </c>
      <c r="N27" s="22">
        <v>16.0</v>
      </c>
      <c r="O27" s="21" t="s">
        <v>82</v>
      </c>
      <c r="P27" s="22">
        <v>5.0</v>
      </c>
      <c r="Q27" s="22">
        <v>6.0</v>
      </c>
      <c r="R27" s="23" t="s">
        <v>383</v>
      </c>
    </row>
    <row r="28" ht="51.75" customHeight="1">
      <c r="A28" s="17" t="s">
        <v>384</v>
      </c>
      <c r="B28" s="21" t="s">
        <v>387</v>
      </c>
      <c r="C28" s="22" t="s">
        <v>121</v>
      </c>
      <c r="D28" s="23" t="s">
        <v>389</v>
      </c>
      <c r="E28" s="21" t="s">
        <v>271</v>
      </c>
      <c r="F28" s="21" t="s">
        <v>160</v>
      </c>
      <c r="G28" s="22" t="s">
        <v>123</v>
      </c>
      <c r="H28" s="21"/>
      <c r="I28" s="22">
        <f t="shared" si="1"/>
        <v>3</v>
      </c>
      <c r="J28" s="23" t="s">
        <v>393</v>
      </c>
      <c r="K28" s="22">
        <f>COUNTIF('Threat Atlas'!$AL$6:$AL$300,"*"&amp;A28&amp;"*")</f>
        <v>4</v>
      </c>
      <c r="L28" s="22">
        <f>COUNTIF('CVE Register'!$W$6:$W$300,"*"&amp;A28&amp;"*")</f>
        <v>0</v>
      </c>
      <c r="M28" s="21" t="str">
        <f t="shared" si="2"/>
        <v>Published source, no CVE</v>
      </c>
      <c r="N28" s="22">
        <v>16.0</v>
      </c>
      <c r="O28" s="21" t="s">
        <v>82</v>
      </c>
      <c r="P28" s="22">
        <v>1.0</v>
      </c>
      <c r="Q28" s="22">
        <v>2.0</v>
      </c>
      <c r="R28" s="23" t="s">
        <v>398</v>
      </c>
    </row>
    <row r="29" ht="51.75" customHeight="1">
      <c r="A29" s="17" t="s">
        <v>399</v>
      </c>
      <c r="B29" s="21" t="s">
        <v>400</v>
      </c>
      <c r="C29" s="22" t="s">
        <v>121</v>
      </c>
      <c r="D29" s="23" t="s">
        <v>401</v>
      </c>
      <c r="E29" s="21" t="s">
        <v>341</v>
      </c>
      <c r="F29" s="21" t="s">
        <v>200</v>
      </c>
      <c r="G29" s="22" t="s">
        <v>403</v>
      </c>
      <c r="H29" s="21"/>
      <c r="I29" s="22">
        <f t="shared" si="1"/>
        <v>3</v>
      </c>
      <c r="J29" s="23" t="s">
        <v>406</v>
      </c>
      <c r="K29" s="22">
        <f>COUNTIF('Threat Atlas'!$AL$6:$AL$300,"*"&amp;A29&amp;"*")</f>
        <v>1</v>
      </c>
      <c r="L29" s="22">
        <f>COUNTIF('CVE Register'!$W$6:$W$300,"*"&amp;A29&amp;"*")</f>
        <v>0</v>
      </c>
      <c r="M29" s="21" t="str">
        <f t="shared" si="2"/>
        <v>Published source, no CVE</v>
      </c>
      <c r="N29" s="22">
        <v>1.0</v>
      </c>
      <c r="O29" s="21" t="s">
        <v>121</v>
      </c>
      <c r="P29" s="22" t="s">
        <v>324</v>
      </c>
      <c r="Q29" s="22">
        <v>0.0</v>
      </c>
      <c r="R29" s="23" t="s">
        <v>410</v>
      </c>
    </row>
    <row r="30" ht="51.75" customHeight="1">
      <c r="A30" s="17" t="s">
        <v>411</v>
      </c>
      <c r="B30" s="21" t="s">
        <v>412</v>
      </c>
      <c r="C30" s="22" t="s">
        <v>121</v>
      </c>
      <c r="D30" s="23" t="s">
        <v>413</v>
      </c>
      <c r="E30" s="21" t="s">
        <v>154</v>
      </c>
      <c r="F30" s="21" t="s">
        <v>54</v>
      </c>
      <c r="G30" s="22" t="s">
        <v>56</v>
      </c>
      <c r="H30" s="21" t="s">
        <v>57</v>
      </c>
      <c r="I30" s="22">
        <f t="shared" si="1"/>
        <v>1</v>
      </c>
      <c r="J30" s="23" t="s">
        <v>416</v>
      </c>
      <c r="K30" s="22">
        <f>COUNTIF('Threat Atlas'!$AL$6:$AL$300,"*"&amp;A30&amp;"*")</f>
        <v>0</v>
      </c>
      <c r="L30" s="22">
        <f>COUNTIF('CVE Register'!$W$6:$W$300,"*"&amp;A30&amp;"*")</f>
        <v>0</v>
      </c>
      <c r="M30" s="21" t="str">
        <f t="shared" si="2"/>
        <v>Postulated: no published source or CVE</v>
      </c>
      <c r="N30" s="22">
        <v>0.0</v>
      </c>
      <c r="O30" s="21" t="s">
        <v>121</v>
      </c>
      <c r="P30" s="22" t="s">
        <v>324</v>
      </c>
      <c r="Q30" s="22">
        <v>0.0</v>
      </c>
      <c r="R30" s="23" t="s">
        <v>424</v>
      </c>
    </row>
    <row r="31" ht="63.0" customHeight="1">
      <c r="A31" s="17" t="s">
        <v>425</v>
      </c>
      <c r="B31" s="21" t="s">
        <v>426</v>
      </c>
      <c r="C31" s="22" t="s">
        <v>121</v>
      </c>
      <c r="D31" s="23" t="s">
        <v>428</v>
      </c>
      <c r="E31" s="21" t="s">
        <v>430</v>
      </c>
      <c r="F31" s="21" t="s">
        <v>54</v>
      </c>
      <c r="G31" s="22" t="s">
        <v>56</v>
      </c>
      <c r="H31" s="21" t="s">
        <v>57</v>
      </c>
      <c r="I31" s="22">
        <f t="shared" si="1"/>
        <v>2</v>
      </c>
      <c r="J31" s="23" t="s">
        <v>433</v>
      </c>
      <c r="K31" s="22">
        <f>COUNTIF('Threat Atlas'!$AL$6:$AL$300,"*"&amp;A31&amp;"*")</f>
        <v>3</v>
      </c>
      <c r="L31" s="22">
        <f>COUNTIF('CVE Register'!$W$6:$W$300,"*"&amp;A31&amp;"*")</f>
        <v>0</v>
      </c>
      <c r="M31" s="21" t="str">
        <f t="shared" si="2"/>
        <v>Published source, no CVE</v>
      </c>
      <c r="N31" s="22">
        <v>23.0</v>
      </c>
      <c r="O31" s="21" t="s">
        <v>82</v>
      </c>
      <c r="P31" s="22">
        <v>1.0</v>
      </c>
      <c r="Q31" s="22">
        <v>2.0</v>
      </c>
      <c r="R31" s="23" t="s">
        <v>442</v>
      </c>
    </row>
    <row r="32" ht="63.0" customHeight="1">
      <c r="A32" s="17" t="s">
        <v>443</v>
      </c>
      <c r="B32" s="21" t="s">
        <v>444</v>
      </c>
      <c r="C32" s="22" t="s">
        <v>121</v>
      </c>
      <c r="D32" s="23" t="s">
        <v>445</v>
      </c>
      <c r="E32" s="21" t="s">
        <v>154</v>
      </c>
      <c r="F32" s="21" t="s">
        <v>331</v>
      </c>
      <c r="G32" s="22" t="s">
        <v>123</v>
      </c>
      <c r="H32" s="21" t="s">
        <v>334</v>
      </c>
      <c r="I32" s="22">
        <f t="shared" si="1"/>
        <v>4</v>
      </c>
      <c r="J32" s="23" t="s">
        <v>449</v>
      </c>
      <c r="K32" s="22">
        <f>COUNTIF('Threat Atlas'!$AL$6:$AL$300,"*"&amp;A32&amp;"*")</f>
        <v>5</v>
      </c>
      <c r="L32" s="22">
        <f>COUNTIF('CVE Register'!$W$6:$W$300,"*"&amp;A32&amp;"*")</f>
        <v>26</v>
      </c>
      <c r="M32" s="21" t="str">
        <f t="shared" si="2"/>
        <v>Published source and CVE</v>
      </c>
      <c r="N32" s="22">
        <v>21.0</v>
      </c>
      <c r="O32" s="21" t="s">
        <v>82</v>
      </c>
      <c r="P32" s="22">
        <v>1.0</v>
      </c>
      <c r="Q32" s="22">
        <v>2.0</v>
      </c>
      <c r="R32" s="23" t="s">
        <v>462</v>
      </c>
    </row>
    <row r="33" ht="15.0" customHeight="1">
      <c r="A33" s="98" t="s">
        <v>464</v>
      </c>
      <c r="B33" s="99"/>
      <c r="C33" s="99"/>
      <c r="D33" s="99"/>
      <c r="E33" s="99"/>
      <c r="F33" s="99"/>
      <c r="G33" s="99"/>
      <c r="H33" s="100"/>
      <c r="I33" s="101">
        <f>SUM(I6:I32)</f>
        <v>65</v>
      </c>
      <c r="J33" s="102"/>
      <c r="K33" s="101">
        <f t="shared" ref="K33:L33" si="3">COUNTIF(K6:K32,"&gt;0")</f>
        <v>22</v>
      </c>
      <c r="L33" s="101">
        <f t="shared" si="3"/>
        <v>9</v>
      </c>
      <c r="M33" s="102" t="str">
        <f>COUNTIF(M6:M32,"Postulated*")&amp;" postulated only"</f>
        <v>5 postulated only</v>
      </c>
      <c r="N33" s="102"/>
      <c r="O33" s="102"/>
      <c r="P33" s="102"/>
      <c r="Q33" s="102"/>
      <c r="R33" s="102"/>
    </row>
    <row r="34" ht="15.75" customHeight="1"/>
    <row r="35" ht="27.75" customHeight="1">
      <c r="A35" s="11" t="s">
        <v>472</v>
      </c>
    </row>
    <row r="36" ht="27.75" customHeight="1">
      <c r="A36" s="11" t="s">
        <v>475</v>
      </c>
    </row>
    <row r="37" ht="27.75" customHeight="1">
      <c r="A37" s="11" t="s">
        <v>479</v>
      </c>
    </row>
    <row r="38" ht="27.75" customHeight="1">
      <c r="A38" s="11" t="s">
        <v>481</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R$32"/>
  <mergeCells count="8">
    <mergeCell ref="A1:R1"/>
    <mergeCell ref="A2:R2"/>
    <mergeCell ref="A3:R3"/>
    <mergeCell ref="A33:H33"/>
    <mergeCell ref="A35:R35"/>
    <mergeCell ref="A36:R36"/>
    <mergeCell ref="A37:R37"/>
    <mergeCell ref="A38:R38"/>
  </mergeCells>
  <printOptions/>
  <pageMargins bottom="1.0" footer="0.0" header="0.0" left="0.75" right="0.75" top="1.0"/>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4.43" defaultRowHeight="15.0"/>
  <cols>
    <col customWidth="1" min="1" max="1" width="5.0"/>
    <col customWidth="1" min="2" max="2" width="16.0"/>
    <col customWidth="1" min="3" max="3" width="34.0"/>
    <col customWidth="1" min="4" max="4" width="30.0"/>
    <col customWidth="1" min="5" max="5" width="22.0"/>
    <col customWidth="1" min="6" max="6" width="14.0"/>
    <col customWidth="1" min="7" max="7" width="8.0"/>
    <col customWidth="1" min="8" max="8" width="11.0"/>
    <col customWidth="1" min="9" max="9" width="20.0"/>
    <col customWidth="1" min="10" max="11" width="11.0"/>
    <col customWidth="1" min="12" max="12" width="46.0"/>
    <col customWidth="1" min="13" max="13" width="9.0"/>
    <col customWidth="1" min="14" max="14" width="10.0"/>
    <col customWidth="1" min="15" max="15" width="9.0"/>
    <col customWidth="1" min="16" max="16" width="8.0"/>
    <col customWidth="1" min="17" max="17" width="26.0"/>
    <col customWidth="1" min="18" max="18" width="22.0"/>
    <col customWidth="1" min="19" max="19" width="14.0"/>
    <col customWidth="1" min="20" max="21" width="30.0"/>
    <col customWidth="1" min="22" max="22" width="24.0"/>
    <col customWidth="1" min="23" max="23" width="16.0"/>
    <col customWidth="1" min="24" max="24" width="18.0"/>
    <col customWidth="1" min="25" max="25" width="34.0"/>
    <col customWidth="1" min="26" max="26" width="66.0"/>
  </cols>
  <sheetData>
    <row r="1" ht="33.75" customHeight="1">
      <c r="A1" s="3" t="s">
        <v>0</v>
      </c>
      <c r="B1" s="5"/>
      <c r="C1" s="5"/>
      <c r="D1" s="5"/>
      <c r="E1" s="5"/>
      <c r="F1" s="5"/>
      <c r="G1" s="5"/>
      <c r="H1" s="5"/>
      <c r="I1" s="5"/>
      <c r="J1" s="5"/>
      <c r="K1" s="5"/>
      <c r="L1" s="5"/>
      <c r="M1" s="5"/>
      <c r="N1" s="5"/>
      <c r="O1" s="5"/>
      <c r="P1" s="5"/>
      <c r="Q1" s="5"/>
      <c r="R1" s="5"/>
      <c r="S1" s="5"/>
      <c r="T1" s="5"/>
      <c r="U1" s="5"/>
      <c r="V1" s="5"/>
      <c r="W1" s="5"/>
      <c r="X1" s="5"/>
      <c r="Y1" s="5"/>
      <c r="Z1" s="7"/>
    </row>
    <row r="2" ht="30.0" customHeight="1">
      <c r="A2" s="8" t="s">
        <v>7</v>
      </c>
      <c r="B2" s="5"/>
      <c r="C2" s="5"/>
      <c r="D2" s="5"/>
      <c r="E2" s="5"/>
      <c r="F2" s="5"/>
      <c r="G2" s="5"/>
      <c r="H2" s="5"/>
      <c r="I2" s="5"/>
      <c r="J2" s="5"/>
      <c r="K2" s="5"/>
      <c r="L2" s="5"/>
      <c r="M2" s="5"/>
      <c r="N2" s="5"/>
      <c r="O2" s="5"/>
      <c r="P2" s="5"/>
      <c r="Q2" s="5"/>
      <c r="R2" s="5"/>
      <c r="S2" s="5"/>
      <c r="T2" s="5"/>
      <c r="U2" s="5"/>
      <c r="V2" s="5"/>
      <c r="W2" s="5"/>
      <c r="X2" s="5"/>
      <c r="Y2" s="5"/>
      <c r="Z2" s="7"/>
    </row>
    <row r="3">
      <c r="A3" s="1"/>
      <c r="B3" s="1"/>
      <c r="C3" s="1"/>
      <c r="D3" s="1"/>
      <c r="E3" s="1"/>
      <c r="F3" s="1"/>
      <c r="G3" s="1"/>
      <c r="H3" s="1"/>
      <c r="I3" s="1"/>
      <c r="J3" s="1"/>
      <c r="K3" s="1"/>
      <c r="L3" s="1"/>
      <c r="M3" s="1"/>
      <c r="N3" s="1"/>
      <c r="O3" s="1"/>
      <c r="P3" s="1"/>
      <c r="Q3" s="1"/>
      <c r="R3" s="1"/>
      <c r="S3" s="1"/>
      <c r="T3" s="1"/>
      <c r="U3" s="1"/>
      <c r="V3" s="1"/>
    </row>
    <row r="4" ht="15.0" customHeight="1">
      <c r="A4" s="16" t="s">
        <v>22</v>
      </c>
      <c r="B4" s="1"/>
      <c r="C4" s="1"/>
      <c r="D4" s="1"/>
      <c r="E4" s="1"/>
      <c r="F4" s="1"/>
      <c r="G4" s="1"/>
      <c r="H4" s="1"/>
      <c r="I4" s="1"/>
      <c r="J4" s="1"/>
      <c r="K4" s="1"/>
      <c r="L4" s="1"/>
      <c r="M4" s="1"/>
      <c r="N4" s="1"/>
      <c r="O4" s="1"/>
      <c r="P4" s="1"/>
      <c r="Q4" s="1"/>
      <c r="R4" s="1"/>
      <c r="S4" s="1"/>
      <c r="T4" s="1"/>
      <c r="U4" s="1"/>
      <c r="V4" s="1"/>
    </row>
    <row r="5" ht="33.75" customHeight="1">
      <c r="A5" s="15" t="s">
        <v>35</v>
      </c>
      <c r="B5" s="15" t="s">
        <v>36</v>
      </c>
      <c r="C5" s="19" t="s">
        <v>16</v>
      </c>
      <c r="D5" s="15" t="s">
        <v>38</v>
      </c>
      <c r="E5" s="15" t="s">
        <v>39</v>
      </c>
      <c r="F5" s="15" t="s">
        <v>41</v>
      </c>
      <c r="G5" s="15" t="s">
        <v>43</v>
      </c>
      <c r="H5" s="15" t="s">
        <v>44</v>
      </c>
      <c r="I5" s="15" t="s">
        <v>45</v>
      </c>
      <c r="J5" s="15" t="s">
        <v>46</v>
      </c>
      <c r="K5" s="15" t="s">
        <v>48</v>
      </c>
      <c r="L5" s="15" t="s">
        <v>49</v>
      </c>
      <c r="M5" s="15" t="s">
        <v>50</v>
      </c>
      <c r="N5" s="15" t="s">
        <v>51</v>
      </c>
      <c r="O5" s="15" t="s">
        <v>53</v>
      </c>
      <c r="P5" s="15" t="s">
        <v>55</v>
      </c>
      <c r="Q5" s="15" t="s">
        <v>58</v>
      </c>
      <c r="R5" s="15" t="s">
        <v>59</v>
      </c>
      <c r="S5" s="15" t="s">
        <v>61</v>
      </c>
      <c r="T5" s="15" t="s">
        <v>62</v>
      </c>
      <c r="U5" s="15" t="s">
        <v>63</v>
      </c>
      <c r="V5" s="15" t="s">
        <v>64</v>
      </c>
      <c r="W5" s="15" t="s">
        <v>65</v>
      </c>
      <c r="X5" s="15" t="s">
        <v>66</v>
      </c>
      <c r="Y5" s="15" t="s">
        <v>67</v>
      </c>
      <c r="Z5" s="15" t="s">
        <v>68</v>
      </c>
    </row>
    <row r="6" ht="51.75" customHeight="1">
      <c r="A6" s="28">
        <v>1.0</v>
      </c>
      <c r="B6" s="29" t="s">
        <v>71</v>
      </c>
      <c r="C6" s="34" t="s">
        <v>74</v>
      </c>
      <c r="D6" s="21" t="s">
        <v>75</v>
      </c>
      <c r="E6" s="21" t="s">
        <v>76</v>
      </c>
      <c r="F6" s="21" t="s">
        <v>77</v>
      </c>
      <c r="G6" s="35"/>
      <c r="H6" s="22" t="str">
        <f t="shared" ref="H6:H62" si="1">IF(G6="","Not scored",IF(G6&gt;=9,"Critical",IF(G6&gt;=7,"High",IF(G6&gt;=4,"Medium","Low"))))</f>
        <v>Not scored</v>
      </c>
      <c r="I6" s="21"/>
      <c r="J6" s="22" t="s">
        <v>102</v>
      </c>
      <c r="K6" s="22" t="s">
        <v>104</v>
      </c>
      <c r="L6" s="21" t="s">
        <v>108</v>
      </c>
      <c r="M6" s="22" t="s">
        <v>121</v>
      </c>
      <c r="N6" s="22" t="s">
        <v>123</v>
      </c>
      <c r="O6" s="22" t="s">
        <v>126</v>
      </c>
      <c r="P6" s="22">
        <v>48.0</v>
      </c>
      <c r="Q6" s="21" t="str">
        <f t="array" ref="Q6">IF(P6="","-",IFERROR(INDEX('Threat Atlas'!$C$6:$C$300,MATCH(P6,'Threat Atlas'!$A$6:$A$300,0)),"not found"))</f>
        <v>Malhotra, Cohen, Brakke &amp; Goldberg (2016)</v>
      </c>
      <c r="R6" s="21" t="s">
        <v>144</v>
      </c>
      <c r="S6" s="21" t="s">
        <v>145</v>
      </c>
      <c r="T6" s="48" t="s">
        <v>148</v>
      </c>
      <c r="U6" s="28" t="s">
        <v>161</v>
      </c>
      <c r="V6" s="28"/>
      <c r="W6" s="34" t="s">
        <v>164</v>
      </c>
      <c r="X6" s="28" t="s">
        <v>165</v>
      </c>
      <c r="Y6" s="28" t="s">
        <v>166</v>
      </c>
      <c r="Z6" s="23" t="s">
        <v>170</v>
      </c>
    </row>
    <row r="7" ht="51.75" customHeight="1">
      <c r="A7" s="50">
        <v>2.0</v>
      </c>
      <c r="B7" s="52" t="s">
        <v>171</v>
      </c>
      <c r="C7" s="55" t="s">
        <v>74</v>
      </c>
      <c r="D7" s="57" t="s">
        <v>75</v>
      </c>
      <c r="E7" s="57" t="s">
        <v>76</v>
      </c>
      <c r="F7" s="57" t="s">
        <v>77</v>
      </c>
      <c r="G7" s="58"/>
      <c r="H7" s="61" t="str">
        <f t="shared" si="1"/>
        <v>Not scored</v>
      </c>
      <c r="I7" s="57"/>
      <c r="J7" s="61" t="s">
        <v>102</v>
      </c>
      <c r="K7" s="61" t="s">
        <v>104</v>
      </c>
      <c r="L7" s="57" t="s">
        <v>184</v>
      </c>
      <c r="M7" s="61" t="s">
        <v>121</v>
      </c>
      <c r="N7" s="61" t="s">
        <v>123</v>
      </c>
      <c r="O7" s="61" t="s">
        <v>126</v>
      </c>
      <c r="P7" s="61">
        <v>48.0</v>
      </c>
      <c r="Q7" s="57" t="str">
        <f t="array" ref="Q7">IF(P7="","-",IFERROR(INDEX('Threat Atlas'!$C$6:$C$300,MATCH(P7,'Threat Atlas'!$A$6:$A$300,0)),"not found"))</f>
        <v>Malhotra, Cohen, Brakke &amp; Goldberg (2016)</v>
      </c>
      <c r="R7" s="57" t="s">
        <v>144</v>
      </c>
      <c r="S7" s="57" t="s">
        <v>145</v>
      </c>
      <c r="T7" s="69" t="s">
        <v>191</v>
      </c>
      <c r="U7" s="50" t="s">
        <v>161</v>
      </c>
      <c r="V7" s="50"/>
      <c r="W7" s="55" t="s">
        <v>164</v>
      </c>
      <c r="X7" s="50" t="s">
        <v>165</v>
      </c>
      <c r="Y7" s="50" t="s">
        <v>166</v>
      </c>
      <c r="Z7" s="71" t="s">
        <v>170</v>
      </c>
    </row>
    <row r="8" ht="51.75" customHeight="1">
      <c r="A8" s="28">
        <v>3.0</v>
      </c>
      <c r="B8" s="29" t="s">
        <v>215</v>
      </c>
      <c r="C8" s="34" t="s">
        <v>74</v>
      </c>
      <c r="D8" s="21" t="s">
        <v>75</v>
      </c>
      <c r="E8" s="21" t="s">
        <v>216</v>
      </c>
      <c r="F8" s="21" t="s">
        <v>77</v>
      </c>
      <c r="G8" s="35"/>
      <c r="H8" s="22" t="str">
        <f t="shared" si="1"/>
        <v>Not scored</v>
      </c>
      <c r="I8" s="21"/>
      <c r="J8" s="22" t="s">
        <v>221</v>
      </c>
      <c r="K8" s="22" t="s">
        <v>104</v>
      </c>
      <c r="L8" s="21" t="s">
        <v>223</v>
      </c>
      <c r="M8" s="22" t="s">
        <v>121</v>
      </c>
      <c r="N8" s="22" t="s">
        <v>123</v>
      </c>
      <c r="O8" s="22" t="s">
        <v>126</v>
      </c>
      <c r="P8" s="22">
        <v>48.0</v>
      </c>
      <c r="Q8" s="21" t="str">
        <f t="array" ref="Q8">IF(P8="","-",IFERROR(INDEX('Threat Atlas'!$C$6:$C$300,MATCH(P8,'Threat Atlas'!$A$6:$A$300,0)),"not found"))</f>
        <v>Malhotra, Cohen, Brakke &amp; Goldberg (2016)</v>
      </c>
      <c r="R8" s="21" t="s">
        <v>144</v>
      </c>
      <c r="S8" s="21" t="s">
        <v>145</v>
      </c>
      <c r="T8" s="48" t="s">
        <v>229</v>
      </c>
      <c r="U8" s="28" t="s">
        <v>161</v>
      </c>
      <c r="V8" s="28"/>
      <c r="W8" s="34" t="s">
        <v>164</v>
      </c>
      <c r="X8" s="28" t="s">
        <v>165</v>
      </c>
      <c r="Y8" s="28" t="s">
        <v>166</v>
      </c>
      <c r="Z8" s="23" t="s">
        <v>170</v>
      </c>
    </row>
    <row r="9" ht="51.75" customHeight="1">
      <c r="A9" s="50">
        <v>4.0</v>
      </c>
      <c r="B9" s="52" t="s">
        <v>242</v>
      </c>
      <c r="C9" s="55" t="s">
        <v>74</v>
      </c>
      <c r="D9" s="57" t="s">
        <v>75</v>
      </c>
      <c r="E9" s="57" t="s">
        <v>243</v>
      </c>
      <c r="F9" s="57" t="s">
        <v>77</v>
      </c>
      <c r="G9" s="58"/>
      <c r="H9" s="61" t="str">
        <f t="shared" si="1"/>
        <v>Not scored</v>
      </c>
      <c r="I9" s="57"/>
      <c r="J9" s="61" t="s">
        <v>244</v>
      </c>
      <c r="K9" s="61" t="s">
        <v>104</v>
      </c>
      <c r="L9" s="57" t="s">
        <v>245</v>
      </c>
      <c r="M9" s="61" t="s">
        <v>121</v>
      </c>
      <c r="N9" s="61" t="s">
        <v>123</v>
      </c>
      <c r="O9" s="61" t="s">
        <v>126</v>
      </c>
      <c r="P9" s="61">
        <v>48.0</v>
      </c>
      <c r="Q9" s="57" t="str">
        <f t="array" ref="Q9">IF(P9="","-",IFERROR(INDEX('Threat Atlas'!$C$6:$C$300,MATCH(P9,'Threat Atlas'!$A$6:$A$300,0)),"not found"))</f>
        <v>Malhotra, Cohen, Brakke &amp; Goldberg (2016)</v>
      </c>
      <c r="R9" s="57" t="s">
        <v>253</v>
      </c>
      <c r="S9" s="57" t="s">
        <v>145</v>
      </c>
      <c r="T9" s="69" t="s">
        <v>254</v>
      </c>
      <c r="U9" s="50" t="s">
        <v>161</v>
      </c>
      <c r="V9" s="50"/>
      <c r="W9" s="55" t="s">
        <v>164</v>
      </c>
      <c r="X9" s="50" t="s">
        <v>165</v>
      </c>
      <c r="Y9" s="50" t="s">
        <v>166</v>
      </c>
      <c r="Z9" s="71" t="s">
        <v>170</v>
      </c>
    </row>
    <row r="10" ht="51.75" customHeight="1">
      <c r="A10" s="28">
        <v>5.0</v>
      </c>
      <c r="B10" s="29" t="s">
        <v>261</v>
      </c>
      <c r="C10" s="34" t="s">
        <v>74</v>
      </c>
      <c r="D10" s="21" t="s">
        <v>263</v>
      </c>
      <c r="E10" s="21" t="s">
        <v>264</v>
      </c>
      <c r="F10" s="21" t="s">
        <v>77</v>
      </c>
      <c r="G10" s="35"/>
      <c r="H10" s="22" t="str">
        <f t="shared" si="1"/>
        <v>Not scored</v>
      </c>
      <c r="I10" s="21"/>
      <c r="J10" s="22" t="s">
        <v>265</v>
      </c>
      <c r="K10" s="22" t="s">
        <v>104</v>
      </c>
      <c r="L10" s="21" t="s">
        <v>266</v>
      </c>
      <c r="M10" s="22" t="s">
        <v>121</v>
      </c>
      <c r="N10" s="22" t="s">
        <v>123</v>
      </c>
      <c r="O10" s="22" t="s">
        <v>126</v>
      </c>
      <c r="P10" s="22">
        <v>48.0</v>
      </c>
      <c r="Q10" s="21" t="str">
        <f t="array" ref="Q10">IF(P10="","-",IFERROR(INDEX('Threat Atlas'!$C$6:$C$300,MATCH(P10,'Threat Atlas'!$A$6:$A$300,0)),"not found"))</f>
        <v>Malhotra, Cohen, Brakke &amp; Goldberg (2016)</v>
      </c>
      <c r="R10" s="21" t="s">
        <v>253</v>
      </c>
      <c r="S10" s="21" t="s">
        <v>145</v>
      </c>
      <c r="T10" s="48" t="s">
        <v>274</v>
      </c>
      <c r="U10" s="28" t="s">
        <v>161</v>
      </c>
      <c r="V10" s="28"/>
      <c r="W10" s="34" t="s">
        <v>164</v>
      </c>
      <c r="X10" s="28" t="s">
        <v>165</v>
      </c>
      <c r="Y10" s="28" t="s">
        <v>166</v>
      </c>
      <c r="Z10" s="23" t="s">
        <v>170</v>
      </c>
    </row>
    <row r="11" ht="51.75" customHeight="1">
      <c r="A11" s="50">
        <v>6.0</v>
      </c>
      <c r="B11" s="52" t="s">
        <v>287</v>
      </c>
      <c r="C11" s="55" t="s">
        <v>74</v>
      </c>
      <c r="D11" s="57" t="s">
        <v>290</v>
      </c>
      <c r="E11" s="57" t="s">
        <v>292</v>
      </c>
      <c r="F11" s="57" t="s">
        <v>294</v>
      </c>
      <c r="G11" s="58"/>
      <c r="H11" s="61" t="str">
        <f t="shared" si="1"/>
        <v>Not scored</v>
      </c>
      <c r="I11" s="57"/>
      <c r="J11" s="61" t="s">
        <v>296</v>
      </c>
      <c r="K11" s="61" t="s">
        <v>104</v>
      </c>
      <c r="L11" s="57" t="s">
        <v>297</v>
      </c>
      <c r="M11" s="61" t="s">
        <v>121</v>
      </c>
      <c r="N11" s="61" t="s">
        <v>123</v>
      </c>
      <c r="O11" s="61" t="s">
        <v>126</v>
      </c>
      <c r="P11" s="61">
        <v>49.0</v>
      </c>
      <c r="Q11" s="57" t="str">
        <f t="array" ref="Q11">IF(P11="","-",IFERROR(INDEX('Threat Atlas'!$C$6:$C$300,MATCH(P11,'Threat Atlas'!$A$6:$A$300,0)),"not found"))</f>
        <v>Itkin &amp; Wool (2020)</v>
      </c>
      <c r="R11" s="57" t="s">
        <v>305</v>
      </c>
      <c r="S11" s="57" t="s">
        <v>306</v>
      </c>
      <c r="T11" s="69" t="s">
        <v>308</v>
      </c>
      <c r="U11" s="50" t="s">
        <v>161</v>
      </c>
      <c r="V11" s="50"/>
      <c r="W11" s="55" t="s">
        <v>164</v>
      </c>
      <c r="X11" s="50" t="s">
        <v>222</v>
      </c>
      <c r="Y11" s="50" t="s">
        <v>166</v>
      </c>
      <c r="Z11" s="71" t="s">
        <v>170</v>
      </c>
    </row>
    <row r="12" ht="51.75" customHeight="1">
      <c r="A12" s="28">
        <v>7.0</v>
      </c>
      <c r="B12" s="29" t="s">
        <v>321</v>
      </c>
      <c r="C12" s="34" t="s">
        <v>74</v>
      </c>
      <c r="D12" s="21" t="s">
        <v>290</v>
      </c>
      <c r="E12" s="21" t="s">
        <v>322</v>
      </c>
      <c r="F12" s="21" t="s">
        <v>294</v>
      </c>
      <c r="G12" s="35"/>
      <c r="H12" s="22" t="str">
        <f t="shared" si="1"/>
        <v>Not scored</v>
      </c>
      <c r="I12" s="21"/>
      <c r="J12" s="22" t="s">
        <v>296</v>
      </c>
      <c r="K12" s="22" t="s">
        <v>104</v>
      </c>
      <c r="L12" s="21" t="s">
        <v>323</v>
      </c>
      <c r="M12" s="22" t="s">
        <v>121</v>
      </c>
      <c r="N12" s="22" t="s">
        <v>123</v>
      </c>
      <c r="O12" s="22" t="s">
        <v>126</v>
      </c>
      <c r="P12" s="22">
        <v>49.0</v>
      </c>
      <c r="Q12" s="21" t="str">
        <f t="array" ref="Q12">IF(P12="","-",IFERROR(INDEX('Threat Atlas'!$C$6:$C$300,MATCH(P12,'Threat Atlas'!$A$6:$A$300,0)),"not found"))</f>
        <v>Itkin &amp; Wool (2020)</v>
      </c>
      <c r="R12" s="21" t="s">
        <v>305</v>
      </c>
      <c r="S12" s="21" t="s">
        <v>306</v>
      </c>
      <c r="T12" s="48" t="s">
        <v>336</v>
      </c>
      <c r="U12" s="28" t="s">
        <v>161</v>
      </c>
      <c r="V12" s="28"/>
      <c r="W12" s="34" t="s">
        <v>164</v>
      </c>
      <c r="X12" s="28" t="s">
        <v>222</v>
      </c>
      <c r="Y12" s="28" t="s">
        <v>166</v>
      </c>
      <c r="Z12" s="23" t="s">
        <v>170</v>
      </c>
    </row>
    <row r="13" ht="51.75" customHeight="1">
      <c r="A13" s="50">
        <v>8.0</v>
      </c>
      <c r="B13" s="52" t="s">
        <v>347</v>
      </c>
      <c r="C13" s="55" t="s">
        <v>74</v>
      </c>
      <c r="D13" s="57" t="s">
        <v>348</v>
      </c>
      <c r="E13" s="57" t="s">
        <v>349</v>
      </c>
      <c r="F13" s="57" t="s">
        <v>350</v>
      </c>
      <c r="G13" s="58">
        <v>9.8</v>
      </c>
      <c r="H13" s="61" t="str">
        <f t="shared" si="1"/>
        <v>Critical</v>
      </c>
      <c r="I13" s="57" t="s">
        <v>352</v>
      </c>
      <c r="J13" s="61" t="s">
        <v>353</v>
      </c>
      <c r="K13" s="61" t="s">
        <v>104</v>
      </c>
      <c r="L13" s="57" t="s">
        <v>354</v>
      </c>
      <c r="M13" s="61" t="s">
        <v>121</v>
      </c>
      <c r="N13" s="61" t="s">
        <v>123</v>
      </c>
      <c r="O13" s="61" t="s">
        <v>126</v>
      </c>
      <c r="P13" s="61"/>
      <c r="Q13" s="57" t="str">
        <f t="array" ref="Q13">IF(P13="","-",IFERROR(INDEX('Threat Atlas'!$C$6:$C$300,MATCH(P13,'Threat Atlas'!$A$6:$A$300,0)),"not found"))</f>
        <v>-</v>
      </c>
      <c r="R13" s="57" t="s">
        <v>365</v>
      </c>
      <c r="S13" s="57" t="s">
        <v>366</v>
      </c>
      <c r="T13" s="69" t="s">
        <v>367</v>
      </c>
      <c r="U13" s="50" t="s">
        <v>161</v>
      </c>
      <c r="V13" s="50"/>
      <c r="W13" s="55" t="s">
        <v>338</v>
      </c>
      <c r="X13" s="50" t="s">
        <v>378</v>
      </c>
      <c r="Y13" s="50" t="s">
        <v>379</v>
      </c>
      <c r="Z13" s="71" t="s">
        <v>356</v>
      </c>
    </row>
    <row r="14" ht="51.75" customHeight="1">
      <c r="A14" s="28">
        <v>9.0</v>
      </c>
      <c r="B14" s="29" t="s">
        <v>382</v>
      </c>
      <c r="C14" s="34" t="s">
        <v>386</v>
      </c>
      <c r="D14" s="21" t="s">
        <v>388</v>
      </c>
      <c r="E14" s="21" t="s">
        <v>390</v>
      </c>
      <c r="F14" s="21" t="s">
        <v>391</v>
      </c>
      <c r="G14" s="35">
        <v>9.4</v>
      </c>
      <c r="H14" s="22" t="str">
        <f t="shared" si="1"/>
        <v>Critical</v>
      </c>
      <c r="I14" s="21" t="s">
        <v>394</v>
      </c>
      <c r="J14" s="22" t="s">
        <v>395</v>
      </c>
      <c r="K14" s="22" t="s">
        <v>104</v>
      </c>
      <c r="L14" s="21" t="s">
        <v>396</v>
      </c>
      <c r="M14" s="22" t="s">
        <v>42</v>
      </c>
      <c r="N14" s="22" t="s">
        <v>127</v>
      </c>
      <c r="O14" s="22" t="s">
        <v>126</v>
      </c>
      <c r="P14" s="22"/>
      <c r="Q14" s="21" t="str">
        <f t="array" ref="Q14">IF(P14="","-",IFERROR(INDEX('Threat Atlas'!$C$6:$C$300,MATCH(P14,'Threat Atlas'!$A$6:$A$300,0)),"not found"))</f>
        <v>-</v>
      </c>
      <c r="R14" s="21" t="s">
        <v>402</v>
      </c>
      <c r="S14" s="21" t="s">
        <v>404</v>
      </c>
      <c r="T14" s="48" t="s">
        <v>405</v>
      </c>
      <c r="U14" s="28" t="s">
        <v>161</v>
      </c>
      <c r="V14" s="28" t="s">
        <v>414</v>
      </c>
      <c r="W14" s="34" t="s">
        <v>157</v>
      </c>
      <c r="X14" s="28" t="s">
        <v>107</v>
      </c>
      <c r="Y14" s="28" t="s">
        <v>415</v>
      </c>
      <c r="Z14" s="23" t="s">
        <v>175</v>
      </c>
    </row>
    <row r="15" ht="40.5" customHeight="1">
      <c r="A15" s="50">
        <v>10.0</v>
      </c>
      <c r="B15" s="52" t="s">
        <v>417</v>
      </c>
      <c r="C15" s="55" t="s">
        <v>418</v>
      </c>
      <c r="D15" s="57" t="s">
        <v>419</v>
      </c>
      <c r="E15" s="57" t="s">
        <v>420</v>
      </c>
      <c r="F15" s="57" t="s">
        <v>77</v>
      </c>
      <c r="G15" s="58"/>
      <c r="H15" s="61" t="str">
        <f t="shared" si="1"/>
        <v>Not scored</v>
      </c>
      <c r="I15" s="57"/>
      <c r="J15" s="61" t="s">
        <v>421</v>
      </c>
      <c r="K15" s="61" t="s">
        <v>104</v>
      </c>
      <c r="L15" s="57" t="s">
        <v>422</v>
      </c>
      <c r="M15" s="61" t="s">
        <v>42</v>
      </c>
      <c r="N15" s="61" t="s">
        <v>127</v>
      </c>
      <c r="O15" s="61" t="s">
        <v>423</v>
      </c>
      <c r="P15" s="61">
        <v>61.0</v>
      </c>
      <c r="Q15" s="57" t="str">
        <f t="array" ref="Q15">IF(P15="","-",IFERROR(INDEX('Threat Atlas'!$C$6:$C$300,MATCH(P15,'Threat Atlas'!$A$6:$A$300,0)),"not found"))</f>
        <v>Santamarta (2014)</v>
      </c>
      <c r="R15" s="57" t="s">
        <v>144</v>
      </c>
      <c r="S15" s="57" t="s">
        <v>435</v>
      </c>
      <c r="T15" s="69" t="s">
        <v>436</v>
      </c>
      <c r="U15" s="50" t="s">
        <v>161</v>
      </c>
      <c r="V15" s="50" t="s">
        <v>446</v>
      </c>
      <c r="W15" s="55" t="s">
        <v>187</v>
      </c>
      <c r="X15" s="50" t="s">
        <v>447</v>
      </c>
      <c r="Y15" s="50" t="s">
        <v>448</v>
      </c>
      <c r="Z15" s="71" t="s">
        <v>194</v>
      </c>
    </row>
    <row r="16" ht="40.5" customHeight="1">
      <c r="A16" s="28">
        <v>11.0</v>
      </c>
      <c r="B16" s="29" t="s">
        <v>450</v>
      </c>
      <c r="C16" s="34" t="s">
        <v>418</v>
      </c>
      <c r="D16" s="21" t="s">
        <v>454</v>
      </c>
      <c r="E16" s="21" t="s">
        <v>420</v>
      </c>
      <c r="F16" s="21" t="s">
        <v>77</v>
      </c>
      <c r="G16" s="35"/>
      <c r="H16" s="22" t="str">
        <f t="shared" si="1"/>
        <v>Not scored</v>
      </c>
      <c r="I16" s="21"/>
      <c r="J16" s="22" t="s">
        <v>459</v>
      </c>
      <c r="K16" s="22" t="s">
        <v>104</v>
      </c>
      <c r="L16" s="21" t="s">
        <v>461</v>
      </c>
      <c r="M16" s="22" t="s">
        <v>42</v>
      </c>
      <c r="N16" s="22" t="s">
        <v>127</v>
      </c>
      <c r="O16" s="22" t="s">
        <v>423</v>
      </c>
      <c r="P16" s="22">
        <v>61.0</v>
      </c>
      <c r="Q16" s="21" t="str">
        <f t="array" ref="Q16">IF(P16="","-",IFERROR(INDEX('Threat Atlas'!$C$6:$C$300,MATCH(P16,'Threat Atlas'!$A$6:$A$300,0)),"not found"))</f>
        <v>Santamarta (2014)</v>
      </c>
      <c r="R16" s="21" t="s">
        <v>144</v>
      </c>
      <c r="S16" s="21" t="s">
        <v>435</v>
      </c>
      <c r="T16" s="48" t="s">
        <v>465</v>
      </c>
      <c r="U16" s="28" t="s">
        <v>161</v>
      </c>
      <c r="V16" s="28" t="s">
        <v>468</v>
      </c>
      <c r="W16" s="34" t="s">
        <v>187</v>
      </c>
      <c r="X16" s="28" t="s">
        <v>447</v>
      </c>
      <c r="Y16" s="28" t="s">
        <v>448</v>
      </c>
      <c r="Z16" s="23" t="s">
        <v>194</v>
      </c>
    </row>
    <row r="17" ht="40.5" customHeight="1">
      <c r="A17" s="50">
        <v>12.0</v>
      </c>
      <c r="B17" s="52" t="s">
        <v>469</v>
      </c>
      <c r="C17" s="55" t="s">
        <v>418</v>
      </c>
      <c r="D17" s="57" t="s">
        <v>454</v>
      </c>
      <c r="E17" s="57" t="s">
        <v>420</v>
      </c>
      <c r="F17" s="57" t="s">
        <v>77</v>
      </c>
      <c r="G17" s="58"/>
      <c r="H17" s="61" t="str">
        <f t="shared" si="1"/>
        <v>Not scored</v>
      </c>
      <c r="I17" s="57"/>
      <c r="J17" s="61" t="s">
        <v>421</v>
      </c>
      <c r="K17" s="61" t="s">
        <v>104</v>
      </c>
      <c r="L17" s="57" t="s">
        <v>471</v>
      </c>
      <c r="M17" s="61" t="s">
        <v>42</v>
      </c>
      <c r="N17" s="61" t="s">
        <v>127</v>
      </c>
      <c r="O17" s="61" t="s">
        <v>423</v>
      </c>
      <c r="P17" s="61">
        <v>61.0</v>
      </c>
      <c r="Q17" s="57" t="str">
        <f t="array" ref="Q17">IF(P17="","-",IFERROR(INDEX('Threat Atlas'!$C$6:$C$300,MATCH(P17,'Threat Atlas'!$A$6:$A$300,0)),"not found"))</f>
        <v>Santamarta (2014)</v>
      </c>
      <c r="R17" s="57" t="s">
        <v>144</v>
      </c>
      <c r="S17" s="57" t="s">
        <v>435</v>
      </c>
      <c r="T17" s="69" t="s">
        <v>485</v>
      </c>
      <c r="U17" s="50" t="s">
        <v>161</v>
      </c>
      <c r="V17" s="50"/>
      <c r="W17" s="55" t="s">
        <v>187</v>
      </c>
      <c r="X17" s="50" t="s">
        <v>447</v>
      </c>
      <c r="Y17" s="50" t="s">
        <v>448</v>
      </c>
      <c r="Z17" s="71" t="s">
        <v>194</v>
      </c>
    </row>
    <row r="18" ht="63.0" customHeight="1">
      <c r="A18" s="28">
        <v>13.0</v>
      </c>
      <c r="B18" s="29" t="s">
        <v>489</v>
      </c>
      <c r="C18" s="34" t="s">
        <v>490</v>
      </c>
      <c r="D18" s="21" t="s">
        <v>492</v>
      </c>
      <c r="E18" s="21" t="s">
        <v>494</v>
      </c>
      <c r="F18" s="21" t="s">
        <v>496</v>
      </c>
      <c r="G18" s="35">
        <v>6.1</v>
      </c>
      <c r="H18" s="22" t="str">
        <f t="shared" si="1"/>
        <v>Medium</v>
      </c>
      <c r="I18" s="21" t="s">
        <v>352</v>
      </c>
      <c r="J18" s="22" t="s">
        <v>498</v>
      </c>
      <c r="K18" s="22" t="s">
        <v>104</v>
      </c>
      <c r="L18" s="21" t="s">
        <v>499</v>
      </c>
      <c r="M18" s="22" t="s">
        <v>121</v>
      </c>
      <c r="N18" s="22" t="s">
        <v>123</v>
      </c>
      <c r="O18" s="22" t="s">
        <v>423</v>
      </c>
      <c r="P18" s="22">
        <v>65.0</v>
      </c>
      <c r="Q18" s="21" t="str">
        <f t="array" ref="Q18">IF(P18="","-",IFERROR(INDEX('Threat Atlas'!$C$6:$C$300,MATCH(P18,'Threat Atlas'!$A$6:$A$300,0)),"not found"))</f>
        <v>Olchawa, Starcik, Fradique &amp; Boulaich (2025)</v>
      </c>
      <c r="R18" s="21" t="s">
        <v>144</v>
      </c>
      <c r="S18" s="21" t="s">
        <v>502</v>
      </c>
      <c r="T18" s="48" t="s">
        <v>503</v>
      </c>
      <c r="U18" s="28" t="s">
        <v>161</v>
      </c>
      <c r="V18" s="28"/>
      <c r="W18" s="34" t="s">
        <v>443</v>
      </c>
      <c r="X18" s="28" t="s">
        <v>506</v>
      </c>
      <c r="Y18" s="28" t="s">
        <v>448</v>
      </c>
      <c r="Z18" s="23" t="s">
        <v>462</v>
      </c>
    </row>
    <row r="19" ht="63.0" customHeight="1">
      <c r="A19" s="50">
        <v>14.0</v>
      </c>
      <c r="B19" s="52" t="s">
        <v>507</v>
      </c>
      <c r="C19" s="55" t="s">
        <v>490</v>
      </c>
      <c r="D19" s="57" t="s">
        <v>492</v>
      </c>
      <c r="E19" s="57" t="s">
        <v>494</v>
      </c>
      <c r="F19" s="57" t="s">
        <v>508</v>
      </c>
      <c r="G19" s="58">
        <v>7.5</v>
      </c>
      <c r="H19" s="61" t="str">
        <f t="shared" si="1"/>
        <v>High</v>
      </c>
      <c r="I19" s="57" t="s">
        <v>352</v>
      </c>
      <c r="J19" s="61" t="s">
        <v>498</v>
      </c>
      <c r="K19" s="61" t="s">
        <v>104</v>
      </c>
      <c r="L19" s="57" t="s">
        <v>509</v>
      </c>
      <c r="M19" s="61" t="s">
        <v>121</v>
      </c>
      <c r="N19" s="61" t="s">
        <v>123</v>
      </c>
      <c r="O19" s="61" t="s">
        <v>423</v>
      </c>
      <c r="P19" s="61">
        <v>65.0</v>
      </c>
      <c r="Q19" s="57" t="str">
        <f t="array" ref="Q19">IF(P19="","-",IFERROR(INDEX('Threat Atlas'!$C$6:$C$300,MATCH(P19,'Threat Atlas'!$A$6:$A$300,0)),"not found"))</f>
        <v>Olchawa, Starcik, Fradique &amp; Boulaich (2025)</v>
      </c>
      <c r="R19" s="57" t="s">
        <v>144</v>
      </c>
      <c r="S19" s="57" t="s">
        <v>502</v>
      </c>
      <c r="T19" s="69" t="s">
        <v>520</v>
      </c>
      <c r="U19" s="50" t="s">
        <v>161</v>
      </c>
      <c r="V19" s="50"/>
      <c r="W19" s="55" t="s">
        <v>443</v>
      </c>
      <c r="X19" s="50" t="s">
        <v>506</v>
      </c>
      <c r="Y19" s="50" t="s">
        <v>448</v>
      </c>
      <c r="Z19" s="71" t="s">
        <v>462</v>
      </c>
    </row>
    <row r="20" ht="63.0" customHeight="1">
      <c r="A20" s="28">
        <v>15.0</v>
      </c>
      <c r="B20" s="29" t="s">
        <v>530</v>
      </c>
      <c r="C20" s="34" t="s">
        <v>490</v>
      </c>
      <c r="D20" s="21" t="s">
        <v>492</v>
      </c>
      <c r="E20" s="21" t="s">
        <v>535</v>
      </c>
      <c r="F20" s="21" t="s">
        <v>536</v>
      </c>
      <c r="G20" s="35">
        <v>7.5</v>
      </c>
      <c r="H20" s="22" t="str">
        <f t="shared" si="1"/>
        <v>High</v>
      </c>
      <c r="I20" s="21" t="s">
        <v>352</v>
      </c>
      <c r="J20" s="22" t="s">
        <v>498</v>
      </c>
      <c r="K20" s="22" t="s">
        <v>104</v>
      </c>
      <c r="L20" s="21" t="s">
        <v>539</v>
      </c>
      <c r="M20" s="22" t="s">
        <v>121</v>
      </c>
      <c r="N20" s="22" t="s">
        <v>123</v>
      </c>
      <c r="O20" s="22" t="s">
        <v>423</v>
      </c>
      <c r="P20" s="22">
        <v>65.0</v>
      </c>
      <c r="Q20" s="21" t="str">
        <f t="array" ref="Q20">IF(P20="","-",IFERROR(INDEX('Threat Atlas'!$C$6:$C$300,MATCH(P20,'Threat Atlas'!$A$6:$A$300,0)),"not found"))</f>
        <v>Olchawa, Starcik, Fradique &amp; Boulaich (2025)</v>
      </c>
      <c r="R20" s="21" t="s">
        <v>144</v>
      </c>
      <c r="S20" s="21" t="s">
        <v>502</v>
      </c>
      <c r="T20" s="48" t="s">
        <v>540</v>
      </c>
      <c r="U20" s="28" t="s">
        <v>161</v>
      </c>
      <c r="V20" s="28"/>
      <c r="W20" s="34" t="s">
        <v>443</v>
      </c>
      <c r="X20" s="28" t="s">
        <v>506</v>
      </c>
      <c r="Y20" s="28" t="s">
        <v>448</v>
      </c>
      <c r="Z20" s="23" t="s">
        <v>462</v>
      </c>
    </row>
    <row r="21" ht="63.0" customHeight="1">
      <c r="A21" s="50">
        <v>16.0</v>
      </c>
      <c r="B21" s="52" t="s">
        <v>550</v>
      </c>
      <c r="C21" s="55" t="s">
        <v>490</v>
      </c>
      <c r="D21" s="57" t="s">
        <v>492</v>
      </c>
      <c r="E21" s="57" t="s">
        <v>535</v>
      </c>
      <c r="F21" s="57" t="s">
        <v>536</v>
      </c>
      <c r="G21" s="58">
        <v>9.1</v>
      </c>
      <c r="H21" s="61" t="str">
        <f t="shared" si="1"/>
        <v>Critical</v>
      </c>
      <c r="I21" s="57" t="s">
        <v>352</v>
      </c>
      <c r="J21" s="61" t="s">
        <v>498</v>
      </c>
      <c r="K21" s="61" t="s">
        <v>104</v>
      </c>
      <c r="L21" s="57" t="s">
        <v>557</v>
      </c>
      <c r="M21" s="61" t="s">
        <v>121</v>
      </c>
      <c r="N21" s="61" t="s">
        <v>123</v>
      </c>
      <c r="O21" s="61" t="s">
        <v>423</v>
      </c>
      <c r="P21" s="61">
        <v>65.0</v>
      </c>
      <c r="Q21" s="57" t="str">
        <f t="array" ref="Q21">IF(P21="","-",IFERROR(INDEX('Threat Atlas'!$C$6:$C$300,MATCH(P21,'Threat Atlas'!$A$6:$A$300,0)),"not found"))</f>
        <v>Olchawa, Starcik, Fradique &amp; Boulaich (2025)</v>
      </c>
      <c r="R21" s="57" t="s">
        <v>144</v>
      </c>
      <c r="S21" s="57" t="s">
        <v>502</v>
      </c>
      <c r="T21" s="69" t="s">
        <v>560</v>
      </c>
      <c r="U21" s="50" t="s">
        <v>161</v>
      </c>
      <c r="V21" s="50"/>
      <c r="W21" s="55" t="s">
        <v>443</v>
      </c>
      <c r="X21" s="50" t="s">
        <v>506</v>
      </c>
      <c r="Y21" s="50" t="s">
        <v>448</v>
      </c>
      <c r="Z21" s="71" t="s">
        <v>462</v>
      </c>
    </row>
    <row r="22" ht="63.0" customHeight="1">
      <c r="A22" s="28">
        <v>17.0</v>
      </c>
      <c r="B22" s="29" t="s">
        <v>562</v>
      </c>
      <c r="C22" s="34" t="s">
        <v>490</v>
      </c>
      <c r="D22" s="21" t="s">
        <v>492</v>
      </c>
      <c r="E22" s="21" t="s">
        <v>563</v>
      </c>
      <c r="F22" s="21" t="s">
        <v>564</v>
      </c>
      <c r="G22" s="35">
        <v>9.8</v>
      </c>
      <c r="H22" s="22" t="str">
        <f t="shared" si="1"/>
        <v>Critical</v>
      </c>
      <c r="I22" s="21" t="s">
        <v>352</v>
      </c>
      <c r="J22" s="22" t="s">
        <v>498</v>
      </c>
      <c r="K22" s="22" t="s">
        <v>104</v>
      </c>
      <c r="L22" s="21" t="s">
        <v>565</v>
      </c>
      <c r="M22" s="22" t="s">
        <v>121</v>
      </c>
      <c r="N22" s="22" t="s">
        <v>123</v>
      </c>
      <c r="O22" s="22" t="s">
        <v>423</v>
      </c>
      <c r="P22" s="22">
        <v>65.0</v>
      </c>
      <c r="Q22" s="21" t="str">
        <f t="array" ref="Q22">IF(P22="","-",IFERROR(INDEX('Threat Atlas'!$C$6:$C$300,MATCH(P22,'Threat Atlas'!$A$6:$A$300,0)),"not found"))</f>
        <v>Olchawa, Starcik, Fradique &amp; Boulaich (2025)</v>
      </c>
      <c r="R22" s="21" t="s">
        <v>144</v>
      </c>
      <c r="S22" s="21" t="s">
        <v>502</v>
      </c>
      <c r="T22" s="48" t="s">
        <v>578</v>
      </c>
      <c r="U22" s="28" t="s">
        <v>161</v>
      </c>
      <c r="V22" s="28"/>
      <c r="W22" s="34" t="s">
        <v>443</v>
      </c>
      <c r="X22" s="28" t="s">
        <v>506</v>
      </c>
      <c r="Y22" s="28" t="s">
        <v>448</v>
      </c>
      <c r="Z22" s="23" t="s">
        <v>462</v>
      </c>
    </row>
    <row r="23" ht="63.0" customHeight="1">
      <c r="A23" s="50">
        <v>18.0</v>
      </c>
      <c r="B23" s="52" t="s">
        <v>581</v>
      </c>
      <c r="C23" s="55" t="s">
        <v>490</v>
      </c>
      <c r="D23" s="57" t="s">
        <v>492</v>
      </c>
      <c r="E23" s="57" t="s">
        <v>494</v>
      </c>
      <c r="F23" s="57" t="s">
        <v>583</v>
      </c>
      <c r="G23" s="58">
        <v>9.8</v>
      </c>
      <c r="H23" s="61" t="str">
        <f t="shared" si="1"/>
        <v>Critical</v>
      </c>
      <c r="I23" s="57" t="s">
        <v>352</v>
      </c>
      <c r="J23" s="61" t="s">
        <v>498</v>
      </c>
      <c r="K23" s="61" t="s">
        <v>104</v>
      </c>
      <c r="L23" s="57" t="s">
        <v>584</v>
      </c>
      <c r="M23" s="61" t="s">
        <v>121</v>
      </c>
      <c r="N23" s="61" t="s">
        <v>123</v>
      </c>
      <c r="O23" s="61" t="s">
        <v>423</v>
      </c>
      <c r="P23" s="61">
        <v>65.0</v>
      </c>
      <c r="Q23" s="57" t="str">
        <f t="array" ref="Q23">IF(P23="","-",IFERROR(INDEX('Threat Atlas'!$C$6:$C$300,MATCH(P23,'Threat Atlas'!$A$6:$A$300,0)),"not found"))</f>
        <v>Olchawa, Starcik, Fradique &amp; Boulaich (2025)</v>
      </c>
      <c r="R23" s="57" t="s">
        <v>144</v>
      </c>
      <c r="S23" s="57" t="s">
        <v>502</v>
      </c>
      <c r="T23" s="69" t="s">
        <v>585</v>
      </c>
      <c r="U23" s="50" t="s">
        <v>161</v>
      </c>
      <c r="V23" s="50"/>
      <c r="W23" s="55" t="s">
        <v>443</v>
      </c>
      <c r="X23" s="50" t="s">
        <v>506</v>
      </c>
      <c r="Y23" s="50" t="s">
        <v>448</v>
      </c>
      <c r="Z23" s="71" t="s">
        <v>462</v>
      </c>
    </row>
    <row r="24" ht="63.0" customHeight="1">
      <c r="A24" s="28">
        <v>19.0</v>
      </c>
      <c r="B24" s="29" t="s">
        <v>593</v>
      </c>
      <c r="C24" s="34" t="s">
        <v>490</v>
      </c>
      <c r="D24" s="21" t="s">
        <v>492</v>
      </c>
      <c r="E24" s="21" t="s">
        <v>563</v>
      </c>
      <c r="F24" s="21" t="s">
        <v>594</v>
      </c>
      <c r="G24" s="35">
        <v>9.8</v>
      </c>
      <c r="H24" s="22" t="str">
        <f t="shared" si="1"/>
        <v>Critical</v>
      </c>
      <c r="I24" s="21" t="s">
        <v>352</v>
      </c>
      <c r="J24" s="22" t="s">
        <v>498</v>
      </c>
      <c r="K24" s="22" t="s">
        <v>104</v>
      </c>
      <c r="L24" s="21" t="s">
        <v>597</v>
      </c>
      <c r="M24" s="22" t="s">
        <v>121</v>
      </c>
      <c r="N24" s="22" t="s">
        <v>123</v>
      </c>
      <c r="O24" s="22" t="s">
        <v>423</v>
      </c>
      <c r="P24" s="22">
        <v>65.0</v>
      </c>
      <c r="Q24" s="21" t="str">
        <f t="array" ref="Q24">IF(P24="","-",IFERROR(INDEX('Threat Atlas'!$C$6:$C$300,MATCH(P24,'Threat Atlas'!$A$6:$A$300,0)),"not found"))</f>
        <v>Olchawa, Starcik, Fradique &amp; Boulaich (2025)</v>
      </c>
      <c r="R24" s="21" t="s">
        <v>144</v>
      </c>
      <c r="S24" s="21" t="s">
        <v>502</v>
      </c>
      <c r="T24" s="48" t="s">
        <v>604</v>
      </c>
      <c r="U24" s="28" t="s">
        <v>161</v>
      </c>
      <c r="V24" s="28"/>
      <c r="W24" s="34" t="s">
        <v>443</v>
      </c>
      <c r="X24" s="28" t="s">
        <v>506</v>
      </c>
      <c r="Y24" s="28" t="s">
        <v>448</v>
      </c>
      <c r="Z24" s="23" t="s">
        <v>462</v>
      </c>
    </row>
    <row r="25" ht="63.0" customHeight="1">
      <c r="A25" s="50">
        <v>20.0</v>
      </c>
      <c r="B25" s="52" t="s">
        <v>606</v>
      </c>
      <c r="C25" s="55" t="s">
        <v>490</v>
      </c>
      <c r="D25" s="57" t="s">
        <v>607</v>
      </c>
      <c r="E25" s="57" t="s">
        <v>608</v>
      </c>
      <c r="F25" s="57" t="s">
        <v>77</v>
      </c>
      <c r="G25" s="58"/>
      <c r="H25" s="61" t="str">
        <f t="shared" si="1"/>
        <v>Not scored</v>
      </c>
      <c r="I25" s="57"/>
      <c r="J25" s="61" t="s">
        <v>609</v>
      </c>
      <c r="K25" s="61" t="s">
        <v>104</v>
      </c>
      <c r="L25" s="57" t="s">
        <v>610</v>
      </c>
      <c r="M25" s="61" t="s">
        <v>121</v>
      </c>
      <c r="N25" s="61" t="s">
        <v>123</v>
      </c>
      <c r="O25" s="61" t="s">
        <v>423</v>
      </c>
      <c r="P25" s="61">
        <v>65.0</v>
      </c>
      <c r="Q25" s="57" t="str">
        <f t="array" ref="Q25">IF(P25="","-",IFERROR(INDEX('Threat Atlas'!$C$6:$C$300,MATCH(P25,'Threat Atlas'!$A$6:$A$300,0)),"not found"))</f>
        <v>Olchawa, Starcik, Fradique &amp; Boulaich (2025)</v>
      </c>
      <c r="R25" s="57" t="s">
        <v>144</v>
      </c>
      <c r="S25" s="57" t="s">
        <v>502</v>
      </c>
      <c r="T25" s="69" t="s">
        <v>614</v>
      </c>
      <c r="U25" s="50" t="s">
        <v>161</v>
      </c>
      <c r="V25" s="50"/>
      <c r="W25" s="55" t="s">
        <v>443</v>
      </c>
      <c r="X25" s="50" t="s">
        <v>506</v>
      </c>
      <c r="Y25" s="50" t="s">
        <v>448</v>
      </c>
      <c r="Z25" s="71" t="s">
        <v>462</v>
      </c>
    </row>
    <row r="26" ht="63.0" customHeight="1">
      <c r="A26" s="28">
        <v>21.0</v>
      </c>
      <c r="B26" s="29" t="s">
        <v>623</v>
      </c>
      <c r="C26" s="34" t="s">
        <v>490</v>
      </c>
      <c r="D26" s="21" t="s">
        <v>607</v>
      </c>
      <c r="E26" s="21" t="s">
        <v>608</v>
      </c>
      <c r="F26" s="21" t="s">
        <v>77</v>
      </c>
      <c r="G26" s="35"/>
      <c r="H26" s="22" t="str">
        <f t="shared" si="1"/>
        <v>Not scored</v>
      </c>
      <c r="I26" s="21"/>
      <c r="J26" s="22" t="s">
        <v>609</v>
      </c>
      <c r="K26" s="22" t="s">
        <v>104</v>
      </c>
      <c r="L26" s="21" t="s">
        <v>624</v>
      </c>
      <c r="M26" s="22" t="s">
        <v>121</v>
      </c>
      <c r="N26" s="22" t="s">
        <v>123</v>
      </c>
      <c r="O26" s="22" t="s">
        <v>423</v>
      </c>
      <c r="P26" s="22">
        <v>65.0</v>
      </c>
      <c r="Q26" s="21" t="str">
        <f t="array" ref="Q26">IF(P26="","-",IFERROR(INDEX('Threat Atlas'!$C$6:$C$300,MATCH(P26,'Threat Atlas'!$A$6:$A$300,0)),"not found"))</f>
        <v>Olchawa, Starcik, Fradique &amp; Boulaich (2025)</v>
      </c>
      <c r="R26" s="21" t="s">
        <v>144</v>
      </c>
      <c r="S26" s="21" t="s">
        <v>502</v>
      </c>
      <c r="T26" s="48" t="s">
        <v>626</v>
      </c>
      <c r="U26" s="28" t="s">
        <v>161</v>
      </c>
      <c r="V26" s="28"/>
      <c r="W26" s="34" t="s">
        <v>443</v>
      </c>
      <c r="X26" s="28" t="s">
        <v>506</v>
      </c>
      <c r="Y26" s="28" t="s">
        <v>448</v>
      </c>
      <c r="Z26" s="23" t="s">
        <v>462</v>
      </c>
    </row>
    <row r="27" ht="63.0" customHeight="1">
      <c r="A27" s="50">
        <v>22.0</v>
      </c>
      <c r="B27" s="52" t="s">
        <v>633</v>
      </c>
      <c r="C27" s="55" t="s">
        <v>490</v>
      </c>
      <c r="D27" s="57" t="s">
        <v>607</v>
      </c>
      <c r="E27" s="57" t="s">
        <v>608</v>
      </c>
      <c r="F27" s="57" t="s">
        <v>77</v>
      </c>
      <c r="G27" s="58"/>
      <c r="H27" s="61" t="str">
        <f t="shared" si="1"/>
        <v>Not scored</v>
      </c>
      <c r="I27" s="57"/>
      <c r="J27" s="61" t="s">
        <v>609</v>
      </c>
      <c r="K27" s="61" t="s">
        <v>104</v>
      </c>
      <c r="L27" s="57" t="s">
        <v>634</v>
      </c>
      <c r="M27" s="61" t="s">
        <v>121</v>
      </c>
      <c r="N27" s="61" t="s">
        <v>123</v>
      </c>
      <c r="O27" s="61" t="s">
        <v>423</v>
      </c>
      <c r="P27" s="61">
        <v>65.0</v>
      </c>
      <c r="Q27" s="57" t="str">
        <f t="array" ref="Q27">IF(P27="","-",IFERROR(INDEX('Threat Atlas'!$C$6:$C$300,MATCH(P27,'Threat Atlas'!$A$6:$A$300,0)),"not found"))</f>
        <v>Olchawa, Starcik, Fradique &amp; Boulaich (2025)</v>
      </c>
      <c r="R27" s="57" t="s">
        <v>144</v>
      </c>
      <c r="S27" s="57" t="s">
        <v>502</v>
      </c>
      <c r="T27" s="69" t="s">
        <v>643</v>
      </c>
      <c r="U27" s="50" t="s">
        <v>161</v>
      </c>
      <c r="V27" s="50"/>
      <c r="W27" s="55" t="s">
        <v>443</v>
      </c>
      <c r="X27" s="50" t="s">
        <v>506</v>
      </c>
      <c r="Y27" s="50" t="s">
        <v>448</v>
      </c>
      <c r="Z27" s="71" t="s">
        <v>462</v>
      </c>
    </row>
    <row r="28" ht="63.0" customHeight="1">
      <c r="A28" s="28">
        <v>23.0</v>
      </c>
      <c r="B28" s="29" t="s">
        <v>651</v>
      </c>
      <c r="C28" s="34" t="s">
        <v>490</v>
      </c>
      <c r="D28" s="21" t="s">
        <v>607</v>
      </c>
      <c r="E28" s="21" t="s">
        <v>608</v>
      </c>
      <c r="F28" s="21" t="s">
        <v>77</v>
      </c>
      <c r="G28" s="35"/>
      <c r="H28" s="22" t="str">
        <f t="shared" si="1"/>
        <v>Not scored</v>
      </c>
      <c r="I28" s="21"/>
      <c r="J28" s="22" t="s">
        <v>609</v>
      </c>
      <c r="K28" s="22" t="s">
        <v>104</v>
      </c>
      <c r="L28" s="21" t="s">
        <v>652</v>
      </c>
      <c r="M28" s="22" t="s">
        <v>121</v>
      </c>
      <c r="N28" s="22" t="s">
        <v>123</v>
      </c>
      <c r="O28" s="22" t="s">
        <v>423</v>
      </c>
      <c r="P28" s="22">
        <v>65.0</v>
      </c>
      <c r="Q28" s="21" t="str">
        <f t="array" ref="Q28">IF(P28="","-",IFERROR(INDEX('Threat Atlas'!$C$6:$C$300,MATCH(P28,'Threat Atlas'!$A$6:$A$300,0)),"not found"))</f>
        <v>Olchawa, Starcik, Fradique &amp; Boulaich (2025)</v>
      </c>
      <c r="R28" s="21" t="s">
        <v>144</v>
      </c>
      <c r="S28" s="21" t="s">
        <v>502</v>
      </c>
      <c r="T28" s="48" t="s">
        <v>654</v>
      </c>
      <c r="U28" s="28" t="s">
        <v>161</v>
      </c>
      <c r="V28" s="28"/>
      <c r="W28" s="34" t="s">
        <v>443</v>
      </c>
      <c r="X28" s="28" t="s">
        <v>506</v>
      </c>
      <c r="Y28" s="28" t="s">
        <v>448</v>
      </c>
      <c r="Z28" s="23" t="s">
        <v>462</v>
      </c>
    </row>
    <row r="29" ht="63.0" customHeight="1">
      <c r="A29" s="50">
        <v>24.0</v>
      </c>
      <c r="B29" s="52" t="s">
        <v>663</v>
      </c>
      <c r="C29" s="55" t="s">
        <v>490</v>
      </c>
      <c r="D29" s="57" t="s">
        <v>607</v>
      </c>
      <c r="E29" s="57" t="s">
        <v>608</v>
      </c>
      <c r="F29" s="57" t="s">
        <v>77</v>
      </c>
      <c r="G29" s="58"/>
      <c r="H29" s="61" t="str">
        <f t="shared" si="1"/>
        <v>Not scored</v>
      </c>
      <c r="I29" s="57"/>
      <c r="J29" s="61" t="s">
        <v>609</v>
      </c>
      <c r="K29" s="61" t="s">
        <v>104</v>
      </c>
      <c r="L29" s="57" t="s">
        <v>667</v>
      </c>
      <c r="M29" s="61" t="s">
        <v>121</v>
      </c>
      <c r="N29" s="61" t="s">
        <v>123</v>
      </c>
      <c r="O29" s="61" t="s">
        <v>423</v>
      </c>
      <c r="P29" s="61">
        <v>65.0</v>
      </c>
      <c r="Q29" s="57" t="str">
        <f t="array" ref="Q29">IF(P29="","-",IFERROR(INDEX('Threat Atlas'!$C$6:$C$300,MATCH(P29,'Threat Atlas'!$A$6:$A$300,0)),"not found"))</f>
        <v>Olchawa, Starcik, Fradique &amp; Boulaich (2025)</v>
      </c>
      <c r="R29" s="57" t="s">
        <v>144</v>
      </c>
      <c r="S29" s="57" t="s">
        <v>502</v>
      </c>
      <c r="T29" s="69" t="s">
        <v>671</v>
      </c>
      <c r="U29" s="50" t="s">
        <v>161</v>
      </c>
      <c r="V29" s="50"/>
      <c r="W29" s="55" t="s">
        <v>443</v>
      </c>
      <c r="X29" s="50" t="s">
        <v>506</v>
      </c>
      <c r="Y29" s="50" t="s">
        <v>448</v>
      </c>
      <c r="Z29" s="71" t="s">
        <v>462</v>
      </c>
    </row>
    <row r="30" ht="63.0" customHeight="1">
      <c r="A30" s="28">
        <v>25.0</v>
      </c>
      <c r="B30" s="29" t="s">
        <v>672</v>
      </c>
      <c r="C30" s="34" t="s">
        <v>490</v>
      </c>
      <c r="D30" s="21" t="s">
        <v>607</v>
      </c>
      <c r="E30" s="21" t="s">
        <v>608</v>
      </c>
      <c r="F30" s="21" t="s">
        <v>77</v>
      </c>
      <c r="G30" s="35"/>
      <c r="H30" s="22" t="str">
        <f t="shared" si="1"/>
        <v>Not scored</v>
      </c>
      <c r="I30" s="21"/>
      <c r="J30" s="22" t="s">
        <v>677</v>
      </c>
      <c r="K30" s="22" t="s">
        <v>104</v>
      </c>
      <c r="L30" s="21" t="s">
        <v>678</v>
      </c>
      <c r="M30" s="22" t="s">
        <v>121</v>
      </c>
      <c r="N30" s="22" t="s">
        <v>123</v>
      </c>
      <c r="O30" s="22" t="s">
        <v>423</v>
      </c>
      <c r="P30" s="22">
        <v>65.0</v>
      </c>
      <c r="Q30" s="21" t="str">
        <f t="array" ref="Q30">IF(P30="","-",IFERROR(INDEX('Threat Atlas'!$C$6:$C$300,MATCH(P30,'Threat Atlas'!$A$6:$A$300,0)),"not found"))</f>
        <v>Olchawa, Starcik, Fradique &amp; Boulaich (2025)</v>
      </c>
      <c r="R30" s="21" t="s">
        <v>144</v>
      </c>
      <c r="S30" s="21" t="s">
        <v>502</v>
      </c>
      <c r="T30" s="48" t="s">
        <v>687</v>
      </c>
      <c r="U30" s="28" t="s">
        <v>161</v>
      </c>
      <c r="V30" s="28"/>
      <c r="W30" s="34" t="s">
        <v>443</v>
      </c>
      <c r="X30" s="28" t="s">
        <v>506</v>
      </c>
      <c r="Y30" s="28" t="s">
        <v>448</v>
      </c>
      <c r="Z30" s="23" t="s">
        <v>462</v>
      </c>
    </row>
    <row r="31" ht="63.0" customHeight="1">
      <c r="A31" s="50">
        <v>26.0</v>
      </c>
      <c r="B31" s="52" t="s">
        <v>690</v>
      </c>
      <c r="C31" s="55" t="s">
        <v>490</v>
      </c>
      <c r="D31" s="57" t="s">
        <v>607</v>
      </c>
      <c r="E31" s="57" t="s">
        <v>608</v>
      </c>
      <c r="F31" s="57" t="s">
        <v>496</v>
      </c>
      <c r="G31" s="58">
        <v>5.4</v>
      </c>
      <c r="H31" s="61" t="str">
        <f t="shared" si="1"/>
        <v>Medium</v>
      </c>
      <c r="I31" s="57" t="s">
        <v>352</v>
      </c>
      <c r="J31" s="61" t="s">
        <v>677</v>
      </c>
      <c r="K31" s="61" t="s">
        <v>104</v>
      </c>
      <c r="L31" s="57" t="s">
        <v>693</v>
      </c>
      <c r="M31" s="61" t="s">
        <v>121</v>
      </c>
      <c r="N31" s="61" t="s">
        <v>123</v>
      </c>
      <c r="O31" s="61" t="s">
        <v>423</v>
      </c>
      <c r="P31" s="61">
        <v>65.0</v>
      </c>
      <c r="Q31" s="57" t="str">
        <f t="array" ref="Q31">IF(P31="","-",IFERROR(INDEX('Threat Atlas'!$C$6:$C$300,MATCH(P31,'Threat Atlas'!$A$6:$A$300,0)),"not found"))</f>
        <v>Olchawa, Starcik, Fradique &amp; Boulaich (2025)</v>
      </c>
      <c r="R31" s="57" t="s">
        <v>144</v>
      </c>
      <c r="S31" s="57" t="s">
        <v>502</v>
      </c>
      <c r="T31" s="69" t="s">
        <v>696</v>
      </c>
      <c r="U31" s="50" t="s">
        <v>161</v>
      </c>
      <c r="V31" s="50"/>
      <c r="W31" s="55" t="s">
        <v>443</v>
      </c>
      <c r="X31" s="50" t="s">
        <v>506</v>
      </c>
      <c r="Y31" s="50" t="s">
        <v>448</v>
      </c>
      <c r="Z31" s="71" t="s">
        <v>462</v>
      </c>
    </row>
    <row r="32" ht="63.0" customHeight="1">
      <c r="A32" s="28">
        <v>27.0</v>
      </c>
      <c r="B32" s="29" t="s">
        <v>706</v>
      </c>
      <c r="C32" s="34" t="s">
        <v>490</v>
      </c>
      <c r="D32" s="21" t="s">
        <v>607</v>
      </c>
      <c r="E32" s="21" t="s">
        <v>608</v>
      </c>
      <c r="F32" s="21" t="s">
        <v>77</v>
      </c>
      <c r="G32" s="35"/>
      <c r="H32" s="22" t="str">
        <f t="shared" si="1"/>
        <v>Not scored</v>
      </c>
      <c r="I32" s="21"/>
      <c r="J32" s="22" t="s">
        <v>677</v>
      </c>
      <c r="K32" s="22" t="s">
        <v>104</v>
      </c>
      <c r="L32" s="21" t="s">
        <v>709</v>
      </c>
      <c r="M32" s="22" t="s">
        <v>121</v>
      </c>
      <c r="N32" s="22" t="s">
        <v>123</v>
      </c>
      <c r="O32" s="22" t="s">
        <v>423</v>
      </c>
      <c r="P32" s="22">
        <v>65.0</v>
      </c>
      <c r="Q32" s="21" t="str">
        <f t="array" ref="Q32">IF(P32="","-",IFERROR(INDEX('Threat Atlas'!$C$6:$C$300,MATCH(P32,'Threat Atlas'!$A$6:$A$300,0)),"not found"))</f>
        <v>Olchawa, Starcik, Fradique &amp; Boulaich (2025)</v>
      </c>
      <c r="R32" s="21" t="s">
        <v>144</v>
      </c>
      <c r="S32" s="21" t="s">
        <v>502</v>
      </c>
      <c r="T32" s="48" t="s">
        <v>719</v>
      </c>
      <c r="U32" s="28" t="s">
        <v>161</v>
      </c>
      <c r="V32" s="28"/>
      <c r="W32" s="34" t="s">
        <v>443</v>
      </c>
      <c r="X32" s="28" t="s">
        <v>506</v>
      </c>
      <c r="Y32" s="28" t="s">
        <v>448</v>
      </c>
      <c r="Z32" s="23" t="s">
        <v>462</v>
      </c>
    </row>
    <row r="33" ht="63.0" customHeight="1">
      <c r="A33" s="50">
        <v>28.0</v>
      </c>
      <c r="B33" s="52" t="s">
        <v>737</v>
      </c>
      <c r="C33" s="55" t="s">
        <v>490</v>
      </c>
      <c r="D33" s="57" t="s">
        <v>738</v>
      </c>
      <c r="E33" s="57" t="s">
        <v>740</v>
      </c>
      <c r="F33" s="57" t="s">
        <v>741</v>
      </c>
      <c r="G33" s="58">
        <v>7.5</v>
      </c>
      <c r="H33" s="61" t="str">
        <f t="shared" si="1"/>
        <v>High</v>
      </c>
      <c r="I33" s="57" t="s">
        <v>352</v>
      </c>
      <c r="J33" s="61" t="s">
        <v>747</v>
      </c>
      <c r="K33" s="61" t="s">
        <v>104</v>
      </c>
      <c r="L33" s="57" t="s">
        <v>748</v>
      </c>
      <c r="M33" s="61" t="s">
        <v>121</v>
      </c>
      <c r="N33" s="61" t="s">
        <v>123</v>
      </c>
      <c r="O33" s="61" t="s">
        <v>423</v>
      </c>
      <c r="P33" s="61">
        <v>65.0</v>
      </c>
      <c r="Q33" s="57" t="str">
        <f t="array" ref="Q33">IF(P33="","-",IFERROR(INDEX('Threat Atlas'!$C$6:$C$300,MATCH(P33,'Threat Atlas'!$A$6:$A$300,0)),"not found"))</f>
        <v>Olchawa, Starcik, Fradique &amp; Boulaich (2025)</v>
      </c>
      <c r="R33" s="57" t="s">
        <v>144</v>
      </c>
      <c r="S33" s="57" t="s">
        <v>753</v>
      </c>
      <c r="T33" s="69" t="s">
        <v>754</v>
      </c>
      <c r="U33" s="50" t="s">
        <v>161</v>
      </c>
      <c r="V33" s="50"/>
      <c r="W33" s="55" t="s">
        <v>443</v>
      </c>
      <c r="X33" s="50" t="s">
        <v>506</v>
      </c>
      <c r="Y33" s="50" t="s">
        <v>448</v>
      </c>
      <c r="Z33" s="71" t="s">
        <v>462</v>
      </c>
    </row>
    <row r="34" ht="63.0" customHeight="1">
      <c r="A34" s="28">
        <v>29.0</v>
      </c>
      <c r="B34" s="29" t="s">
        <v>766</v>
      </c>
      <c r="C34" s="34" t="s">
        <v>490</v>
      </c>
      <c r="D34" s="21" t="s">
        <v>738</v>
      </c>
      <c r="E34" s="21" t="s">
        <v>832</v>
      </c>
      <c r="F34" s="21" t="s">
        <v>77</v>
      </c>
      <c r="G34" s="35"/>
      <c r="H34" s="22" t="str">
        <f t="shared" si="1"/>
        <v>Not scored</v>
      </c>
      <c r="I34" s="21"/>
      <c r="J34" s="22" t="s">
        <v>838</v>
      </c>
      <c r="K34" s="22" t="s">
        <v>104</v>
      </c>
      <c r="L34" s="21" t="s">
        <v>839</v>
      </c>
      <c r="M34" s="22" t="s">
        <v>121</v>
      </c>
      <c r="N34" s="22" t="s">
        <v>123</v>
      </c>
      <c r="O34" s="22" t="s">
        <v>423</v>
      </c>
      <c r="P34" s="22">
        <v>65.0</v>
      </c>
      <c r="Q34" s="21" t="str">
        <f t="array" ref="Q34">IF(P34="","-",IFERROR(INDEX('Threat Atlas'!$C$6:$C$300,MATCH(P34,'Threat Atlas'!$A$6:$A$300,0)),"not found"))</f>
        <v>Olchawa, Starcik, Fradique &amp; Boulaich (2025)</v>
      </c>
      <c r="R34" s="21" t="s">
        <v>144</v>
      </c>
      <c r="S34" s="21" t="s">
        <v>753</v>
      </c>
      <c r="T34" s="48" t="s">
        <v>856</v>
      </c>
      <c r="U34" s="28" t="s">
        <v>161</v>
      </c>
      <c r="V34" s="28"/>
      <c r="W34" s="34" t="s">
        <v>443</v>
      </c>
      <c r="X34" s="28" t="s">
        <v>506</v>
      </c>
      <c r="Y34" s="28" t="s">
        <v>448</v>
      </c>
      <c r="Z34" s="23" t="s">
        <v>462</v>
      </c>
    </row>
    <row r="35" ht="63.0" customHeight="1">
      <c r="A35" s="50">
        <v>30.0</v>
      </c>
      <c r="B35" s="52" t="s">
        <v>862</v>
      </c>
      <c r="C35" s="55" t="s">
        <v>490</v>
      </c>
      <c r="D35" s="57" t="s">
        <v>738</v>
      </c>
      <c r="E35" s="57" t="s">
        <v>832</v>
      </c>
      <c r="F35" s="57" t="s">
        <v>77</v>
      </c>
      <c r="G35" s="58"/>
      <c r="H35" s="61" t="str">
        <f t="shared" si="1"/>
        <v>Not scored</v>
      </c>
      <c r="I35" s="57"/>
      <c r="J35" s="61" t="s">
        <v>838</v>
      </c>
      <c r="K35" s="61" t="s">
        <v>104</v>
      </c>
      <c r="L35" s="57" t="s">
        <v>872</v>
      </c>
      <c r="M35" s="61" t="s">
        <v>121</v>
      </c>
      <c r="N35" s="61" t="s">
        <v>123</v>
      </c>
      <c r="O35" s="61" t="s">
        <v>423</v>
      </c>
      <c r="P35" s="61">
        <v>65.0</v>
      </c>
      <c r="Q35" s="57" t="str">
        <f t="array" ref="Q35">IF(P35="","-",IFERROR(INDEX('Threat Atlas'!$C$6:$C$300,MATCH(P35,'Threat Atlas'!$A$6:$A$300,0)),"not found"))</f>
        <v>Olchawa, Starcik, Fradique &amp; Boulaich (2025)</v>
      </c>
      <c r="R35" s="57" t="s">
        <v>144</v>
      </c>
      <c r="S35" s="57" t="s">
        <v>753</v>
      </c>
      <c r="T35" s="69" t="s">
        <v>895</v>
      </c>
      <c r="U35" s="50" t="s">
        <v>161</v>
      </c>
      <c r="V35" s="50"/>
      <c r="W35" s="55" t="s">
        <v>443</v>
      </c>
      <c r="X35" s="50" t="s">
        <v>506</v>
      </c>
      <c r="Y35" s="50" t="s">
        <v>448</v>
      </c>
      <c r="Z35" s="71" t="s">
        <v>462</v>
      </c>
    </row>
    <row r="36" ht="51.75" customHeight="1">
      <c r="A36" s="28">
        <v>31.0</v>
      </c>
      <c r="B36" s="29" t="s">
        <v>911</v>
      </c>
      <c r="C36" s="34" t="s">
        <v>783</v>
      </c>
      <c r="D36" s="21" t="s">
        <v>916</v>
      </c>
      <c r="E36" s="21" t="s">
        <v>420</v>
      </c>
      <c r="F36" s="21" t="s">
        <v>536</v>
      </c>
      <c r="G36" s="35">
        <v>7.5</v>
      </c>
      <c r="H36" s="22" t="str">
        <f t="shared" si="1"/>
        <v>High</v>
      </c>
      <c r="I36" s="21" t="s">
        <v>352</v>
      </c>
      <c r="J36" s="22" t="s">
        <v>926</v>
      </c>
      <c r="K36" s="22" t="s">
        <v>104</v>
      </c>
      <c r="L36" s="21" t="s">
        <v>928</v>
      </c>
      <c r="M36" s="22" t="s">
        <v>42</v>
      </c>
      <c r="N36" s="22" t="s">
        <v>127</v>
      </c>
      <c r="O36" s="22" t="s">
        <v>423</v>
      </c>
      <c r="P36" s="22">
        <v>65.0</v>
      </c>
      <c r="Q36" s="21" t="str">
        <f t="array" ref="Q36">IF(P36="","-",IFERROR(INDEX('Threat Atlas'!$C$6:$C$300,MATCH(P36,'Threat Atlas'!$A$6:$A$300,0)),"not found"))</f>
        <v>Olchawa, Starcik, Fradique &amp; Boulaich (2025)</v>
      </c>
      <c r="R36" s="21" t="s">
        <v>144</v>
      </c>
      <c r="S36" s="21" t="s">
        <v>786</v>
      </c>
      <c r="T36" s="48" t="s">
        <v>933</v>
      </c>
      <c r="U36" s="28" t="s">
        <v>161</v>
      </c>
      <c r="V36" s="28"/>
      <c r="W36" s="34" t="s">
        <v>176</v>
      </c>
      <c r="X36" s="28" t="s">
        <v>946</v>
      </c>
      <c r="Y36" s="28" t="s">
        <v>448</v>
      </c>
      <c r="Z36" s="23" t="s">
        <v>186</v>
      </c>
    </row>
    <row r="37" ht="51.75" customHeight="1">
      <c r="A37" s="50">
        <v>32.0</v>
      </c>
      <c r="B37" s="52" t="s">
        <v>948</v>
      </c>
      <c r="C37" s="55" t="s">
        <v>783</v>
      </c>
      <c r="D37" s="57" t="s">
        <v>916</v>
      </c>
      <c r="E37" s="57" t="s">
        <v>420</v>
      </c>
      <c r="F37" s="57" t="s">
        <v>949</v>
      </c>
      <c r="G37" s="58">
        <v>7.5</v>
      </c>
      <c r="H37" s="61" t="str">
        <f t="shared" si="1"/>
        <v>High</v>
      </c>
      <c r="I37" s="57" t="s">
        <v>352</v>
      </c>
      <c r="J37" s="61" t="s">
        <v>926</v>
      </c>
      <c r="K37" s="61" t="s">
        <v>104</v>
      </c>
      <c r="L37" s="57" t="s">
        <v>950</v>
      </c>
      <c r="M37" s="61" t="s">
        <v>42</v>
      </c>
      <c r="N37" s="61" t="s">
        <v>127</v>
      </c>
      <c r="O37" s="61" t="s">
        <v>423</v>
      </c>
      <c r="P37" s="61">
        <v>65.0</v>
      </c>
      <c r="Q37" s="57" t="str">
        <f t="array" ref="Q37">IF(P37="","-",IFERROR(INDEX('Threat Atlas'!$C$6:$C$300,MATCH(P37,'Threat Atlas'!$A$6:$A$300,0)),"not found"))</f>
        <v>Olchawa, Starcik, Fradique &amp; Boulaich (2025)</v>
      </c>
      <c r="R37" s="57" t="s">
        <v>144</v>
      </c>
      <c r="S37" s="57" t="s">
        <v>786</v>
      </c>
      <c r="T37" s="69" t="s">
        <v>964</v>
      </c>
      <c r="U37" s="50" t="s">
        <v>161</v>
      </c>
      <c r="V37" s="50"/>
      <c r="W37" s="55" t="s">
        <v>176</v>
      </c>
      <c r="X37" s="50" t="s">
        <v>946</v>
      </c>
      <c r="Y37" s="50" t="s">
        <v>448</v>
      </c>
      <c r="Z37" s="71" t="s">
        <v>186</v>
      </c>
    </row>
    <row r="38" ht="51.75" customHeight="1">
      <c r="A38" s="28">
        <v>33.0</v>
      </c>
      <c r="B38" s="29" t="s">
        <v>972</v>
      </c>
      <c r="C38" s="34" t="s">
        <v>783</v>
      </c>
      <c r="D38" s="21" t="s">
        <v>916</v>
      </c>
      <c r="E38" s="21" t="s">
        <v>420</v>
      </c>
      <c r="F38" s="21" t="s">
        <v>973</v>
      </c>
      <c r="G38" s="35">
        <v>9.8</v>
      </c>
      <c r="H38" s="22" t="str">
        <f t="shared" si="1"/>
        <v>Critical</v>
      </c>
      <c r="I38" s="21" t="s">
        <v>352</v>
      </c>
      <c r="J38" s="22" t="s">
        <v>926</v>
      </c>
      <c r="K38" s="22" t="s">
        <v>104</v>
      </c>
      <c r="L38" s="21" t="s">
        <v>974</v>
      </c>
      <c r="M38" s="22" t="s">
        <v>42</v>
      </c>
      <c r="N38" s="22" t="s">
        <v>127</v>
      </c>
      <c r="O38" s="22" t="s">
        <v>423</v>
      </c>
      <c r="P38" s="22">
        <v>65.0</v>
      </c>
      <c r="Q38" s="21" t="str">
        <f t="array" ref="Q38">IF(P38="","-",IFERROR(INDEX('Threat Atlas'!$C$6:$C$300,MATCH(P38,'Threat Atlas'!$A$6:$A$300,0)),"not found"))</f>
        <v>Olchawa, Starcik, Fradique &amp; Boulaich (2025)</v>
      </c>
      <c r="R38" s="21" t="s">
        <v>144</v>
      </c>
      <c r="S38" s="21" t="s">
        <v>786</v>
      </c>
      <c r="T38" s="48" t="s">
        <v>985</v>
      </c>
      <c r="U38" s="28" t="s">
        <v>161</v>
      </c>
      <c r="V38" s="28"/>
      <c r="W38" s="34" t="s">
        <v>176</v>
      </c>
      <c r="X38" s="28" t="s">
        <v>946</v>
      </c>
      <c r="Y38" s="28" t="s">
        <v>448</v>
      </c>
      <c r="Z38" s="23" t="s">
        <v>186</v>
      </c>
    </row>
    <row r="39" ht="51.75" customHeight="1">
      <c r="A39" s="50">
        <v>34.0</v>
      </c>
      <c r="B39" s="52" t="s">
        <v>996</v>
      </c>
      <c r="C39" s="55" t="s">
        <v>783</v>
      </c>
      <c r="D39" s="57" t="s">
        <v>916</v>
      </c>
      <c r="E39" s="57" t="s">
        <v>420</v>
      </c>
      <c r="F39" s="57" t="s">
        <v>997</v>
      </c>
      <c r="G39" s="58">
        <v>7.5</v>
      </c>
      <c r="H39" s="61" t="str">
        <f t="shared" si="1"/>
        <v>High</v>
      </c>
      <c r="I39" s="57" t="s">
        <v>352</v>
      </c>
      <c r="J39" s="61" t="s">
        <v>926</v>
      </c>
      <c r="K39" s="61" t="s">
        <v>104</v>
      </c>
      <c r="L39" s="57" t="s">
        <v>998</v>
      </c>
      <c r="M39" s="61" t="s">
        <v>42</v>
      </c>
      <c r="N39" s="61" t="s">
        <v>127</v>
      </c>
      <c r="O39" s="61" t="s">
        <v>423</v>
      </c>
      <c r="P39" s="61">
        <v>65.0</v>
      </c>
      <c r="Q39" s="57" t="str">
        <f t="array" ref="Q39">IF(P39="","-",IFERROR(INDEX('Threat Atlas'!$C$6:$C$300,MATCH(P39,'Threat Atlas'!$A$6:$A$300,0)),"not found"))</f>
        <v>Olchawa, Starcik, Fradique &amp; Boulaich (2025)</v>
      </c>
      <c r="R39" s="57" t="s">
        <v>144</v>
      </c>
      <c r="S39" s="57" t="s">
        <v>786</v>
      </c>
      <c r="T39" s="69" t="s">
        <v>1010</v>
      </c>
      <c r="U39" s="50" t="s">
        <v>161</v>
      </c>
      <c r="V39" s="50"/>
      <c r="W39" s="55" t="s">
        <v>176</v>
      </c>
      <c r="X39" s="50" t="s">
        <v>946</v>
      </c>
      <c r="Y39" s="50" t="s">
        <v>448</v>
      </c>
      <c r="Z39" s="71" t="s">
        <v>186</v>
      </c>
    </row>
    <row r="40" ht="63.0" customHeight="1">
      <c r="A40" s="28">
        <v>35.0</v>
      </c>
      <c r="B40" s="29" t="s">
        <v>1024</v>
      </c>
      <c r="C40" s="34" t="s">
        <v>490</v>
      </c>
      <c r="D40" s="21" t="s">
        <v>1025</v>
      </c>
      <c r="E40" s="21" t="s">
        <v>1026</v>
      </c>
      <c r="F40" s="21" t="s">
        <v>564</v>
      </c>
      <c r="G40" s="35">
        <v>9.8</v>
      </c>
      <c r="H40" s="22" t="str">
        <f t="shared" si="1"/>
        <v>Critical</v>
      </c>
      <c r="I40" s="21" t="s">
        <v>352</v>
      </c>
      <c r="J40" s="22" t="s">
        <v>926</v>
      </c>
      <c r="K40" s="22" t="s">
        <v>104</v>
      </c>
      <c r="L40" s="21" t="s">
        <v>1027</v>
      </c>
      <c r="M40" s="22" t="s">
        <v>121</v>
      </c>
      <c r="N40" s="22" t="s">
        <v>123</v>
      </c>
      <c r="O40" s="22" t="s">
        <v>423</v>
      </c>
      <c r="P40" s="22">
        <v>65.0</v>
      </c>
      <c r="Q40" s="21" t="str">
        <f t="array" ref="Q40">IF(P40="","-",IFERROR(INDEX('Threat Atlas'!$C$6:$C$300,MATCH(P40,'Threat Atlas'!$A$6:$A$300,0)),"not found"))</f>
        <v>Olchawa, Starcik, Fradique &amp; Boulaich (2025)</v>
      </c>
      <c r="R40" s="21" t="s">
        <v>144</v>
      </c>
      <c r="S40" s="21" t="s">
        <v>753</v>
      </c>
      <c r="T40" s="48" t="s">
        <v>1036</v>
      </c>
      <c r="U40" s="28" t="s">
        <v>161</v>
      </c>
      <c r="V40" s="28"/>
      <c r="W40" s="34" t="s">
        <v>443</v>
      </c>
      <c r="X40" s="28" t="s">
        <v>506</v>
      </c>
      <c r="Y40" s="28" t="s">
        <v>448</v>
      </c>
      <c r="Z40" s="23" t="s">
        <v>462</v>
      </c>
    </row>
    <row r="41" ht="63.0" customHeight="1">
      <c r="A41" s="50">
        <v>36.0</v>
      </c>
      <c r="B41" s="52" t="s">
        <v>1053</v>
      </c>
      <c r="C41" s="55" t="s">
        <v>490</v>
      </c>
      <c r="D41" s="57" t="s">
        <v>1025</v>
      </c>
      <c r="E41" s="57" t="s">
        <v>1026</v>
      </c>
      <c r="F41" s="57" t="s">
        <v>496</v>
      </c>
      <c r="G41" s="58">
        <v>6.1</v>
      </c>
      <c r="H41" s="61" t="str">
        <f t="shared" si="1"/>
        <v>Medium</v>
      </c>
      <c r="I41" s="57" t="s">
        <v>352</v>
      </c>
      <c r="J41" s="61" t="s">
        <v>926</v>
      </c>
      <c r="K41" s="61" t="s">
        <v>104</v>
      </c>
      <c r="L41" s="57" t="s">
        <v>1054</v>
      </c>
      <c r="M41" s="61" t="s">
        <v>121</v>
      </c>
      <c r="N41" s="61" t="s">
        <v>123</v>
      </c>
      <c r="O41" s="61" t="s">
        <v>423</v>
      </c>
      <c r="P41" s="61">
        <v>65.0</v>
      </c>
      <c r="Q41" s="57" t="str">
        <f t="array" ref="Q41">IF(P41="","-",IFERROR(INDEX('Threat Atlas'!$C$6:$C$300,MATCH(P41,'Threat Atlas'!$A$6:$A$300,0)),"not found"))</f>
        <v>Olchawa, Starcik, Fradique &amp; Boulaich (2025)</v>
      </c>
      <c r="R41" s="57" t="s">
        <v>144</v>
      </c>
      <c r="S41" s="57" t="s">
        <v>753</v>
      </c>
      <c r="T41" s="69" t="s">
        <v>1063</v>
      </c>
      <c r="U41" s="50" t="s">
        <v>161</v>
      </c>
      <c r="V41" s="50"/>
      <c r="W41" s="55" t="s">
        <v>443</v>
      </c>
      <c r="X41" s="50" t="s">
        <v>506</v>
      </c>
      <c r="Y41" s="50" t="s">
        <v>448</v>
      </c>
      <c r="Z41" s="71" t="s">
        <v>462</v>
      </c>
    </row>
    <row r="42" ht="51.75" customHeight="1">
      <c r="A42" s="28">
        <v>37.0</v>
      </c>
      <c r="B42" s="29" t="s">
        <v>1069</v>
      </c>
      <c r="C42" s="34" t="s">
        <v>783</v>
      </c>
      <c r="D42" s="21" t="s">
        <v>1071</v>
      </c>
      <c r="E42" s="21" t="s">
        <v>1026</v>
      </c>
      <c r="F42" s="21" t="s">
        <v>350</v>
      </c>
      <c r="G42" s="35">
        <v>9.8</v>
      </c>
      <c r="H42" s="22" t="str">
        <f t="shared" si="1"/>
        <v>Critical</v>
      </c>
      <c r="I42" s="21" t="s">
        <v>352</v>
      </c>
      <c r="J42" s="22" t="s">
        <v>926</v>
      </c>
      <c r="K42" s="22" t="s">
        <v>104</v>
      </c>
      <c r="L42" s="21" t="s">
        <v>1077</v>
      </c>
      <c r="M42" s="22" t="s">
        <v>42</v>
      </c>
      <c r="N42" s="22" t="s">
        <v>127</v>
      </c>
      <c r="O42" s="22" t="s">
        <v>423</v>
      </c>
      <c r="P42" s="22">
        <v>65.0</v>
      </c>
      <c r="Q42" s="21" t="str">
        <f t="array" ref="Q42">IF(P42="","-",IFERROR(INDEX('Threat Atlas'!$C$6:$C$300,MATCH(P42,'Threat Atlas'!$A$6:$A$300,0)),"not found"))</f>
        <v>Olchawa, Starcik, Fradique &amp; Boulaich (2025)</v>
      </c>
      <c r="R42" s="21" t="s">
        <v>144</v>
      </c>
      <c r="S42" s="21" t="s">
        <v>786</v>
      </c>
      <c r="T42" s="48" t="s">
        <v>1080</v>
      </c>
      <c r="U42" s="28" t="s">
        <v>161</v>
      </c>
      <c r="V42" s="28"/>
      <c r="W42" s="34" t="s">
        <v>176</v>
      </c>
      <c r="X42" s="28" t="s">
        <v>946</v>
      </c>
      <c r="Y42" s="28" t="s">
        <v>448</v>
      </c>
      <c r="Z42" s="23" t="s">
        <v>186</v>
      </c>
    </row>
    <row r="43" ht="63.0" customHeight="1">
      <c r="A43" s="50">
        <v>38.0</v>
      </c>
      <c r="B43" s="52" t="s">
        <v>1093</v>
      </c>
      <c r="C43" s="55" t="s">
        <v>490</v>
      </c>
      <c r="D43" s="57" t="s">
        <v>1094</v>
      </c>
      <c r="E43" s="57" t="s">
        <v>1095</v>
      </c>
      <c r="F43" s="57" t="s">
        <v>1096</v>
      </c>
      <c r="G43" s="58">
        <v>9.8</v>
      </c>
      <c r="H43" s="61" t="str">
        <f t="shared" si="1"/>
        <v>Critical</v>
      </c>
      <c r="I43" s="57" t="s">
        <v>352</v>
      </c>
      <c r="J43" s="61" t="s">
        <v>1099</v>
      </c>
      <c r="K43" s="61" t="s">
        <v>104</v>
      </c>
      <c r="L43" s="57" t="s">
        <v>1101</v>
      </c>
      <c r="M43" s="61" t="s">
        <v>121</v>
      </c>
      <c r="N43" s="61" t="s">
        <v>123</v>
      </c>
      <c r="O43" s="61" t="s">
        <v>423</v>
      </c>
      <c r="P43" s="61">
        <v>65.0</v>
      </c>
      <c r="Q43" s="57" t="str">
        <f t="array" ref="Q43">IF(P43="","-",IFERROR(INDEX('Threat Atlas'!$C$6:$C$300,MATCH(P43,'Threat Atlas'!$A$6:$A$300,0)),"not found"))</f>
        <v>Olchawa, Starcik, Fradique &amp; Boulaich (2025)</v>
      </c>
      <c r="R43" s="57" t="s">
        <v>144</v>
      </c>
      <c r="S43" s="57" t="s">
        <v>753</v>
      </c>
      <c r="T43" s="69" t="s">
        <v>1107</v>
      </c>
      <c r="U43" s="50" t="s">
        <v>161</v>
      </c>
      <c r="V43" s="50"/>
      <c r="W43" s="55" t="s">
        <v>443</v>
      </c>
      <c r="X43" s="50" t="s">
        <v>506</v>
      </c>
      <c r="Y43" s="50" t="s">
        <v>448</v>
      </c>
      <c r="Z43" s="71" t="s">
        <v>462</v>
      </c>
    </row>
    <row r="44" ht="63.0" customHeight="1">
      <c r="A44" s="28">
        <v>39.0</v>
      </c>
      <c r="B44" s="29" t="s">
        <v>1111</v>
      </c>
      <c r="C44" s="34" t="s">
        <v>490</v>
      </c>
      <c r="D44" s="21" t="s">
        <v>1094</v>
      </c>
      <c r="E44" s="21" t="s">
        <v>1095</v>
      </c>
      <c r="F44" s="21" t="s">
        <v>1112</v>
      </c>
      <c r="G44" s="35">
        <v>7.5</v>
      </c>
      <c r="H44" s="22" t="str">
        <f t="shared" si="1"/>
        <v>High</v>
      </c>
      <c r="I44" s="21" t="s">
        <v>352</v>
      </c>
      <c r="J44" s="22" t="s">
        <v>1099</v>
      </c>
      <c r="K44" s="22" t="s">
        <v>104</v>
      </c>
      <c r="L44" s="21" t="s">
        <v>1113</v>
      </c>
      <c r="M44" s="22" t="s">
        <v>121</v>
      </c>
      <c r="N44" s="22" t="s">
        <v>123</v>
      </c>
      <c r="O44" s="22" t="s">
        <v>423</v>
      </c>
      <c r="P44" s="22">
        <v>65.0</v>
      </c>
      <c r="Q44" s="21" t="str">
        <f t="array" ref="Q44">IF(P44="","-",IFERROR(INDEX('Threat Atlas'!$C$6:$C$300,MATCH(P44,'Threat Atlas'!$A$6:$A$300,0)),"not found"))</f>
        <v>Olchawa, Starcik, Fradique &amp; Boulaich (2025)</v>
      </c>
      <c r="R44" s="21" t="s">
        <v>144</v>
      </c>
      <c r="S44" s="21" t="s">
        <v>753</v>
      </c>
      <c r="T44" s="48" t="s">
        <v>1127</v>
      </c>
      <c r="U44" s="28" t="s">
        <v>161</v>
      </c>
      <c r="V44" s="28"/>
      <c r="W44" s="34" t="s">
        <v>443</v>
      </c>
      <c r="X44" s="28" t="s">
        <v>506</v>
      </c>
      <c r="Y44" s="28" t="s">
        <v>448</v>
      </c>
      <c r="Z44" s="23" t="s">
        <v>462</v>
      </c>
    </row>
    <row r="45" ht="63.0" customHeight="1">
      <c r="A45" s="50">
        <v>40.0</v>
      </c>
      <c r="B45" s="52" t="s">
        <v>1136</v>
      </c>
      <c r="C45" s="55" t="s">
        <v>490</v>
      </c>
      <c r="D45" s="57" t="s">
        <v>1094</v>
      </c>
      <c r="E45" s="57" t="s">
        <v>1095</v>
      </c>
      <c r="F45" s="57" t="s">
        <v>1112</v>
      </c>
      <c r="G45" s="58">
        <v>7.5</v>
      </c>
      <c r="H45" s="61" t="str">
        <f t="shared" si="1"/>
        <v>High</v>
      </c>
      <c r="I45" s="57" t="s">
        <v>352</v>
      </c>
      <c r="J45" s="61" t="s">
        <v>1099</v>
      </c>
      <c r="K45" s="61" t="s">
        <v>104</v>
      </c>
      <c r="L45" s="57" t="s">
        <v>1139</v>
      </c>
      <c r="M45" s="61" t="s">
        <v>121</v>
      </c>
      <c r="N45" s="61" t="s">
        <v>123</v>
      </c>
      <c r="O45" s="61" t="s">
        <v>423</v>
      </c>
      <c r="P45" s="61">
        <v>65.0</v>
      </c>
      <c r="Q45" s="57" t="str">
        <f t="array" ref="Q45">IF(P45="","-",IFERROR(INDEX('Threat Atlas'!$C$6:$C$300,MATCH(P45,'Threat Atlas'!$A$6:$A$300,0)),"not found"))</f>
        <v>Olchawa, Starcik, Fradique &amp; Boulaich (2025)</v>
      </c>
      <c r="R45" s="57" t="s">
        <v>144</v>
      </c>
      <c r="S45" s="57" t="s">
        <v>753</v>
      </c>
      <c r="T45" s="69" t="s">
        <v>1146</v>
      </c>
      <c r="U45" s="50" t="s">
        <v>161</v>
      </c>
      <c r="V45" s="50"/>
      <c r="W45" s="55" t="s">
        <v>443</v>
      </c>
      <c r="X45" s="50" t="s">
        <v>506</v>
      </c>
      <c r="Y45" s="50" t="s">
        <v>448</v>
      </c>
      <c r="Z45" s="71" t="s">
        <v>462</v>
      </c>
    </row>
    <row r="46" ht="63.0" customHeight="1">
      <c r="A46" s="28">
        <v>41.0</v>
      </c>
      <c r="B46" s="29" t="s">
        <v>1151</v>
      </c>
      <c r="C46" s="34" t="s">
        <v>490</v>
      </c>
      <c r="D46" s="21" t="s">
        <v>1094</v>
      </c>
      <c r="E46" s="21" t="s">
        <v>1095</v>
      </c>
      <c r="F46" s="21" t="s">
        <v>1112</v>
      </c>
      <c r="G46" s="35">
        <v>7.5</v>
      </c>
      <c r="H46" s="22" t="str">
        <f t="shared" si="1"/>
        <v>High</v>
      </c>
      <c r="I46" s="21" t="s">
        <v>352</v>
      </c>
      <c r="J46" s="22" t="s">
        <v>1099</v>
      </c>
      <c r="K46" s="22" t="s">
        <v>104</v>
      </c>
      <c r="L46" s="21" t="s">
        <v>1155</v>
      </c>
      <c r="M46" s="22" t="s">
        <v>121</v>
      </c>
      <c r="N46" s="22" t="s">
        <v>123</v>
      </c>
      <c r="O46" s="22" t="s">
        <v>423</v>
      </c>
      <c r="P46" s="22">
        <v>65.0</v>
      </c>
      <c r="Q46" s="21" t="str">
        <f t="array" ref="Q46">IF(P46="","-",IFERROR(INDEX('Threat Atlas'!$C$6:$C$300,MATCH(P46,'Threat Atlas'!$A$6:$A$300,0)),"not found"))</f>
        <v>Olchawa, Starcik, Fradique &amp; Boulaich (2025)</v>
      </c>
      <c r="R46" s="21" t="s">
        <v>144</v>
      </c>
      <c r="S46" s="21" t="s">
        <v>753</v>
      </c>
      <c r="T46" s="48" t="s">
        <v>1161</v>
      </c>
      <c r="U46" s="28" t="s">
        <v>161</v>
      </c>
      <c r="V46" s="28"/>
      <c r="W46" s="34" t="s">
        <v>443</v>
      </c>
      <c r="X46" s="28" t="s">
        <v>506</v>
      </c>
      <c r="Y46" s="28" t="s">
        <v>448</v>
      </c>
      <c r="Z46" s="23" t="s">
        <v>462</v>
      </c>
    </row>
    <row r="47" ht="63.0" customHeight="1">
      <c r="A47" s="50">
        <v>42.0</v>
      </c>
      <c r="B47" s="52" t="s">
        <v>1176</v>
      </c>
      <c r="C47" s="55" t="s">
        <v>490</v>
      </c>
      <c r="D47" s="57" t="s">
        <v>1094</v>
      </c>
      <c r="E47" s="57" t="s">
        <v>1095</v>
      </c>
      <c r="F47" s="57" t="s">
        <v>1112</v>
      </c>
      <c r="G47" s="58">
        <v>7.5</v>
      </c>
      <c r="H47" s="61" t="str">
        <f t="shared" si="1"/>
        <v>High</v>
      </c>
      <c r="I47" s="57" t="s">
        <v>352</v>
      </c>
      <c r="J47" s="61" t="s">
        <v>1099</v>
      </c>
      <c r="K47" s="61" t="s">
        <v>104</v>
      </c>
      <c r="L47" s="57" t="s">
        <v>1177</v>
      </c>
      <c r="M47" s="61" t="s">
        <v>121</v>
      </c>
      <c r="N47" s="61" t="s">
        <v>123</v>
      </c>
      <c r="O47" s="61" t="s">
        <v>423</v>
      </c>
      <c r="P47" s="61">
        <v>65.0</v>
      </c>
      <c r="Q47" s="57" t="str">
        <f t="array" ref="Q47">IF(P47="","-",IFERROR(INDEX('Threat Atlas'!$C$6:$C$300,MATCH(P47,'Threat Atlas'!$A$6:$A$300,0)),"not found"))</f>
        <v>Olchawa, Starcik, Fradique &amp; Boulaich (2025)</v>
      </c>
      <c r="R47" s="57" t="s">
        <v>144</v>
      </c>
      <c r="S47" s="57" t="s">
        <v>753</v>
      </c>
      <c r="T47" s="69" t="s">
        <v>1180</v>
      </c>
      <c r="U47" s="50" t="s">
        <v>161</v>
      </c>
      <c r="V47" s="50"/>
      <c r="W47" s="55" t="s">
        <v>443</v>
      </c>
      <c r="X47" s="50" t="s">
        <v>506</v>
      </c>
      <c r="Y47" s="50" t="s">
        <v>448</v>
      </c>
      <c r="Z47" s="71" t="s">
        <v>462</v>
      </c>
    </row>
    <row r="48" ht="63.0" customHeight="1">
      <c r="A48" s="28">
        <v>43.0</v>
      </c>
      <c r="B48" s="29" t="s">
        <v>1191</v>
      </c>
      <c r="C48" s="34" t="s">
        <v>490</v>
      </c>
      <c r="D48" s="21" t="s">
        <v>1094</v>
      </c>
      <c r="E48" s="21" t="s">
        <v>1192</v>
      </c>
      <c r="F48" s="21" t="s">
        <v>1193</v>
      </c>
      <c r="G48" s="35">
        <v>7.3</v>
      </c>
      <c r="H48" s="22" t="str">
        <f t="shared" si="1"/>
        <v>High</v>
      </c>
      <c r="I48" s="21" t="s">
        <v>352</v>
      </c>
      <c r="J48" s="22" t="s">
        <v>1099</v>
      </c>
      <c r="K48" s="22" t="s">
        <v>104</v>
      </c>
      <c r="L48" s="21" t="s">
        <v>1197</v>
      </c>
      <c r="M48" s="22" t="s">
        <v>121</v>
      </c>
      <c r="N48" s="22" t="s">
        <v>123</v>
      </c>
      <c r="O48" s="22" t="s">
        <v>423</v>
      </c>
      <c r="P48" s="22">
        <v>65.0</v>
      </c>
      <c r="Q48" s="21" t="str">
        <f t="array" ref="Q48">IF(P48="","-",IFERROR(INDEX('Threat Atlas'!$C$6:$C$300,MATCH(P48,'Threat Atlas'!$A$6:$A$300,0)),"not found"))</f>
        <v>Olchawa, Starcik, Fradique &amp; Boulaich (2025)</v>
      </c>
      <c r="R48" s="21" t="s">
        <v>144</v>
      </c>
      <c r="S48" s="21" t="s">
        <v>502</v>
      </c>
      <c r="T48" s="48" t="s">
        <v>1209</v>
      </c>
      <c r="U48" s="28" t="s">
        <v>161</v>
      </c>
      <c r="V48" s="28"/>
      <c r="W48" s="34" t="s">
        <v>443</v>
      </c>
      <c r="X48" s="28" t="s">
        <v>506</v>
      </c>
      <c r="Y48" s="28" t="s">
        <v>448</v>
      </c>
      <c r="Z48" s="23" t="s">
        <v>462</v>
      </c>
    </row>
    <row r="49" ht="51.75" customHeight="1">
      <c r="A49" s="50">
        <v>44.0</v>
      </c>
      <c r="B49" s="52" t="s">
        <v>1213</v>
      </c>
      <c r="C49" s="55" t="s">
        <v>1075</v>
      </c>
      <c r="D49" s="57" t="s">
        <v>1218</v>
      </c>
      <c r="E49" s="57" t="s">
        <v>1220</v>
      </c>
      <c r="F49" s="57" t="s">
        <v>1221</v>
      </c>
      <c r="G49" s="58">
        <v>7.5</v>
      </c>
      <c r="H49" s="61" t="str">
        <f t="shared" si="1"/>
        <v>High</v>
      </c>
      <c r="I49" s="57" t="s">
        <v>352</v>
      </c>
      <c r="J49" s="61" t="s">
        <v>1225</v>
      </c>
      <c r="K49" s="61" t="s">
        <v>104</v>
      </c>
      <c r="L49" s="57" t="s">
        <v>1226</v>
      </c>
      <c r="M49" s="61" t="s">
        <v>197</v>
      </c>
      <c r="N49" s="61" t="s">
        <v>127</v>
      </c>
      <c r="O49" s="61" t="s">
        <v>423</v>
      </c>
      <c r="P49" s="61">
        <v>65.0</v>
      </c>
      <c r="Q49" s="57" t="str">
        <f t="array" ref="Q49">IF(P49="","-",IFERROR(INDEX('Threat Atlas'!$C$6:$C$300,MATCH(P49,'Threat Atlas'!$A$6:$A$300,0)),"not found"))</f>
        <v>Olchawa, Starcik, Fradique &amp; Boulaich (2025)</v>
      </c>
      <c r="R49" s="57" t="s">
        <v>144</v>
      </c>
      <c r="S49" s="57" t="s">
        <v>786</v>
      </c>
      <c r="T49" s="69" t="s">
        <v>1235</v>
      </c>
      <c r="U49" s="50" t="s">
        <v>161</v>
      </c>
      <c r="V49" s="50"/>
      <c r="W49" s="55" t="s">
        <v>1244</v>
      </c>
      <c r="X49" s="50" t="s">
        <v>1245</v>
      </c>
      <c r="Y49" s="50" t="s">
        <v>448</v>
      </c>
      <c r="Z49" s="71" t="s">
        <v>1246</v>
      </c>
    </row>
    <row r="50" ht="51.75" customHeight="1">
      <c r="A50" s="28">
        <v>45.0</v>
      </c>
      <c r="B50" s="29" t="s">
        <v>1247</v>
      </c>
      <c r="C50" s="34" t="s">
        <v>1075</v>
      </c>
      <c r="D50" s="21" t="s">
        <v>1218</v>
      </c>
      <c r="E50" s="21" t="s">
        <v>1220</v>
      </c>
      <c r="F50" s="21" t="s">
        <v>1221</v>
      </c>
      <c r="G50" s="35">
        <v>7.5</v>
      </c>
      <c r="H50" s="22" t="str">
        <f t="shared" si="1"/>
        <v>High</v>
      </c>
      <c r="I50" s="21" t="s">
        <v>352</v>
      </c>
      <c r="J50" s="22" t="s">
        <v>1225</v>
      </c>
      <c r="K50" s="22" t="s">
        <v>104</v>
      </c>
      <c r="L50" s="21" t="s">
        <v>1248</v>
      </c>
      <c r="M50" s="22" t="s">
        <v>197</v>
      </c>
      <c r="N50" s="22" t="s">
        <v>127</v>
      </c>
      <c r="O50" s="22" t="s">
        <v>423</v>
      </c>
      <c r="P50" s="22">
        <v>65.0</v>
      </c>
      <c r="Q50" s="21" t="str">
        <f t="array" ref="Q50">IF(P50="","-",IFERROR(INDEX('Threat Atlas'!$C$6:$C$300,MATCH(P50,'Threat Atlas'!$A$6:$A$300,0)),"not found"))</f>
        <v>Olchawa, Starcik, Fradique &amp; Boulaich (2025)</v>
      </c>
      <c r="R50" s="21" t="s">
        <v>144</v>
      </c>
      <c r="S50" s="21" t="s">
        <v>786</v>
      </c>
      <c r="T50" s="48" t="s">
        <v>1250</v>
      </c>
      <c r="U50" s="28" t="s">
        <v>161</v>
      </c>
      <c r="V50" s="28"/>
      <c r="W50" s="34" t="s">
        <v>1244</v>
      </c>
      <c r="X50" s="28" t="s">
        <v>1245</v>
      </c>
      <c r="Y50" s="28" t="s">
        <v>448</v>
      </c>
      <c r="Z50" s="23" t="s">
        <v>1246</v>
      </c>
    </row>
    <row r="51" ht="51.75" customHeight="1">
      <c r="A51" s="50">
        <v>46.0</v>
      </c>
      <c r="B51" s="52" t="s">
        <v>1257</v>
      </c>
      <c r="C51" s="55" t="s">
        <v>1075</v>
      </c>
      <c r="D51" s="57" t="s">
        <v>1218</v>
      </c>
      <c r="E51" s="57" t="s">
        <v>1220</v>
      </c>
      <c r="F51" s="57" t="s">
        <v>1221</v>
      </c>
      <c r="G51" s="58">
        <v>7.5</v>
      </c>
      <c r="H51" s="61" t="str">
        <f t="shared" si="1"/>
        <v>High</v>
      </c>
      <c r="I51" s="57" t="s">
        <v>352</v>
      </c>
      <c r="J51" s="61" t="s">
        <v>1225</v>
      </c>
      <c r="K51" s="61" t="s">
        <v>104</v>
      </c>
      <c r="L51" s="57" t="s">
        <v>1258</v>
      </c>
      <c r="M51" s="61" t="s">
        <v>197</v>
      </c>
      <c r="N51" s="61" t="s">
        <v>127</v>
      </c>
      <c r="O51" s="61" t="s">
        <v>423</v>
      </c>
      <c r="P51" s="61">
        <v>65.0</v>
      </c>
      <c r="Q51" s="57" t="str">
        <f t="array" ref="Q51">IF(P51="","-",IFERROR(INDEX('Threat Atlas'!$C$6:$C$300,MATCH(P51,'Threat Atlas'!$A$6:$A$300,0)),"not found"))</f>
        <v>Olchawa, Starcik, Fradique &amp; Boulaich (2025)</v>
      </c>
      <c r="R51" s="57" t="s">
        <v>144</v>
      </c>
      <c r="S51" s="57" t="s">
        <v>786</v>
      </c>
      <c r="T51" s="69" t="s">
        <v>1266</v>
      </c>
      <c r="U51" s="50" t="s">
        <v>161</v>
      </c>
      <c r="V51" s="50"/>
      <c r="W51" s="55" t="s">
        <v>1244</v>
      </c>
      <c r="X51" s="50" t="s">
        <v>1245</v>
      </c>
      <c r="Y51" s="50" t="s">
        <v>448</v>
      </c>
      <c r="Z51" s="71" t="s">
        <v>1246</v>
      </c>
    </row>
    <row r="52" ht="51.75" customHeight="1">
      <c r="A52" s="28">
        <v>47.0</v>
      </c>
      <c r="B52" s="29" t="s">
        <v>1269</v>
      </c>
      <c r="C52" s="34" t="s">
        <v>1075</v>
      </c>
      <c r="D52" s="21" t="s">
        <v>1218</v>
      </c>
      <c r="E52" s="21" t="s">
        <v>1270</v>
      </c>
      <c r="F52" s="21" t="s">
        <v>1271</v>
      </c>
      <c r="G52" s="35">
        <v>8.9</v>
      </c>
      <c r="H52" s="22" t="str">
        <f t="shared" si="1"/>
        <v>High</v>
      </c>
      <c r="I52" s="21" t="s">
        <v>1273</v>
      </c>
      <c r="J52" s="22" t="s">
        <v>1274</v>
      </c>
      <c r="K52" s="22" t="s">
        <v>104</v>
      </c>
      <c r="L52" s="21" t="s">
        <v>1275</v>
      </c>
      <c r="M52" s="22" t="s">
        <v>197</v>
      </c>
      <c r="N52" s="22" t="s">
        <v>127</v>
      </c>
      <c r="O52" s="22" t="s">
        <v>423</v>
      </c>
      <c r="P52" s="22">
        <v>65.0</v>
      </c>
      <c r="Q52" s="21" t="str">
        <f t="array" ref="Q52">IF(P52="","-",IFERROR(INDEX('Threat Atlas'!$C$6:$C$300,MATCH(P52,'Threat Atlas'!$A$6:$A$300,0)),"not found"))</f>
        <v>Olchawa, Starcik, Fradique &amp; Boulaich (2025)</v>
      </c>
      <c r="R52" s="21" t="s">
        <v>144</v>
      </c>
      <c r="S52" s="21" t="s">
        <v>786</v>
      </c>
      <c r="T52" s="48" t="s">
        <v>1284</v>
      </c>
      <c r="U52" s="28" t="s">
        <v>161</v>
      </c>
      <c r="V52" s="28"/>
      <c r="W52" s="34" t="s">
        <v>1244</v>
      </c>
      <c r="X52" s="28" t="s">
        <v>1245</v>
      </c>
      <c r="Y52" s="28" t="s">
        <v>448</v>
      </c>
      <c r="Z52" s="23" t="s">
        <v>1246</v>
      </c>
    </row>
    <row r="53" ht="51.75" customHeight="1">
      <c r="A53" s="50">
        <v>48.0</v>
      </c>
      <c r="B53" s="52" t="s">
        <v>1291</v>
      </c>
      <c r="C53" s="55" t="s">
        <v>1075</v>
      </c>
      <c r="D53" s="57" t="s">
        <v>1218</v>
      </c>
      <c r="E53" s="57" t="s">
        <v>1270</v>
      </c>
      <c r="F53" s="57" t="s">
        <v>1293</v>
      </c>
      <c r="G53" s="58">
        <v>5.5</v>
      </c>
      <c r="H53" s="61" t="str">
        <f t="shared" si="1"/>
        <v>Medium</v>
      </c>
      <c r="I53" s="57" t="s">
        <v>1273</v>
      </c>
      <c r="J53" s="61" t="s">
        <v>1274</v>
      </c>
      <c r="K53" s="61" t="s">
        <v>104</v>
      </c>
      <c r="L53" s="57" t="s">
        <v>1295</v>
      </c>
      <c r="M53" s="61" t="s">
        <v>197</v>
      </c>
      <c r="N53" s="61" t="s">
        <v>127</v>
      </c>
      <c r="O53" s="61" t="s">
        <v>423</v>
      </c>
      <c r="P53" s="61">
        <v>65.0</v>
      </c>
      <c r="Q53" s="57" t="str">
        <f t="array" ref="Q53">IF(P53="","-",IFERROR(INDEX('Threat Atlas'!$C$6:$C$300,MATCH(P53,'Threat Atlas'!$A$6:$A$300,0)),"not found"))</f>
        <v>Olchawa, Starcik, Fradique &amp; Boulaich (2025)</v>
      </c>
      <c r="R53" s="57" t="s">
        <v>144</v>
      </c>
      <c r="S53" s="57" t="s">
        <v>786</v>
      </c>
      <c r="T53" s="69" t="s">
        <v>1298</v>
      </c>
      <c r="U53" s="50" t="s">
        <v>161</v>
      </c>
      <c r="V53" s="50"/>
      <c r="W53" s="55" t="s">
        <v>1244</v>
      </c>
      <c r="X53" s="50" t="s">
        <v>1245</v>
      </c>
      <c r="Y53" s="50" t="s">
        <v>448</v>
      </c>
      <c r="Z53" s="71" t="s">
        <v>1246</v>
      </c>
    </row>
    <row r="54" ht="51.75" customHeight="1">
      <c r="A54" s="28">
        <v>49.0</v>
      </c>
      <c r="B54" s="29" t="s">
        <v>1300</v>
      </c>
      <c r="C54" s="34" t="s">
        <v>1075</v>
      </c>
      <c r="D54" s="21" t="s">
        <v>1218</v>
      </c>
      <c r="E54" s="21" t="s">
        <v>1270</v>
      </c>
      <c r="F54" s="21" t="s">
        <v>1306</v>
      </c>
      <c r="G54" s="35">
        <v>8.9</v>
      </c>
      <c r="H54" s="22" t="str">
        <f t="shared" si="1"/>
        <v>High</v>
      </c>
      <c r="I54" s="21" t="s">
        <v>1273</v>
      </c>
      <c r="J54" s="22" t="s">
        <v>1274</v>
      </c>
      <c r="K54" s="22" t="s">
        <v>104</v>
      </c>
      <c r="L54" s="21" t="s">
        <v>1309</v>
      </c>
      <c r="M54" s="22" t="s">
        <v>197</v>
      </c>
      <c r="N54" s="22" t="s">
        <v>127</v>
      </c>
      <c r="O54" s="22" t="s">
        <v>423</v>
      </c>
      <c r="P54" s="22">
        <v>65.0</v>
      </c>
      <c r="Q54" s="21" t="str">
        <f t="array" ref="Q54">IF(P54="","-",IFERROR(INDEX('Threat Atlas'!$C$6:$C$300,MATCH(P54,'Threat Atlas'!$A$6:$A$300,0)),"not found"))</f>
        <v>Olchawa, Starcik, Fradique &amp; Boulaich (2025)</v>
      </c>
      <c r="R54" s="21" t="s">
        <v>144</v>
      </c>
      <c r="S54" s="21" t="s">
        <v>786</v>
      </c>
      <c r="T54" s="48" t="s">
        <v>1316</v>
      </c>
      <c r="U54" s="28" t="s">
        <v>161</v>
      </c>
      <c r="V54" s="28"/>
      <c r="W54" s="34" t="s">
        <v>1244</v>
      </c>
      <c r="X54" s="28" t="s">
        <v>1245</v>
      </c>
      <c r="Y54" s="28" t="s">
        <v>448</v>
      </c>
      <c r="Z54" s="23" t="s">
        <v>1246</v>
      </c>
    </row>
    <row r="55" ht="51.75" customHeight="1">
      <c r="A55" s="50">
        <v>50.0</v>
      </c>
      <c r="B55" s="52" t="s">
        <v>1319</v>
      </c>
      <c r="C55" s="55" t="s">
        <v>1075</v>
      </c>
      <c r="D55" s="57" t="s">
        <v>1218</v>
      </c>
      <c r="E55" s="57" t="s">
        <v>1270</v>
      </c>
      <c r="F55" s="57" t="s">
        <v>1320</v>
      </c>
      <c r="G55" s="58">
        <v>8.9</v>
      </c>
      <c r="H55" s="61" t="str">
        <f t="shared" si="1"/>
        <v>High</v>
      </c>
      <c r="I55" s="57" t="s">
        <v>1273</v>
      </c>
      <c r="J55" s="61" t="s">
        <v>1274</v>
      </c>
      <c r="K55" s="61" t="s">
        <v>104</v>
      </c>
      <c r="L55" s="57" t="s">
        <v>1324</v>
      </c>
      <c r="M55" s="61" t="s">
        <v>197</v>
      </c>
      <c r="N55" s="61" t="s">
        <v>127</v>
      </c>
      <c r="O55" s="61" t="s">
        <v>423</v>
      </c>
      <c r="P55" s="61">
        <v>65.0</v>
      </c>
      <c r="Q55" s="57" t="str">
        <f t="array" ref="Q55">IF(P55="","-",IFERROR(INDEX('Threat Atlas'!$C$6:$C$300,MATCH(P55,'Threat Atlas'!$A$6:$A$300,0)),"not found"))</f>
        <v>Olchawa, Starcik, Fradique &amp; Boulaich (2025)</v>
      </c>
      <c r="R55" s="57" t="s">
        <v>144</v>
      </c>
      <c r="S55" s="57" t="s">
        <v>786</v>
      </c>
      <c r="T55" s="69" t="s">
        <v>1331</v>
      </c>
      <c r="U55" s="50" t="s">
        <v>161</v>
      </c>
      <c r="V55" s="50"/>
      <c r="W55" s="55" t="s">
        <v>1244</v>
      </c>
      <c r="X55" s="50" t="s">
        <v>1245</v>
      </c>
      <c r="Y55" s="50" t="s">
        <v>448</v>
      </c>
      <c r="Z55" s="71" t="s">
        <v>1246</v>
      </c>
    </row>
    <row r="56" ht="51.75" customHeight="1">
      <c r="A56" s="28">
        <v>51.0</v>
      </c>
      <c r="B56" s="29" t="s">
        <v>1340</v>
      </c>
      <c r="C56" s="34" t="s">
        <v>1075</v>
      </c>
      <c r="D56" s="21" t="s">
        <v>1218</v>
      </c>
      <c r="E56" s="21" t="s">
        <v>1270</v>
      </c>
      <c r="F56" s="21" t="s">
        <v>1341</v>
      </c>
      <c r="G56" s="35">
        <v>8.9</v>
      </c>
      <c r="H56" s="22" t="str">
        <f t="shared" si="1"/>
        <v>High</v>
      </c>
      <c r="I56" s="21" t="s">
        <v>1273</v>
      </c>
      <c r="J56" s="22" t="s">
        <v>1274</v>
      </c>
      <c r="K56" s="22" t="s">
        <v>104</v>
      </c>
      <c r="L56" s="21" t="s">
        <v>1344</v>
      </c>
      <c r="M56" s="22" t="s">
        <v>197</v>
      </c>
      <c r="N56" s="22" t="s">
        <v>127</v>
      </c>
      <c r="O56" s="22" t="s">
        <v>423</v>
      </c>
      <c r="P56" s="22">
        <v>65.0</v>
      </c>
      <c r="Q56" s="21" t="str">
        <f t="array" ref="Q56">IF(P56="","-",IFERROR(INDEX('Threat Atlas'!$C$6:$C$300,MATCH(P56,'Threat Atlas'!$A$6:$A$300,0)),"not found"))</f>
        <v>Olchawa, Starcik, Fradique &amp; Boulaich (2025)</v>
      </c>
      <c r="R56" s="21" t="s">
        <v>144</v>
      </c>
      <c r="S56" s="21" t="s">
        <v>786</v>
      </c>
      <c r="T56" s="48" t="s">
        <v>1351</v>
      </c>
      <c r="U56" s="28" t="s">
        <v>161</v>
      </c>
      <c r="V56" s="28"/>
      <c r="W56" s="34" t="s">
        <v>1244</v>
      </c>
      <c r="X56" s="28" t="s">
        <v>1245</v>
      </c>
      <c r="Y56" s="28" t="s">
        <v>448</v>
      </c>
      <c r="Z56" s="23" t="s">
        <v>1246</v>
      </c>
    </row>
    <row r="57" ht="51.75" customHeight="1">
      <c r="A57" s="50">
        <v>52.0</v>
      </c>
      <c r="B57" s="52" t="s">
        <v>1359</v>
      </c>
      <c r="C57" s="55" t="s">
        <v>1075</v>
      </c>
      <c r="D57" s="57" t="s">
        <v>1218</v>
      </c>
      <c r="E57" s="57" t="s">
        <v>1270</v>
      </c>
      <c r="F57" s="57" t="s">
        <v>1306</v>
      </c>
      <c r="G57" s="58">
        <v>9.4</v>
      </c>
      <c r="H57" s="61" t="str">
        <f t="shared" si="1"/>
        <v>Critical</v>
      </c>
      <c r="I57" s="57" t="s">
        <v>1361</v>
      </c>
      <c r="J57" s="61" t="s">
        <v>926</v>
      </c>
      <c r="K57" s="61" t="s">
        <v>104</v>
      </c>
      <c r="L57" s="57" t="s">
        <v>1362</v>
      </c>
      <c r="M57" s="61" t="s">
        <v>197</v>
      </c>
      <c r="N57" s="61" t="s">
        <v>127</v>
      </c>
      <c r="O57" s="61" t="s">
        <v>423</v>
      </c>
      <c r="P57" s="61">
        <v>65.0</v>
      </c>
      <c r="Q57" s="57" t="str">
        <f t="array" ref="Q57">IF(P57="","-",IFERROR(INDEX('Threat Atlas'!$C$6:$C$300,MATCH(P57,'Threat Atlas'!$A$6:$A$300,0)),"not found"))</f>
        <v>Olchawa, Starcik, Fradique &amp; Boulaich (2025)</v>
      </c>
      <c r="R57" s="57" t="s">
        <v>144</v>
      </c>
      <c r="S57" s="57" t="s">
        <v>786</v>
      </c>
      <c r="T57" s="69" t="s">
        <v>1364</v>
      </c>
      <c r="U57" s="50" t="s">
        <v>161</v>
      </c>
      <c r="V57" s="50"/>
      <c r="W57" s="55" t="s">
        <v>1244</v>
      </c>
      <c r="X57" s="50" t="s">
        <v>1245</v>
      </c>
      <c r="Y57" s="50" t="s">
        <v>448</v>
      </c>
      <c r="Z57" s="71" t="s">
        <v>1246</v>
      </c>
    </row>
    <row r="58" ht="51.75" customHeight="1">
      <c r="A58" s="28">
        <v>53.0</v>
      </c>
      <c r="B58" s="29" t="s">
        <v>1366</v>
      </c>
      <c r="C58" s="34" t="s">
        <v>1075</v>
      </c>
      <c r="D58" s="21" t="s">
        <v>1218</v>
      </c>
      <c r="E58" s="21" t="s">
        <v>1270</v>
      </c>
      <c r="F58" s="21" t="s">
        <v>1271</v>
      </c>
      <c r="G58" s="35">
        <v>9.3</v>
      </c>
      <c r="H58" s="22" t="str">
        <f t="shared" si="1"/>
        <v>Critical</v>
      </c>
      <c r="I58" s="21" t="s">
        <v>1273</v>
      </c>
      <c r="J58" s="22" t="s">
        <v>1374</v>
      </c>
      <c r="K58" s="22" t="s">
        <v>104</v>
      </c>
      <c r="L58" s="21" t="s">
        <v>1375</v>
      </c>
      <c r="M58" s="22" t="s">
        <v>197</v>
      </c>
      <c r="N58" s="22" t="s">
        <v>127</v>
      </c>
      <c r="O58" s="22" t="s">
        <v>423</v>
      </c>
      <c r="P58" s="22">
        <v>65.0</v>
      </c>
      <c r="Q58" s="21" t="str">
        <f t="array" ref="Q58">IF(P58="","-",IFERROR(INDEX('Threat Atlas'!$C$6:$C$300,MATCH(P58,'Threat Atlas'!$A$6:$A$300,0)),"not found"))</f>
        <v>Olchawa, Starcik, Fradique &amp; Boulaich (2025)</v>
      </c>
      <c r="R58" s="21" t="s">
        <v>144</v>
      </c>
      <c r="S58" s="21" t="s">
        <v>786</v>
      </c>
      <c r="T58" s="48" t="s">
        <v>1381</v>
      </c>
      <c r="U58" s="28" t="s">
        <v>161</v>
      </c>
      <c r="V58" s="28"/>
      <c r="W58" s="34" t="s">
        <v>1244</v>
      </c>
      <c r="X58" s="28" t="s">
        <v>1245</v>
      </c>
      <c r="Y58" s="28" t="s">
        <v>448</v>
      </c>
      <c r="Z58" s="23" t="s">
        <v>1246</v>
      </c>
    </row>
    <row r="59" ht="51.75" customHeight="1">
      <c r="A59" s="50">
        <v>54.0</v>
      </c>
      <c r="B59" s="52" t="s">
        <v>1384</v>
      </c>
      <c r="C59" s="55" t="s">
        <v>490</v>
      </c>
      <c r="D59" s="57" t="s">
        <v>1387</v>
      </c>
      <c r="E59" s="57" t="s">
        <v>1388</v>
      </c>
      <c r="F59" s="57" t="s">
        <v>1389</v>
      </c>
      <c r="G59" s="58">
        <v>3.5</v>
      </c>
      <c r="H59" s="61" t="str">
        <f t="shared" si="1"/>
        <v>Low</v>
      </c>
      <c r="I59" s="57" t="s">
        <v>1393</v>
      </c>
      <c r="J59" s="61" t="s">
        <v>1394</v>
      </c>
      <c r="K59" s="61" t="s">
        <v>104</v>
      </c>
      <c r="L59" s="57" t="s">
        <v>1396</v>
      </c>
      <c r="M59" s="61" t="s">
        <v>121</v>
      </c>
      <c r="N59" s="61" t="s">
        <v>123</v>
      </c>
      <c r="O59" s="61" t="s">
        <v>423</v>
      </c>
      <c r="P59" s="61">
        <v>65.0</v>
      </c>
      <c r="Q59" s="57" t="str">
        <f t="array" ref="Q59">IF(P59="","-",IFERROR(INDEX('Threat Atlas'!$C$6:$C$300,MATCH(P59,'Threat Atlas'!$A$6:$A$300,0)),"not found"))</f>
        <v>Olchawa, Starcik, Fradique &amp; Boulaich (2025)</v>
      </c>
      <c r="R59" s="57" t="s">
        <v>144</v>
      </c>
      <c r="S59" s="57" t="s">
        <v>1398</v>
      </c>
      <c r="T59" s="69" t="s">
        <v>1399</v>
      </c>
      <c r="U59" s="50" t="s">
        <v>161</v>
      </c>
      <c r="V59" s="50"/>
      <c r="W59" s="55" t="s">
        <v>280</v>
      </c>
      <c r="X59" s="50" t="s">
        <v>1403</v>
      </c>
      <c r="Y59" s="50" t="s">
        <v>1404</v>
      </c>
      <c r="Z59" s="71" t="s">
        <v>383</v>
      </c>
    </row>
    <row r="60" ht="51.75" customHeight="1">
      <c r="A60" s="28">
        <v>55.0</v>
      </c>
      <c r="B60" s="29" t="s">
        <v>1408</v>
      </c>
      <c r="C60" s="34" t="s">
        <v>490</v>
      </c>
      <c r="D60" s="21" t="s">
        <v>1387</v>
      </c>
      <c r="E60" s="21" t="s">
        <v>1388</v>
      </c>
      <c r="F60" s="21" t="s">
        <v>1411</v>
      </c>
      <c r="G60" s="35">
        <v>4.9</v>
      </c>
      <c r="H60" s="22" t="str">
        <f t="shared" si="1"/>
        <v>Medium</v>
      </c>
      <c r="I60" s="21" t="s">
        <v>1393</v>
      </c>
      <c r="J60" s="22" t="s">
        <v>1394</v>
      </c>
      <c r="K60" s="22" t="s">
        <v>104</v>
      </c>
      <c r="L60" s="21" t="s">
        <v>1415</v>
      </c>
      <c r="M60" s="22" t="s">
        <v>121</v>
      </c>
      <c r="N60" s="22" t="s">
        <v>123</v>
      </c>
      <c r="O60" s="22" t="s">
        <v>423</v>
      </c>
      <c r="P60" s="22">
        <v>65.0</v>
      </c>
      <c r="Q60" s="21" t="str">
        <f t="array" ref="Q60">IF(P60="","-",IFERROR(INDEX('Threat Atlas'!$C$6:$C$300,MATCH(P60,'Threat Atlas'!$A$6:$A$300,0)),"not found"))</f>
        <v>Olchawa, Starcik, Fradique &amp; Boulaich (2025)</v>
      </c>
      <c r="R60" s="21" t="s">
        <v>144</v>
      </c>
      <c r="S60" s="21" t="s">
        <v>1398</v>
      </c>
      <c r="T60" s="48" t="s">
        <v>1421</v>
      </c>
      <c r="U60" s="28" t="s">
        <v>161</v>
      </c>
      <c r="V60" s="28"/>
      <c r="W60" s="34" t="s">
        <v>280</v>
      </c>
      <c r="X60" s="28" t="s">
        <v>1403</v>
      </c>
      <c r="Y60" s="28" t="s">
        <v>1404</v>
      </c>
      <c r="Z60" s="23" t="s">
        <v>383</v>
      </c>
    </row>
    <row r="61" ht="51.75" customHeight="1">
      <c r="A61" s="50">
        <v>56.0</v>
      </c>
      <c r="B61" s="52" t="s">
        <v>1428</v>
      </c>
      <c r="C61" s="55" t="s">
        <v>490</v>
      </c>
      <c r="D61" s="57" t="s">
        <v>1387</v>
      </c>
      <c r="E61" s="57" t="s">
        <v>1388</v>
      </c>
      <c r="F61" s="57" t="s">
        <v>1430</v>
      </c>
      <c r="G61" s="58">
        <v>3.5</v>
      </c>
      <c r="H61" s="61" t="str">
        <f t="shared" si="1"/>
        <v>Low</v>
      </c>
      <c r="I61" s="57" t="s">
        <v>1393</v>
      </c>
      <c r="J61" s="61" t="s">
        <v>1394</v>
      </c>
      <c r="K61" s="61" t="s">
        <v>104</v>
      </c>
      <c r="L61" s="57" t="s">
        <v>1432</v>
      </c>
      <c r="M61" s="61" t="s">
        <v>121</v>
      </c>
      <c r="N61" s="61" t="s">
        <v>123</v>
      </c>
      <c r="O61" s="61" t="s">
        <v>423</v>
      </c>
      <c r="P61" s="61">
        <v>65.0</v>
      </c>
      <c r="Q61" s="57" t="str">
        <f t="array" ref="Q61">IF(P61="","-",IFERROR(INDEX('Threat Atlas'!$C$6:$C$300,MATCH(P61,'Threat Atlas'!$A$6:$A$300,0)),"not found"))</f>
        <v>Olchawa, Starcik, Fradique &amp; Boulaich (2025)</v>
      </c>
      <c r="R61" s="57" t="s">
        <v>144</v>
      </c>
      <c r="S61" s="57" t="s">
        <v>1398</v>
      </c>
      <c r="T61" s="69" t="s">
        <v>1443</v>
      </c>
      <c r="U61" s="50" t="s">
        <v>161</v>
      </c>
      <c r="V61" s="50"/>
      <c r="W61" s="55" t="s">
        <v>280</v>
      </c>
      <c r="X61" s="50" t="s">
        <v>1403</v>
      </c>
      <c r="Y61" s="50" t="s">
        <v>1404</v>
      </c>
      <c r="Z61" s="71" t="s">
        <v>383</v>
      </c>
    </row>
    <row r="62" ht="51.75" customHeight="1">
      <c r="A62" s="28">
        <v>57.0</v>
      </c>
      <c r="B62" s="29" t="s">
        <v>1448</v>
      </c>
      <c r="C62" s="34" t="s">
        <v>490</v>
      </c>
      <c r="D62" s="21" t="s">
        <v>1387</v>
      </c>
      <c r="E62" s="21" t="s">
        <v>1388</v>
      </c>
      <c r="F62" s="21" t="s">
        <v>1411</v>
      </c>
      <c r="G62" s="35">
        <v>3.5</v>
      </c>
      <c r="H62" s="22" t="str">
        <f t="shared" si="1"/>
        <v>Low</v>
      </c>
      <c r="I62" s="21" t="s">
        <v>1393</v>
      </c>
      <c r="J62" s="22" t="s">
        <v>1394</v>
      </c>
      <c r="K62" s="22" t="s">
        <v>104</v>
      </c>
      <c r="L62" s="21" t="s">
        <v>1455</v>
      </c>
      <c r="M62" s="22" t="s">
        <v>121</v>
      </c>
      <c r="N62" s="22" t="s">
        <v>123</v>
      </c>
      <c r="O62" s="22" t="s">
        <v>423</v>
      </c>
      <c r="P62" s="22">
        <v>65.0</v>
      </c>
      <c r="Q62" s="21" t="str">
        <f t="array" ref="Q62">IF(P62="","-",IFERROR(INDEX('Threat Atlas'!$C$6:$C$300,MATCH(P62,'Threat Atlas'!$A$6:$A$300,0)),"not found"))</f>
        <v>Olchawa, Starcik, Fradique &amp; Boulaich (2025)</v>
      </c>
      <c r="R62" s="21" t="s">
        <v>144</v>
      </c>
      <c r="S62" s="21" t="s">
        <v>1398</v>
      </c>
      <c r="T62" s="48" t="s">
        <v>1461</v>
      </c>
      <c r="U62" s="28" t="s">
        <v>161</v>
      </c>
      <c r="V62" s="28"/>
      <c r="W62" s="34" t="s">
        <v>280</v>
      </c>
      <c r="X62" s="28" t="s">
        <v>1403</v>
      </c>
      <c r="Y62" s="28" t="s">
        <v>1404</v>
      </c>
      <c r="Z62" s="23" t="s">
        <v>383</v>
      </c>
    </row>
    <row r="63" ht="15.75" customHeight="1">
      <c r="A63" s="1"/>
      <c r="B63" s="1"/>
      <c r="C63" s="1"/>
      <c r="D63" s="1"/>
      <c r="E63" s="1"/>
      <c r="F63" s="1"/>
      <c r="G63" s="1"/>
      <c r="H63" s="1"/>
      <c r="I63" s="1"/>
      <c r="J63" s="1"/>
      <c r="K63" s="1"/>
      <c r="L63" s="1"/>
      <c r="M63" s="1"/>
      <c r="N63" s="1"/>
      <c r="O63" s="1"/>
      <c r="P63" s="1"/>
      <c r="Q63" s="1"/>
      <c r="R63" s="1"/>
      <c r="S63" s="1"/>
      <c r="T63" s="1"/>
      <c r="U63" s="1"/>
      <c r="V63" s="1"/>
    </row>
    <row r="64" ht="15.75" customHeight="1">
      <c r="A64" s="1"/>
      <c r="B64" s="1"/>
      <c r="C64" s="1"/>
      <c r="D64" s="1"/>
      <c r="E64" s="1"/>
      <c r="F64" s="1"/>
      <c r="G64" s="1"/>
      <c r="H64" s="1"/>
      <c r="I64" s="1"/>
      <c r="J64" s="1"/>
      <c r="K64" s="1"/>
      <c r="L64" s="1"/>
      <c r="M64" s="1"/>
      <c r="N64" s="1"/>
      <c r="O64" s="1"/>
      <c r="P64" s="1"/>
      <c r="Q64" s="1"/>
      <c r="R64" s="1"/>
      <c r="S64" s="1"/>
      <c r="T64" s="1"/>
      <c r="U64" s="1"/>
      <c r="V64" s="1"/>
    </row>
    <row r="65" ht="15.75" customHeight="1">
      <c r="A65" s="1"/>
      <c r="B65" s="1"/>
      <c r="C65" s="1"/>
      <c r="D65" s="1"/>
      <c r="E65" s="1"/>
      <c r="F65" s="1"/>
      <c r="G65" s="1"/>
      <c r="H65" s="1"/>
      <c r="I65" s="1"/>
      <c r="J65" s="1"/>
      <c r="K65" s="1"/>
      <c r="L65" s="1"/>
      <c r="M65" s="1"/>
      <c r="N65" s="1"/>
      <c r="O65" s="1"/>
      <c r="P65" s="1"/>
      <c r="Q65" s="1"/>
      <c r="R65" s="1"/>
      <c r="S65" s="1"/>
      <c r="T65" s="1"/>
      <c r="U65" s="1"/>
      <c r="V65" s="1"/>
    </row>
    <row r="66" ht="15.75" customHeight="1">
      <c r="A66" s="1"/>
      <c r="B66" s="1"/>
      <c r="C66" s="1"/>
      <c r="D66" s="1"/>
      <c r="E66" s="1"/>
      <c r="F66" s="1"/>
      <c r="G66" s="1"/>
      <c r="H66" s="1"/>
      <c r="I66" s="1"/>
      <c r="J66" s="1"/>
      <c r="K66" s="1"/>
      <c r="L66" s="1"/>
      <c r="M66" s="1"/>
      <c r="N66" s="1"/>
      <c r="O66" s="1"/>
      <c r="P66" s="1"/>
      <c r="Q66" s="1"/>
      <c r="R66" s="1"/>
      <c r="S66" s="1"/>
      <c r="T66" s="1"/>
      <c r="U66" s="1"/>
      <c r="V66" s="1"/>
    </row>
    <row r="67" ht="15.75" customHeight="1">
      <c r="A67" s="1"/>
      <c r="B67" s="1"/>
      <c r="C67" s="1"/>
      <c r="D67" s="1"/>
      <c r="E67" s="1"/>
      <c r="F67" s="1"/>
      <c r="G67" s="1"/>
      <c r="H67" s="1"/>
      <c r="I67" s="1"/>
      <c r="J67" s="1"/>
      <c r="K67" s="1"/>
      <c r="L67" s="1"/>
      <c r="M67" s="1"/>
      <c r="N67" s="1"/>
      <c r="O67" s="1"/>
      <c r="P67" s="1"/>
      <c r="Q67" s="1"/>
      <c r="R67" s="1"/>
      <c r="S67" s="1"/>
      <c r="T67" s="1"/>
      <c r="U67" s="1"/>
      <c r="V67" s="1"/>
    </row>
    <row r="68" ht="15.75" customHeight="1">
      <c r="A68" s="1"/>
      <c r="B68" s="1"/>
      <c r="C68" s="1"/>
      <c r="D68" s="1"/>
      <c r="E68" s="1"/>
      <c r="F68" s="1"/>
      <c r="G68" s="1"/>
      <c r="H68" s="1"/>
      <c r="I68" s="1"/>
      <c r="J68" s="1"/>
      <c r="K68" s="1"/>
      <c r="L68" s="1"/>
      <c r="M68" s="1"/>
      <c r="N68" s="1"/>
      <c r="O68" s="1"/>
      <c r="P68" s="1"/>
      <c r="Q68" s="1"/>
      <c r="R68" s="1"/>
      <c r="S68" s="1"/>
      <c r="T68" s="1"/>
      <c r="U68" s="1"/>
      <c r="V68" s="1"/>
    </row>
    <row r="69" ht="15.75" customHeight="1">
      <c r="A69" s="1"/>
      <c r="B69" s="1"/>
      <c r="C69" s="1"/>
      <c r="D69" s="1"/>
      <c r="E69" s="1"/>
      <c r="F69" s="1"/>
      <c r="G69" s="1"/>
      <c r="H69" s="1"/>
      <c r="I69" s="1"/>
      <c r="J69" s="1"/>
      <c r="K69" s="1"/>
      <c r="L69" s="1"/>
      <c r="M69" s="1"/>
      <c r="N69" s="1"/>
      <c r="O69" s="1"/>
      <c r="P69" s="1"/>
      <c r="Q69" s="1"/>
      <c r="R69" s="1"/>
      <c r="S69" s="1"/>
      <c r="T69" s="1"/>
      <c r="U69" s="1"/>
      <c r="V69" s="1"/>
    </row>
    <row r="70" ht="15.75" customHeight="1">
      <c r="A70" s="1"/>
      <c r="B70" s="1"/>
      <c r="C70" s="1"/>
      <c r="D70" s="1"/>
      <c r="E70" s="1"/>
      <c r="F70" s="1"/>
      <c r="G70" s="1"/>
      <c r="H70" s="1"/>
      <c r="I70" s="1"/>
      <c r="J70" s="1"/>
      <c r="K70" s="1"/>
      <c r="L70" s="1"/>
      <c r="M70" s="1"/>
      <c r="N70" s="1"/>
      <c r="O70" s="1"/>
      <c r="P70" s="1"/>
      <c r="Q70" s="1"/>
      <c r="R70" s="1"/>
      <c r="S70" s="1"/>
      <c r="T70" s="1"/>
      <c r="U70" s="1"/>
      <c r="V70" s="1"/>
    </row>
    <row r="71" ht="15.75" customHeight="1">
      <c r="A71" s="1"/>
      <c r="B71" s="1"/>
      <c r="C71" s="1"/>
      <c r="D71" s="1"/>
      <c r="E71" s="1"/>
      <c r="F71" s="1"/>
      <c r="G71" s="1"/>
      <c r="H71" s="1"/>
      <c r="I71" s="1"/>
      <c r="J71" s="1"/>
      <c r="K71" s="1"/>
      <c r="L71" s="1"/>
      <c r="M71" s="1"/>
      <c r="N71" s="1"/>
      <c r="O71" s="1"/>
      <c r="P71" s="1"/>
      <c r="Q71" s="1"/>
      <c r="R71" s="1"/>
      <c r="S71" s="1"/>
      <c r="T71" s="1"/>
      <c r="U71" s="1"/>
      <c r="V71" s="1"/>
    </row>
    <row r="72" ht="15.75" customHeight="1">
      <c r="A72" s="1"/>
      <c r="B72" s="1"/>
      <c r="C72" s="1"/>
      <c r="D72" s="1"/>
      <c r="E72" s="1"/>
      <c r="F72" s="1"/>
      <c r="G72" s="1"/>
      <c r="H72" s="1"/>
      <c r="I72" s="1"/>
      <c r="J72" s="1"/>
      <c r="K72" s="1"/>
      <c r="L72" s="1"/>
      <c r="M72" s="1"/>
      <c r="N72" s="1"/>
      <c r="O72" s="1"/>
      <c r="P72" s="1"/>
      <c r="Q72" s="1"/>
      <c r="R72" s="1"/>
      <c r="S72" s="1"/>
      <c r="T72" s="1"/>
      <c r="U72" s="1"/>
      <c r="V72" s="1"/>
    </row>
    <row r="73" ht="15.75" customHeight="1">
      <c r="A73" s="1"/>
      <c r="B73" s="1"/>
      <c r="C73" s="1"/>
      <c r="D73" s="1"/>
      <c r="E73" s="1"/>
      <c r="F73" s="1"/>
      <c r="G73" s="1"/>
      <c r="H73" s="1"/>
      <c r="I73" s="1"/>
      <c r="J73" s="1"/>
      <c r="K73" s="1"/>
      <c r="L73" s="1"/>
      <c r="M73" s="1"/>
      <c r="N73" s="1"/>
      <c r="O73" s="1"/>
      <c r="P73" s="1"/>
      <c r="Q73" s="1"/>
      <c r="R73" s="1"/>
      <c r="S73" s="1"/>
      <c r="T73" s="1"/>
      <c r="U73" s="1"/>
      <c r="V73" s="1"/>
    </row>
    <row r="74" ht="15.75" customHeight="1">
      <c r="A74" s="1"/>
      <c r="B74" s="1"/>
      <c r="C74" s="1"/>
      <c r="D74" s="1"/>
      <c r="E74" s="1"/>
      <c r="F74" s="1"/>
      <c r="G74" s="1"/>
      <c r="H74" s="1"/>
      <c r="I74" s="1"/>
      <c r="J74" s="1"/>
      <c r="K74" s="1"/>
      <c r="L74" s="1"/>
      <c r="M74" s="1"/>
      <c r="N74" s="1"/>
      <c r="O74" s="1"/>
      <c r="P74" s="1"/>
      <c r="Q74" s="1"/>
      <c r="R74" s="1"/>
      <c r="S74" s="1"/>
      <c r="T74" s="1"/>
      <c r="U74" s="1"/>
      <c r="V74" s="1"/>
    </row>
    <row r="75" ht="15.75" customHeight="1">
      <c r="A75" s="1"/>
      <c r="B75" s="1"/>
      <c r="C75" s="1"/>
      <c r="D75" s="1"/>
      <c r="E75" s="1"/>
      <c r="F75" s="1"/>
      <c r="G75" s="1"/>
      <c r="H75" s="1"/>
      <c r="I75" s="1"/>
      <c r="J75" s="1"/>
      <c r="K75" s="1"/>
      <c r="L75" s="1"/>
      <c r="M75" s="1"/>
      <c r="N75" s="1"/>
      <c r="O75" s="1"/>
      <c r="P75" s="1"/>
      <c r="Q75" s="1"/>
      <c r="R75" s="1"/>
      <c r="S75" s="1"/>
      <c r="T75" s="1"/>
      <c r="U75" s="1"/>
      <c r="V75" s="1"/>
    </row>
    <row r="76" ht="15.75" customHeight="1">
      <c r="A76" s="1"/>
      <c r="B76" s="1"/>
      <c r="C76" s="1"/>
      <c r="D76" s="1"/>
      <c r="E76" s="1"/>
      <c r="F76" s="1"/>
      <c r="G76" s="1"/>
      <c r="H76" s="1"/>
      <c r="I76" s="1"/>
      <c r="J76" s="1"/>
      <c r="K76" s="1"/>
      <c r="L76" s="1"/>
      <c r="M76" s="1"/>
      <c r="N76" s="1"/>
      <c r="O76" s="1"/>
      <c r="P76" s="1"/>
      <c r="Q76" s="1"/>
      <c r="R76" s="1"/>
      <c r="S76" s="1"/>
      <c r="T76" s="1"/>
      <c r="U76" s="1"/>
      <c r="V76" s="1"/>
    </row>
    <row r="77" ht="15.75" customHeight="1">
      <c r="A77" s="1"/>
      <c r="B77" s="1"/>
      <c r="C77" s="1"/>
      <c r="D77" s="1"/>
      <c r="E77" s="1"/>
      <c r="F77" s="1"/>
      <c r="G77" s="1"/>
      <c r="H77" s="1"/>
      <c r="I77" s="1"/>
      <c r="J77" s="1"/>
      <c r="K77" s="1"/>
      <c r="L77" s="1"/>
      <c r="M77" s="1"/>
      <c r="N77" s="1"/>
      <c r="O77" s="1"/>
      <c r="P77" s="1"/>
      <c r="Q77" s="1"/>
      <c r="R77" s="1"/>
      <c r="S77" s="1"/>
      <c r="T77" s="1"/>
      <c r="U77" s="1"/>
      <c r="V77" s="1"/>
    </row>
    <row r="78" ht="15.75" customHeight="1">
      <c r="A78" s="1"/>
      <c r="B78" s="1"/>
      <c r="C78" s="1"/>
      <c r="D78" s="1"/>
      <c r="E78" s="1"/>
      <c r="F78" s="1"/>
      <c r="G78" s="1"/>
      <c r="H78" s="1"/>
      <c r="I78" s="1"/>
      <c r="J78" s="1"/>
      <c r="K78" s="1"/>
      <c r="L78" s="1"/>
      <c r="M78" s="1"/>
      <c r="N78" s="1"/>
      <c r="O78" s="1"/>
      <c r="P78" s="1"/>
      <c r="Q78" s="1"/>
      <c r="R78" s="1"/>
      <c r="S78" s="1"/>
      <c r="T78" s="1"/>
      <c r="U78" s="1"/>
      <c r="V78" s="1"/>
    </row>
    <row r="79" ht="15.75" customHeight="1">
      <c r="A79" s="1"/>
      <c r="B79" s="1"/>
      <c r="C79" s="1"/>
      <c r="D79" s="1"/>
      <c r="E79" s="1"/>
      <c r="F79" s="1"/>
      <c r="G79" s="1"/>
      <c r="H79" s="1"/>
      <c r="I79" s="1"/>
      <c r="J79" s="1"/>
      <c r="K79" s="1"/>
      <c r="L79" s="1"/>
      <c r="M79" s="1"/>
      <c r="N79" s="1"/>
      <c r="O79" s="1"/>
      <c r="P79" s="1"/>
      <c r="Q79" s="1"/>
      <c r="R79" s="1"/>
      <c r="S79" s="1"/>
      <c r="T79" s="1"/>
      <c r="U79" s="1"/>
      <c r="V79" s="1"/>
    </row>
    <row r="80" ht="15.75" customHeight="1">
      <c r="A80" s="1"/>
      <c r="B80" s="1"/>
      <c r="C80" s="1"/>
      <c r="D80" s="1"/>
      <c r="E80" s="1"/>
      <c r="F80" s="1"/>
      <c r="G80" s="1"/>
      <c r="H80" s="1"/>
      <c r="I80" s="1"/>
      <c r="J80" s="1"/>
      <c r="K80" s="1"/>
      <c r="L80" s="1"/>
      <c r="M80" s="1"/>
      <c r="N80" s="1"/>
      <c r="O80" s="1"/>
      <c r="P80" s="1"/>
      <c r="Q80" s="1"/>
      <c r="R80" s="1"/>
      <c r="S80" s="1"/>
      <c r="T80" s="1"/>
      <c r="U80" s="1"/>
      <c r="V80" s="1"/>
    </row>
    <row r="81" ht="15.75" customHeight="1">
      <c r="A81" s="1"/>
      <c r="B81" s="1"/>
      <c r="C81" s="1"/>
      <c r="D81" s="1"/>
      <c r="E81" s="1"/>
      <c r="F81" s="1"/>
      <c r="G81" s="1"/>
      <c r="H81" s="1"/>
      <c r="I81" s="1"/>
      <c r="J81" s="1"/>
      <c r="K81" s="1"/>
      <c r="L81" s="1"/>
      <c r="M81" s="1"/>
      <c r="N81" s="1"/>
      <c r="O81" s="1"/>
      <c r="P81" s="1"/>
      <c r="Q81" s="1"/>
      <c r="R81" s="1"/>
      <c r="S81" s="1"/>
      <c r="T81" s="1"/>
      <c r="U81" s="1"/>
      <c r="V81" s="1"/>
    </row>
    <row r="82" ht="15.75" customHeight="1">
      <c r="A82" s="1"/>
      <c r="B82" s="1"/>
      <c r="C82" s="1"/>
      <c r="D82" s="1"/>
      <c r="E82" s="1"/>
      <c r="F82" s="1"/>
      <c r="G82" s="1"/>
      <c r="H82" s="1"/>
      <c r="I82" s="1"/>
      <c r="J82" s="1"/>
      <c r="K82" s="1"/>
      <c r="L82" s="1"/>
      <c r="M82" s="1"/>
      <c r="N82" s="1"/>
      <c r="O82" s="1"/>
      <c r="P82" s="1"/>
      <c r="Q82" s="1"/>
      <c r="R82" s="1"/>
      <c r="S82" s="1"/>
      <c r="T82" s="1"/>
      <c r="U82" s="1"/>
      <c r="V82" s="1"/>
    </row>
    <row r="83" ht="15.75" customHeight="1">
      <c r="A83" s="1"/>
      <c r="B83" s="1"/>
      <c r="C83" s="1"/>
      <c r="D83" s="1"/>
      <c r="E83" s="1"/>
      <c r="F83" s="1"/>
      <c r="G83" s="1"/>
      <c r="H83" s="1"/>
      <c r="I83" s="1"/>
      <c r="J83" s="1"/>
      <c r="K83" s="1"/>
      <c r="L83" s="1"/>
      <c r="M83" s="1"/>
      <c r="N83" s="1"/>
      <c r="O83" s="1"/>
      <c r="P83" s="1"/>
      <c r="Q83" s="1"/>
      <c r="R83" s="1"/>
      <c r="S83" s="1"/>
      <c r="T83" s="1"/>
      <c r="U83" s="1"/>
      <c r="V83" s="1"/>
    </row>
    <row r="84" ht="15.75" customHeight="1">
      <c r="A84" s="1"/>
      <c r="B84" s="1"/>
      <c r="C84" s="1"/>
      <c r="D84" s="1"/>
      <c r="E84" s="1"/>
      <c r="F84" s="1"/>
      <c r="G84" s="1"/>
      <c r="H84" s="1"/>
      <c r="I84" s="1"/>
      <c r="J84" s="1"/>
      <c r="K84" s="1"/>
      <c r="L84" s="1"/>
      <c r="M84" s="1"/>
      <c r="N84" s="1"/>
      <c r="O84" s="1"/>
      <c r="P84" s="1"/>
      <c r="Q84" s="1"/>
      <c r="R84" s="1"/>
      <c r="S84" s="1"/>
      <c r="T84" s="1"/>
      <c r="U84" s="1"/>
      <c r="V84" s="1"/>
    </row>
    <row r="85" ht="15.75" customHeight="1">
      <c r="A85" s="1"/>
      <c r="B85" s="1"/>
      <c r="C85" s="1"/>
      <c r="D85" s="1"/>
      <c r="E85" s="1"/>
      <c r="F85" s="1"/>
      <c r="G85" s="1"/>
      <c r="H85" s="1"/>
      <c r="I85" s="1"/>
      <c r="J85" s="1"/>
      <c r="K85" s="1"/>
      <c r="L85" s="1"/>
      <c r="M85" s="1"/>
      <c r="N85" s="1"/>
      <c r="O85" s="1"/>
      <c r="P85" s="1"/>
      <c r="Q85" s="1"/>
      <c r="R85" s="1"/>
      <c r="S85" s="1"/>
      <c r="T85" s="1"/>
      <c r="U85" s="1"/>
      <c r="V85" s="1"/>
    </row>
    <row r="86" ht="15.75" customHeight="1">
      <c r="A86" s="1"/>
      <c r="B86" s="1"/>
      <c r="C86" s="1"/>
      <c r="D86" s="1"/>
      <c r="E86" s="1"/>
      <c r="F86" s="1"/>
      <c r="G86" s="1"/>
      <c r="H86" s="1"/>
      <c r="I86" s="1"/>
      <c r="J86" s="1"/>
      <c r="K86" s="1"/>
      <c r="L86" s="1"/>
      <c r="M86" s="1"/>
      <c r="N86" s="1"/>
      <c r="O86" s="1"/>
      <c r="P86" s="1"/>
      <c r="Q86" s="1"/>
      <c r="R86" s="1"/>
      <c r="S86" s="1"/>
      <c r="T86" s="1"/>
      <c r="U86" s="1"/>
      <c r="V86" s="1"/>
    </row>
    <row r="87" ht="15.75" customHeight="1">
      <c r="A87" s="1"/>
      <c r="B87" s="1"/>
      <c r="C87" s="1"/>
      <c r="D87" s="1"/>
      <c r="E87" s="1"/>
      <c r="F87" s="1"/>
      <c r="G87" s="1"/>
      <c r="H87" s="1"/>
      <c r="I87" s="1"/>
      <c r="J87" s="1"/>
      <c r="K87" s="1"/>
      <c r="L87" s="1"/>
      <c r="M87" s="1"/>
      <c r="N87" s="1"/>
      <c r="O87" s="1"/>
      <c r="P87" s="1"/>
      <c r="Q87" s="1"/>
      <c r="R87" s="1"/>
      <c r="S87" s="1"/>
      <c r="T87" s="1"/>
      <c r="U87" s="1"/>
      <c r="V87" s="1"/>
    </row>
    <row r="88" ht="15.75" customHeight="1">
      <c r="A88" s="1"/>
      <c r="B88" s="1"/>
      <c r="C88" s="1"/>
      <c r="D88" s="1"/>
      <c r="E88" s="1"/>
      <c r="F88" s="1"/>
      <c r="G88" s="1"/>
      <c r="H88" s="1"/>
      <c r="I88" s="1"/>
      <c r="J88" s="1"/>
      <c r="K88" s="1"/>
      <c r="L88" s="1"/>
      <c r="M88" s="1"/>
      <c r="N88" s="1"/>
      <c r="O88" s="1"/>
      <c r="P88" s="1"/>
      <c r="Q88" s="1"/>
      <c r="R88" s="1"/>
      <c r="S88" s="1"/>
      <c r="T88" s="1"/>
      <c r="U88" s="1"/>
      <c r="V88" s="1"/>
    </row>
    <row r="89" ht="15.75" customHeight="1">
      <c r="A89" s="1"/>
      <c r="B89" s="1"/>
      <c r="C89" s="1"/>
      <c r="D89" s="1"/>
      <c r="E89" s="1"/>
      <c r="F89" s="1"/>
      <c r="G89" s="1"/>
      <c r="H89" s="1"/>
      <c r="I89" s="1"/>
      <c r="J89" s="1"/>
      <c r="K89" s="1"/>
      <c r="L89" s="1"/>
      <c r="M89" s="1"/>
      <c r="N89" s="1"/>
      <c r="O89" s="1"/>
      <c r="P89" s="1"/>
      <c r="Q89" s="1"/>
      <c r="R89" s="1"/>
      <c r="S89" s="1"/>
      <c r="T89" s="1"/>
      <c r="U89" s="1"/>
      <c r="V89" s="1"/>
    </row>
    <row r="90" ht="15.75" customHeight="1">
      <c r="A90" s="1"/>
      <c r="B90" s="1"/>
      <c r="C90" s="1"/>
      <c r="D90" s="1"/>
      <c r="E90" s="1"/>
      <c r="F90" s="1"/>
      <c r="G90" s="1"/>
      <c r="H90" s="1"/>
      <c r="I90" s="1"/>
      <c r="J90" s="1"/>
      <c r="K90" s="1"/>
      <c r="L90" s="1"/>
      <c r="M90" s="1"/>
      <c r="N90" s="1"/>
      <c r="O90" s="1"/>
      <c r="P90" s="1"/>
      <c r="Q90" s="1"/>
      <c r="R90" s="1"/>
      <c r="S90" s="1"/>
      <c r="T90" s="1"/>
      <c r="U90" s="1"/>
      <c r="V90" s="1"/>
    </row>
    <row r="91" ht="15.75" customHeight="1">
      <c r="A91" s="1"/>
      <c r="B91" s="1"/>
      <c r="C91" s="1"/>
      <c r="D91" s="1"/>
      <c r="E91" s="1"/>
      <c r="F91" s="1"/>
      <c r="G91" s="1"/>
      <c r="H91" s="1"/>
      <c r="I91" s="1"/>
      <c r="J91" s="1"/>
      <c r="K91" s="1"/>
      <c r="L91" s="1"/>
      <c r="M91" s="1"/>
      <c r="N91" s="1"/>
      <c r="O91" s="1"/>
      <c r="P91" s="1"/>
      <c r="Q91" s="1"/>
      <c r="R91" s="1"/>
      <c r="S91" s="1"/>
      <c r="T91" s="1"/>
      <c r="U91" s="1"/>
      <c r="V91" s="1"/>
    </row>
    <row r="92" ht="15.75" customHeight="1">
      <c r="A92" s="1"/>
      <c r="B92" s="1"/>
      <c r="C92" s="1"/>
      <c r="D92" s="1"/>
      <c r="E92" s="1"/>
      <c r="F92" s="1"/>
      <c r="G92" s="1"/>
      <c r="H92" s="1"/>
      <c r="I92" s="1"/>
      <c r="J92" s="1"/>
      <c r="K92" s="1"/>
      <c r="L92" s="1"/>
      <c r="M92" s="1"/>
      <c r="N92" s="1"/>
      <c r="O92" s="1"/>
      <c r="P92" s="1"/>
      <c r="Q92" s="1"/>
      <c r="R92" s="1"/>
      <c r="S92" s="1"/>
      <c r="T92" s="1"/>
      <c r="U92" s="1"/>
      <c r="V92" s="1"/>
    </row>
    <row r="93" ht="15.75" customHeight="1">
      <c r="A93" s="1"/>
      <c r="B93" s="1"/>
      <c r="C93" s="1"/>
      <c r="D93" s="1"/>
      <c r="E93" s="1"/>
      <c r="F93" s="1"/>
      <c r="G93" s="1"/>
      <c r="H93" s="1"/>
      <c r="I93" s="1"/>
      <c r="J93" s="1"/>
      <c r="K93" s="1"/>
      <c r="L93" s="1"/>
      <c r="M93" s="1"/>
      <c r="N93" s="1"/>
      <c r="O93" s="1"/>
      <c r="P93" s="1"/>
      <c r="Q93" s="1"/>
      <c r="R93" s="1"/>
      <c r="S93" s="1"/>
      <c r="T93" s="1"/>
      <c r="U93" s="1"/>
      <c r="V93" s="1"/>
    </row>
    <row r="94" ht="15.75" customHeight="1">
      <c r="A94" s="1"/>
      <c r="B94" s="1"/>
      <c r="C94" s="1"/>
      <c r="D94" s="1"/>
      <c r="E94" s="1"/>
      <c r="F94" s="1"/>
      <c r="G94" s="1"/>
      <c r="H94" s="1"/>
      <c r="I94" s="1"/>
      <c r="J94" s="1"/>
      <c r="K94" s="1"/>
      <c r="L94" s="1"/>
      <c r="M94" s="1"/>
      <c r="N94" s="1"/>
      <c r="O94" s="1"/>
      <c r="P94" s="1"/>
      <c r="Q94" s="1"/>
      <c r="R94" s="1"/>
      <c r="S94" s="1"/>
      <c r="T94" s="1"/>
      <c r="U94" s="1"/>
      <c r="V94" s="1"/>
    </row>
    <row r="95" ht="15.75" customHeight="1">
      <c r="A95" s="1"/>
      <c r="B95" s="1"/>
      <c r="C95" s="1"/>
      <c r="D95" s="1"/>
      <c r="E95" s="1"/>
      <c r="F95" s="1"/>
      <c r="G95" s="1"/>
      <c r="H95" s="1"/>
      <c r="I95" s="1"/>
      <c r="J95" s="1"/>
      <c r="K95" s="1"/>
      <c r="L95" s="1"/>
      <c r="M95" s="1"/>
      <c r="N95" s="1"/>
      <c r="O95" s="1"/>
      <c r="P95" s="1"/>
      <c r="Q95" s="1"/>
      <c r="R95" s="1"/>
      <c r="S95" s="1"/>
      <c r="T95" s="1"/>
      <c r="U95" s="1"/>
      <c r="V95" s="1"/>
    </row>
    <row r="96" ht="15.75" customHeight="1">
      <c r="A96" s="1"/>
      <c r="B96" s="1"/>
      <c r="C96" s="1"/>
      <c r="D96" s="1"/>
      <c r="E96" s="1"/>
      <c r="F96" s="1"/>
      <c r="G96" s="1"/>
      <c r="H96" s="1"/>
      <c r="I96" s="1"/>
      <c r="J96" s="1"/>
      <c r="K96" s="1"/>
      <c r="L96" s="1"/>
      <c r="M96" s="1"/>
      <c r="N96" s="1"/>
      <c r="O96" s="1"/>
      <c r="P96" s="1"/>
      <c r="Q96" s="1"/>
      <c r="R96" s="1"/>
      <c r="S96" s="1"/>
      <c r="T96" s="1"/>
      <c r="U96" s="1"/>
      <c r="V96" s="1"/>
    </row>
    <row r="97" ht="15.75" customHeight="1">
      <c r="A97" s="1"/>
      <c r="B97" s="1"/>
      <c r="C97" s="1"/>
      <c r="D97" s="1"/>
      <c r="E97" s="1"/>
      <c r="F97" s="1"/>
      <c r="G97" s="1"/>
      <c r="H97" s="1"/>
      <c r="I97" s="1"/>
      <c r="J97" s="1"/>
      <c r="K97" s="1"/>
      <c r="L97" s="1"/>
      <c r="M97" s="1"/>
      <c r="N97" s="1"/>
      <c r="O97" s="1"/>
      <c r="P97" s="1"/>
      <c r="Q97" s="1"/>
      <c r="R97" s="1"/>
      <c r="S97" s="1"/>
      <c r="T97" s="1"/>
      <c r="U97" s="1"/>
      <c r="V97" s="1"/>
    </row>
    <row r="98" ht="15.75" customHeight="1">
      <c r="A98" s="1"/>
      <c r="B98" s="1"/>
      <c r="C98" s="1"/>
      <c r="D98" s="1"/>
      <c r="E98" s="1"/>
      <c r="F98" s="1"/>
      <c r="G98" s="1"/>
      <c r="H98" s="1"/>
      <c r="I98" s="1"/>
      <c r="J98" s="1"/>
      <c r="K98" s="1"/>
      <c r="L98" s="1"/>
      <c r="M98" s="1"/>
      <c r="N98" s="1"/>
      <c r="O98" s="1"/>
      <c r="P98" s="1"/>
      <c r="Q98" s="1"/>
      <c r="R98" s="1"/>
      <c r="S98" s="1"/>
      <c r="T98" s="1"/>
      <c r="U98" s="1"/>
      <c r="V98" s="1"/>
    </row>
    <row r="99" ht="15.75" customHeight="1">
      <c r="A99" s="1"/>
      <c r="B99" s="1"/>
      <c r="C99" s="1"/>
      <c r="D99" s="1"/>
      <c r="E99" s="1"/>
      <c r="F99" s="1"/>
      <c r="G99" s="1"/>
      <c r="H99" s="1"/>
      <c r="I99" s="1"/>
      <c r="J99" s="1"/>
      <c r="K99" s="1"/>
      <c r="L99" s="1"/>
      <c r="M99" s="1"/>
      <c r="N99" s="1"/>
      <c r="O99" s="1"/>
      <c r="P99" s="1"/>
      <c r="Q99" s="1"/>
      <c r="R99" s="1"/>
      <c r="S99" s="1"/>
      <c r="T99" s="1"/>
      <c r="U99" s="1"/>
      <c r="V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row>
  </sheetData>
  <autoFilter ref="$A$5:$Z$62"/>
  <mergeCells count="2">
    <mergeCell ref="A1:Z1"/>
    <mergeCell ref="A2:Z2"/>
  </mergeCells>
  <conditionalFormatting sqref="H6:H1000">
    <cfRule type="expression" dxfId="2" priority="1">
      <formula>$H6="Critical"</formula>
    </cfRule>
  </conditionalFormatting>
  <conditionalFormatting sqref="H6:H1000">
    <cfRule type="expression" dxfId="4" priority="2">
      <formula>$H6="High"</formula>
    </cfRule>
  </conditionalFormatting>
  <conditionalFormatting sqref="H6:H1000">
    <cfRule type="expression" dxfId="5" priority="3">
      <formula>$H6="Medium"</formula>
    </cfRule>
  </conditionalFormatting>
  <conditionalFormatting sqref="H6:H1000">
    <cfRule type="expression" dxfId="6" priority="4">
      <formula>$H6="Low"</formula>
    </cfRule>
  </conditionalFormatting>
  <dataValidations>
    <dataValidation type="list" allowBlank="1" sqref="M6:M300">
      <formula1>'Classification Key'!$C$78:$C$81</formula1>
    </dataValidation>
    <dataValidation type="list" allowBlank="1" sqref="C6:C300">
      <formula1>'Classification Key'!$C$87:$C$103</formula1>
    </dataValidation>
  </dataValidations>
  <hyperlinks>
    <hyperlink r:id="rId1" ref="T6"/>
    <hyperlink r:id="rId2" ref="T7"/>
    <hyperlink r:id="rId3" ref="T8"/>
    <hyperlink r:id="rId4" ref="T9"/>
    <hyperlink r:id="rId5" ref="T10"/>
    <hyperlink r:id="rId6" ref="T11"/>
    <hyperlink r:id="rId7" ref="T12"/>
    <hyperlink r:id="rId8" ref="T13"/>
    <hyperlink r:id="rId9" ref="T14"/>
    <hyperlink r:id="rId10" ref="T15"/>
    <hyperlink r:id="rId11" ref="T16"/>
    <hyperlink r:id="rId12" ref="T17"/>
    <hyperlink r:id="rId13" ref="T18"/>
    <hyperlink r:id="rId14" ref="T19"/>
    <hyperlink r:id="rId15" ref="T20"/>
    <hyperlink r:id="rId16" ref="T21"/>
    <hyperlink r:id="rId17" ref="T22"/>
    <hyperlink r:id="rId18" ref="T23"/>
    <hyperlink r:id="rId19" ref="T24"/>
    <hyperlink r:id="rId20" ref="T25"/>
    <hyperlink r:id="rId21" ref="T26"/>
    <hyperlink r:id="rId22" ref="T27"/>
    <hyperlink r:id="rId23" ref="T28"/>
    <hyperlink r:id="rId24" ref="T29"/>
    <hyperlink r:id="rId25" ref="T30"/>
    <hyperlink r:id="rId26" ref="T31"/>
    <hyperlink r:id="rId27" ref="T32"/>
    <hyperlink r:id="rId28" ref="T33"/>
    <hyperlink r:id="rId29" ref="T34"/>
    <hyperlink r:id="rId30" ref="T35"/>
    <hyperlink r:id="rId31" ref="T36"/>
    <hyperlink r:id="rId32" ref="T37"/>
    <hyperlink r:id="rId33" ref="T38"/>
    <hyperlink r:id="rId34" ref="T39"/>
    <hyperlink r:id="rId35" ref="T40"/>
    <hyperlink r:id="rId36" ref="T41"/>
    <hyperlink r:id="rId37" ref="T42"/>
    <hyperlink r:id="rId38" ref="T43"/>
    <hyperlink r:id="rId39" ref="T44"/>
    <hyperlink r:id="rId40" ref="T45"/>
    <hyperlink r:id="rId41" ref="T46"/>
    <hyperlink r:id="rId42" ref="T47"/>
    <hyperlink r:id="rId43" ref="T48"/>
    <hyperlink r:id="rId44" ref="T49"/>
    <hyperlink r:id="rId45" ref="T50"/>
    <hyperlink r:id="rId46" ref="T51"/>
    <hyperlink r:id="rId47" ref="T52"/>
    <hyperlink r:id="rId48" ref="T53"/>
    <hyperlink r:id="rId49" ref="T54"/>
    <hyperlink r:id="rId50" ref="T55"/>
    <hyperlink r:id="rId51" ref="T56"/>
    <hyperlink r:id="rId52" ref="T57"/>
    <hyperlink r:id="rId53" ref="T58"/>
    <hyperlink r:id="rId54" ref="T59"/>
    <hyperlink r:id="rId55" ref="T60"/>
    <hyperlink r:id="rId56" ref="T61"/>
    <hyperlink r:id="rId57" ref="T62"/>
  </hyperlinks>
  <printOptions/>
  <pageMargins bottom="1.0" footer="0.0" header="0.0" left="0.75" right="0.75" top="1.0"/>
  <pageSetup fitToHeight="0" orientation="landscape"/>
  <drawing r:id="rId5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4.43" defaultRowHeight="15.0"/>
  <cols>
    <col customWidth="1" min="1" max="1" width="6.0"/>
    <col customWidth="1" min="2" max="2" width="40.0"/>
    <col customWidth="1" min="3" max="3" width="16.0"/>
    <col customWidth="1" min="4" max="4" width="22.0"/>
    <col customWidth="1" min="5" max="5" width="18.0"/>
    <col customWidth="1" min="6" max="6" width="12.0"/>
    <col customWidth="1" min="7" max="7" width="8.0"/>
    <col customWidth="1" min="8" max="8" width="12.0"/>
    <col customWidth="1" min="9" max="9" width="9.0"/>
    <col customWidth="1" min="10" max="10" width="20.0"/>
    <col customWidth="1" min="11" max="11" width="34.0"/>
    <col customWidth="1" min="12" max="12" width="40.0"/>
    <col customWidth="1" min="13" max="13" width="9.0"/>
    <col customWidth="1" min="14" max="14" width="8.0"/>
    <col customWidth="1" min="15" max="15" width="40.0"/>
    <col customWidth="1" min="16" max="16" width="32.0"/>
    <col customWidth="1" min="17" max="17" width="28.0"/>
    <col customWidth="1" min="18" max="26" width="8.71"/>
  </cols>
  <sheetData>
    <row r="1" ht="33.75" customHeight="1">
      <c r="A1" s="3" t="s">
        <v>14</v>
      </c>
      <c r="B1" s="5"/>
      <c r="C1" s="5"/>
      <c r="D1" s="5"/>
      <c r="E1" s="5"/>
      <c r="F1" s="5"/>
      <c r="G1" s="5"/>
      <c r="H1" s="5"/>
      <c r="I1" s="5"/>
      <c r="J1" s="5"/>
      <c r="K1" s="5"/>
      <c r="L1" s="5"/>
      <c r="M1" s="5"/>
      <c r="N1" s="5"/>
      <c r="O1" s="5"/>
      <c r="P1" s="5"/>
      <c r="Q1" s="7"/>
    </row>
    <row r="2" ht="30.0" customHeight="1">
      <c r="A2" s="8" t="s">
        <v>705</v>
      </c>
      <c r="B2" s="5"/>
      <c r="C2" s="5"/>
      <c r="D2" s="5"/>
      <c r="E2" s="5"/>
      <c r="F2" s="5"/>
      <c r="G2" s="5"/>
      <c r="H2" s="5"/>
      <c r="I2" s="5"/>
      <c r="J2" s="5"/>
      <c r="K2" s="5"/>
      <c r="L2" s="5"/>
      <c r="M2" s="5"/>
      <c r="N2" s="5"/>
      <c r="O2" s="5"/>
      <c r="P2" s="5"/>
      <c r="Q2" s="7"/>
    </row>
    <row r="3">
      <c r="A3" s="1"/>
      <c r="B3" s="1"/>
      <c r="C3" s="1"/>
      <c r="D3" s="1"/>
      <c r="E3" s="1"/>
      <c r="F3" s="1"/>
      <c r="G3" s="1"/>
      <c r="H3" s="1"/>
      <c r="I3" s="1"/>
      <c r="J3" s="1"/>
      <c r="K3" s="1"/>
      <c r="L3" s="1"/>
      <c r="M3" s="1"/>
      <c r="N3" s="1"/>
      <c r="O3" s="1"/>
      <c r="P3" s="1"/>
      <c r="Q3" s="1"/>
    </row>
    <row r="4">
      <c r="A4" s="1"/>
      <c r="B4" s="1"/>
      <c r="C4" s="1"/>
      <c r="D4" s="1"/>
      <c r="E4" s="1"/>
      <c r="F4" s="1"/>
      <c r="G4" s="1"/>
      <c r="H4" s="1"/>
      <c r="I4" s="1"/>
      <c r="J4" s="1"/>
      <c r="K4" s="1"/>
      <c r="L4" s="1"/>
      <c r="M4" s="1"/>
      <c r="N4" s="1"/>
      <c r="O4" s="1"/>
      <c r="P4" s="1"/>
      <c r="Q4" s="1"/>
    </row>
    <row r="5" ht="33.75" customHeight="1">
      <c r="A5" s="15" t="s">
        <v>13</v>
      </c>
      <c r="B5" s="15" t="s">
        <v>720</v>
      </c>
      <c r="C5" s="15" t="s">
        <v>721</v>
      </c>
      <c r="D5" s="15" t="s">
        <v>722</v>
      </c>
      <c r="E5" s="15" t="s">
        <v>723</v>
      </c>
      <c r="F5" s="15" t="s">
        <v>724</v>
      </c>
      <c r="G5" s="15" t="s">
        <v>725</v>
      </c>
      <c r="H5" s="15" t="s">
        <v>726</v>
      </c>
      <c r="I5" s="15" t="s">
        <v>53</v>
      </c>
      <c r="J5" s="15" t="s">
        <v>727</v>
      </c>
      <c r="K5" s="15" t="s">
        <v>729</v>
      </c>
      <c r="L5" s="15" t="s">
        <v>730</v>
      </c>
      <c r="M5" s="15" t="s">
        <v>731</v>
      </c>
      <c r="N5" s="15" t="s">
        <v>732</v>
      </c>
      <c r="O5" s="104" t="s">
        <v>733</v>
      </c>
      <c r="P5" s="15" t="s">
        <v>734</v>
      </c>
      <c r="Q5" s="15" t="s">
        <v>117</v>
      </c>
    </row>
    <row r="6" ht="51.75" customHeight="1">
      <c r="A6" s="29" t="s">
        <v>736</v>
      </c>
      <c r="B6" s="34" t="s">
        <v>739</v>
      </c>
      <c r="C6" s="21" t="s">
        <v>743</v>
      </c>
      <c r="D6" s="21" t="s">
        <v>745</v>
      </c>
      <c r="E6" s="21" t="s">
        <v>746</v>
      </c>
      <c r="F6" s="21" t="s">
        <v>42</v>
      </c>
      <c r="G6" s="22" t="s">
        <v>42</v>
      </c>
      <c r="H6" s="21" t="s">
        <v>127</v>
      </c>
      <c r="I6" s="22" t="s">
        <v>470</v>
      </c>
      <c r="J6" s="21" t="s">
        <v>749</v>
      </c>
      <c r="K6" s="21" t="s">
        <v>750</v>
      </c>
      <c r="L6" s="21" t="s">
        <v>751</v>
      </c>
      <c r="M6" s="22">
        <f>COUNTIF('Threat Atlas'!$AI$6:$AI$300,"*"&amp;A6&amp;"*")</f>
        <v>9</v>
      </c>
      <c r="N6" s="22">
        <f>COUNTIF('CVE Register'!$S$6:$S$300,"*"&amp;A6&amp;"*")</f>
        <v>0</v>
      </c>
      <c r="O6" s="105" t="s">
        <v>386</v>
      </c>
      <c r="P6" s="48" t="s">
        <v>767</v>
      </c>
      <c r="Q6" s="28" t="s">
        <v>466</v>
      </c>
    </row>
    <row r="7" ht="51.75" customHeight="1">
      <c r="A7" s="52" t="s">
        <v>770</v>
      </c>
      <c r="B7" s="55" t="s">
        <v>771</v>
      </c>
      <c r="C7" s="57" t="s">
        <v>772</v>
      </c>
      <c r="D7" s="57" t="s">
        <v>773</v>
      </c>
      <c r="E7" s="57" t="s">
        <v>774</v>
      </c>
      <c r="F7" s="57" t="s">
        <v>121</v>
      </c>
      <c r="G7" s="61" t="s">
        <v>121</v>
      </c>
      <c r="H7" s="57" t="s">
        <v>123</v>
      </c>
      <c r="I7" s="61" t="s">
        <v>470</v>
      </c>
      <c r="J7" s="57" t="s">
        <v>776</v>
      </c>
      <c r="K7" s="57" t="s">
        <v>777</v>
      </c>
      <c r="L7" s="57" t="s">
        <v>779</v>
      </c>
      <c r="M7" s="61">
        <f>COUNTIF('Threat Atlas'!$AI$6:$AI$300,"*"&amp;A7&amp;"*")</f>
        <v>2</v>
      </c>
      <c r="N7" s="61">
        <f>COUNTIF('CVE Register'!$S$6:$S$300,"*"&amp;A7&amp;"*")</f>
        <v>5</v>
      </c>
      <c r="O7" s="106" t="s">
        <v>784</v>
      </c>
      <c r="P7" s="69" t="s">
        <v>791</v>
      </c>
      <c r="Q7" s="50" t="s">
        <v>778</v>
      </c>
    </row>
    <row r="8" ht="51.75" customHeight="1">
      <c r="A8" s="29" t="s">
        <v>795</v>
      </c>
      <c r="B8" s="34" t="s">
        <v>796</v>
      </c>
      <c r="C8" s="21" t="s">
        <v>772</v>
      </c>
      <c r="D8" s="21" t="s">
        <v>797</v>
      </c>
      <c r="E8" s="21" t="s">
        <v>798</v>
      </c>
      <c r="F8" s="21" t="s">
        <v>799</v>
      </c>
      <c r="G8" s="22" t="s">
        <v>121</v>
      </c>
      <c r="H8" s="21" t="s">
        <v>123</v>
      </c>
      <c r="I8" s="22" t="s">
        <v>470</v>
      </c>
      <c r="J8" s="21" t="s">
        <v>800</v>
      </c>
      <c r="K8" s="21" t="s">
        <v>801</v>
      </c>
      <c r="L8" s="21" t="s">
        <v>802</v>
      </c>
      <c r="M8" s="22">
        <f>COUNTIF('Threat Atlas'!$AI$6:$AI$300,"*"&amp;A8&amp;"*")</f>
        <v>2</v>
      </c>
      <c r="N8" s="22">
        <f>COUNTIF('CVE Register'!$S$6:$S$300,"*"&amp;A8&amp;"*")</f>
        <v>2</v>
      </c>
      <c r="O8" s="105" t="s">
        <v>784</v>
      </c>
      <c r="P8" s="48" t="s">
        <v>803</v>
      </c>
      <c r="Q8" s="28" t="s">
        <v>466</v>
      </c>
    </row>
    <row r="9" ht="51.75" customHeight="1">
      <c r="A9" s="52" t="s">
        <v>805</v>
      </c>
      <c r="B9" s="55" t="s">
        <v>806</v>
      </c>
      <c r="C9" s="57" t="s">
        <v>772</v>
      </c>
      <c r="D9" s="57" t="s">
        <v>807</v>
      </c>
      <c r="E9" s="57" t="s">
        <v>808</v>
      </c>
      <c r="F9" s="57" t="s">
        <v>197</v>
      </c>
      <c r="G9" s="61" t="s">
        <v>197</v>
      </c>
      <c r="H9" s="57" t="s">
        <v>127</v>
      </c>
      <c r="I9" s="61" t="s">
        <v>273</v>
      </c>
      <c r="J9" s="57" t="s">
        <v>809</v>
      </c>
      <c r="K9" s="57" t="s">
        <v>810</v>
      </c>
      <c r="L9" s="57" t="s">
        <v>811</v>
      </c>
      <c r="M9" s="61">
        <f>COUNTIF('Threat Atlas'!$AI$6:$AI$300,"*"&amp;A9&amp;"*")</f>
        <v>7</v>
      </c>
      <c r="N9" s="61">
        <f>COUNTIF('CVE Register'!$S$6:$S$300,"*"&amp;A9&amp;"*")</f>
        <v>15</v>
      </c>
      <c r="O9" s="106" t="s">
        <v>812</v>
      </c>
      <c r="P9" s="69" t="s">
        <v>813</v>
      </c>
      <c r="Q9" s="50" t="s">
        <v>815</v>
      </c>
    </row>
    <row r="10" ht="51.75" customHeight="1">
      <c r="A10" s="29" t="s">
        <v>816</v>
      </c>
      <c r="B10" s="34" t="s">
        <v>817</v>
      </c>
      <c r="C10" s="21" t="s">
        <v>772</v>
      </c>
      <c r="D10" s="21" t="s">
        <v>807</v>
      </c>
      <c r="E10" s="21" t="s">
        <v>818</v>
      </c>
      <c r="F10" s="21" t="s">
        <v>121</v>
      </c>
      <c r="G10" s="22" t="s">
        <v>121</v>
      </c>
      <c r="H10" s="21" t="s">
        <v>123</v>
      </c>
      <c r="I10" s="22" t="s">
        <v>273</v>
      </c>
      <c r="J10" s="21" t="s">
        <v>809</v>
      </c>
      <c r="K10" s="21" t="s">
        <v>819</v>
      </c>
      <c r="L10" s="21" t="s">
        <v>820</v>
      </c>
      <c r="M10" s="22">
        <f>COUNTIF('Threat Atlas'!$AI$6:$AI$300,"*"&amp;A10&amp;"*")</f>
        <v>2</v>
      </c>
      <c r="N10" s="22">
        <f>COUNTIF('CVE Register'!$S$6:$S$300,"*"&amp;A10&amp;"*")</f>
        <v>4</v>
      </c>
      <c r="O10" s="105" t="s">
        <v>821</v>
      </c>
      <c r="P10" s="48" t="s">
        <v>822</v>
      </c>
      <c r="Q10" s="28" t="s">
        <v>815</v>
      </c>
    </row>
    <row r="11" ht="51.75" customHeight="1">
      <c r="A11" s="52" t="s">
        <v>824</v>
      </c>
      <c r="B11" s="55" t="s">
        <v>825</v>
      </c>
      <c r="C11" s="57" t="s">
        <v>772</v>
      </c>
      <c r="D11" s="57" t="s">
        <v>826</v>
      </c>
      <c r="E11" s="57" t="s">
        <v>827</v>
      </c>
      <c r="F11" s="57" t="s">
        <v>828</v>
      </c>
      <c r="G11" s="61" t="s">
        <v>42</v>
      </c>
      <c r="H11" s="57" t="s">
        <v>127</v>
      </c>
      <c r="I11" s="61" t="s">
        <v>273</v>
      </c>
      <c r="J11" s="57" t="s">
        <v>829</v>
      </c>
      <c r="K11" s="57" t="s">
        <v>830</v>
      </c>
      <c r="L11" s="57" t="s">
        <v>831</v>
      </c>
      <c r="M11" s="61">
        <f>COUNTIF('Threat Atlas'!$AI$6:$AI$300,"*"&amp;A11&amp;"*")</f>
        <v>4</v>
      </c>
      <c r="N11" s="61">
        <f>COUNTIF('CVE Register'!$S$6:$S$300,"*"&amp;A11&amp;"*")</f>
        <v>3</v>
      </c>
      <c r="O11" s="106" t="s">
        <v>834</v>
      </c>
      <c r="P11" s="69" t="s">
        <v>835</v>
      </c>
      <c r="Q11" s="50" t="s">
        <v>848</v>
      </c>
    </row>
    <row r="12" ht="51.75" customHeight="1">
      <c r="A12" s="29" t="s">
        <v>850</v>
      </c>
      <c r="B12" s="34" t="s">
        <v>851</v>
      </c>
      <c r="C12" s="21" t="s">
        <v>772</v>
      </c>
      <c r="D12" s="21" t="s">
        <v>852</v>
      </c>
      <c r="E12" s="21" t="s">
        <v>853</v>
      </c>
      <c r="F12" s="21" t="s">
        <v>854</v>
      </c>
      <c r="G12" s="22" t="s">
        <v>121</v>
      </c>
      <c r="H12" s="21" t="s">
        <v>855</v>
      </c>
      <c r="I12" s="22" t="s">
        <v>273</v>
      </c>
      <c r="J12" s="21" t="s">
        <v>809</v>
      </c>
      <c r="K12" s="21" t="s">
        <v>857</v>
      </c>
      <c r="L12" s="21" t="s">
        <v>858</v>
      </c>
      <c r="M12" s="22">
        <f>COUNTIF('Threat Atlas'!$AI$6:$AI$300,"*"&amp;A12&amp;"*")</f>
        <v>1</v>
      </c>
      <c r="N12" s="22">
        <f>COUNTIF('CVE Register'!$S$6:$S$300,"*"&amp;A12&amp;"*")</f>
        <v>0</v>
      </c>
      <c r="O12" s="105" t="s">
        <v>860</v>
      </c>
      <c r="P12" s="48" t="s">
        <v>861</v>
      </c>
      <c r="Q12" s="28" t="s">
        <v>466</v>
      </c>
    </row>
    <row r="13" ht="51.75" customHeight="1">
      <c r="A13" s="52" t="s">
        <v>875</v>
      </c>
      <c r="B13" s="55" t="s">
        <v>877</v>
      </c>
      <c r="C13" s="57" t="s">
        <v>879</v>
      </c>
      <c r="D13" s="57" t="s">
        <v>882</v>
      </c>
      <c r="E13" s="57" t="s">
        <v>884</v>
      </c>
      <c r="F13" s="57" t="s">
        <v>121</v>
      </c>
      <c r="G13" s="61" t="s">
        <v>121</v>
      </c>
      <c r="H13" s="57" t="s">
        <v>123</v>
      </c>
      <c r="I13" s="61" t="s">
        <v>273</v>
      </c>
      <c r="J13" s="57" t="s">
        <v>886</v>
      </c>
      <c r="K13" s="57" t="s">
        <v>887</v>
      </c>
      <c r="L13" s="57" t="s">
        <v>888</v>
      </c>
      <c r="M13" s="61">
        <f>COUNTIF('Threat Atlas'!$AI$6:$AI$300,"*"&amp;A13&amp;"*")</f>
        <v>2</v>
      </c>
      <c r="N13" s="61">
        <f>COUNTIF('CVE Register'!$S$6:$S$300,"*"&amp;A13&amp;"*")</f>
        <v>0</v>
      </c>
      <c r="O13" s="106" t="s">
        <v>898</v>
      </c>
      <c r="P13" s="69" t="s">
        <v>899</v>
      </c>
      <c r="Q13" s="50" t="s">
        <v>778</v>
      </c>
    </row>
    <row r="14" ht="51.75" customHeight="1">
      <c r="A14" s="29" t="s">
        <v>863</v>
      </c>
      <c r="B14" s="34" t="s">
        <v>914</v>
      </c>
      <c r="C14" s="21" t="s">
        <v>917</v>
      </c>
      <c r="D14" s="21" t="s">
        <v>918</v>
      </c>
      <c r="E14" s="21" t="s">
        <v>920</v>
      </c>
      <c r="F14" s="21" t="s">
        <v>921</v>
      </c>
      <c r="G14" s="22" t="s">
        <v>121</v>
      </c>
      <c r="H14" s="21" t="s">
        <v>922</v>
      </c>
      <c r="I14" s="22" t="s">
        <v>273</v>
      </c>
      <c r="J14" s="21" t="s">
        <v>924</v>
      </c>
      <c r="K14" s="21" t="s">
        <v>925</v>
      </c>
      <c r="L14" s="21" t="s">
        <v>927</v>
      </c>
      <c r="M14" s="22">
        <f>COUNTIF('Threat Atlas'!$AI$6:$AI$300,"*"&amp;A14&amp;"*")</f>
        <v>8</v>
      </c>
      <c r="N14" s="22">
        <f>COUNTIF('CVE Register'!$S$6:$S$300,"*"&amp;A14&amp;"*")</f>
        <v>0</v>
      </c>
      <c r="O14" s="105" t="s">
        <v>930</v>
      </c>
      <c r="P14" s="48" t="s">
        <v>931</v>
      </c>
      <c r="Q14" s="28" t="s">
        <v>935</v>
      </c>
    </row>
    <row r="15" ht="51.75" customHeight="1">
      <c r="A15" s="52" t="s">
        <v>936</v>
      </c>
      <c r="B15" s="55" t="s">
        <v>937</v>
      </c>
      <c r="C15" s="57" t="s">
        <v>917</v>
      </c>
      <c r="D15" s="57" t="s">
        <v>918</v>
      </c>
      <c r="E15" s="57" t="s">
        <v>939</v>
      </c>
      <c r="F15" s="57" t="s">
        <v>121</v>
      </c>
      <c r="G15" s="61" t="s">
        <v>121</v>
      </c>
      <c r="H15" s="57" t="s">
        <v>123</v>
      </c>
      <c r="I15" s="61" t="s">
        <v>273</v>
      </c>
      <c r="J15" s="57" t="s">
        <v>924</v>
      </c>
      <c r="K15" s="57" t="s">
        <v>945</v>
      </c>
      <c r="L15" s="57" t="s">
        <v>947</v>
      </c>
      <c r="M15" s="61">
        <f>COUNTIF('Threat Atlas'!$AI$6:$AI$300,"*"&amp;A15&amp;"*")</f>
        <v>2</v>
      </c>
      <c r="N15" s="61">
        <f>COUNTIF('CVE Register'!$S$6:$S$300,"*"&amp;A15&amp;"*")</f>
        <v>26</v>
      </c>
      <c r="O15" s="106" t="s">
        <v>951</v>
      </c>
      <c r="P15" s="69" t="s">
        <v>952</v>
      </c>
      <c r="Q15" s="50" t="s">
        <v>778</v>
      </c>
    </row>
    <row r="16" ht="51.75" customHeight="1">
      <c r="A16" s="29" t="s">
        <v>961</v>
      </c>
      <c r="B16" s="34" t="s">
        <v>962</v>
      </c>
      <c r="C16" s="21" t="s">
        <v>917</v>
      </c>
      <c r="D16" s="21" t="s">
        <v>918</v>
      </c>
      <c r="E16" s="21" t="s">
        <v>963</v>
      </c>
      <c r="F16" s="21" t="s">
        <v>799</v>
      </c>
      <c r="G16" s="22" t="s">
        <v>42</v>
      </c>
      <c r="H16" s="21" t="s">
        <v>965</v>
      </c>
      <c r="I16" s="22" t="s">
        <v>470</v>
      </c>
      <c r="J16" s="21" t="s">
        <v>924</v>
      </c>
      <c r="K16" s="21" t="s">
        <v>966</v>
      </c>
      <c r="L16" s="21" t="s">
        <v>967</v>
      </c>
      <c r="M16" s="22">
        <f>COUNTIF('Threat Atlas'!$AI$6:$AI$300,"*"&amp;A16&amp;"*")</f>
        <v>3</v>
      </c>
      <c r="N16" s="22">
        <f>COUNTIF('CVE Register'!$S$6:$S$300,"*"&amp;A16&amp;"*")</f>
        <v>0</v>
      </c>
      <c r="O16" s="105" t="s">
        <v>970</v>
      </c>
      <c r="P16" s="48" t="s">
        <v>971</v>
      </c>
      <c r="Q16" s="28" t="s">
        <v>778</v>
      </c>
    </row>
    <row r="17" ht="51.75" customHeight="1">
      <c r="A17" s="52" t="s">
        <v>975</v>
      </c>
      <c r="B17" s="55" t="s">
        <v>978</v>
      </c>
      <c r="C17" s="57" t="s">
        <v>917</v>
      </c>
      <c r="D17" s="57" t="s">
        <v>979</v>
      </c>
      <c r="E17" s="57" t="s">
        <v>980</v>
      </c>
      <c r="F17" s="57" t="s">
        <v>42</v>
      </c>
      <c r="G17" s="61" t="s">
        <v>42</v>
      </c>
      <c r="H17" s="57" t="s">
        <v>127</v>
      </c>
      <c r="I17" s="61" t="s">
        <v>470</v>
      </c>
      <c r="J17" s="57" t="s">
        <v>924</v>
      </c>
      <c r="K17" s="57" t="s">
        <v>983</v>
      </c>
      <c r="L17" s="57" t="s">
        <v>984</v>
      </c>
      <c r="M17" s="61">
        <f>COUNTIF('Threat Atlas'!$AI$6:$AI$300,"*"&amp;A17&amp;"*")</f>
        <v>3</v>
      </c>
      <c r="N17" s="61">
        <f>COUNTIF('CVE Register'!$S$6:$S$300,"*"&amp;A17&amp;"*")</f>
        <v>1</v>
      </c>
      <c r="O17" s="106" t="s">
        <v>386</v>
      </c>
      <c r="P17" s="69" t="s">
        <v>994</v>
      </c>
      <c r="Q17" s="50" t="s">
        <v>778</v>
      </c>
    </row>
    <row r="18" ht="51.75" customHeight="1">
      <c r="A18" s="29" t="s">
        <v>343</v>
      </c>
      <c r="B18" s="34" t="s">
        <v>1000</v>
      </c>
      <c r="C18" s="21" t="s">
        <v>1002</v>
      </c>
      <c r="D18" s="21" t="s">
        <v>1003</v>
      </c>
      <c r="E18" s="21" t="s">
        <v>1006</v>
      </c>
      <c r="F18" s="21" t="s">
        <v>1008</v>
      </c>
      <c r="G18" s="22" t="s">
        <v>121</v>
      </c>
      <c r="H18" s="21" t="s">
        <v>965</v>
      </c>
      <c r="I18" s="22" t="s">
        <v>273</v>
      </c>
      <c r="J18" s="21" t="s">
        <v>1011</v>
      </c>
      <c r="K18" s="21" t="s">
        <v>1012</v>
      </c>
      <c r="L18" s="21" t="s">
        <v>1013</v>
      </c>
      <c r="M18" s="22">
        <f>COUNTIF('Threat Atlas'!$AI$6:$AI$300,"*"&amp;A18&amp;"*")</f>
        <v>6</v>
      </c>
      <c r="N18" s="22">
        <f>COUNTIF('CVE Register'!$S$6:$S$300,"*"&amp;A18&amp;"*")</f>
        <v>16</v>
      </c>
      <c r="O18" s="105" t="s">
        <v>1021</v>
      </c>
      <c r="P18" s="48" t="s">
        <v>1022</v>
      </c>
      <c r="Q18" s="28" t="s">
        <v>778</v>
      </c>
    </row>
    <row r="19" ht="51.75" customHeight="1">
      <c r="A19" s="52" t="s">
        <v>1029</v>
      </c>
      <c r="B19" s="55" t="s">
        <v>1030</v>
      </c>
      <c r="C19" s="57" t="s">
        <v>1002</v>
      </c>
      <c r="D19" s="57" t="s">
        <v>1031</v>
      </c>
      <c r="E19" s="57" t="s">
        <v>1032</v>
      </c>
      <c r="F19" s="57" t="s">
        <v>799</v>
      </c>
      <c r="G19" s="61" t="s">
        <v>121</v>
      </c>
      <c r="H19" s="57" t="s">
        <v>123</v>
      </c>
      <c r="I19" s="61" t="s">
        <v>470</v>
      </c>
      <c r="J19" s="57" t="s">
        <v>1033</v>
      </c>
      <c r="K19" s="57" t="s">
        <v>1034</v>
      </c>
      <c r="L19" s="57" t="s">
        <v>1035</v>
      </c>
      <c r="M19" s="61">
        <f>COUNTIF('Threat Atlas'!$AI$6:$AI$300,"*"&amp;A19&amp;"*")</f>
        <v>6</v>
      </c>
      <c r="N19" s="61">
        <f>COUNTIF('CVE Register'!$S$6:$S$300,"*"&amp;A19&amp;"*")</f>
        <v>0</v>
      </c>
      <c r="O19" s="106" t="s">
        <v>386</v>
      </c>
      <c r="P19" s="69" t="s">
        <v>1050</v>
      </c>
      <c r="Q19" s="50" t="s">
        <v>466</v>
      </c>
    </row>
    <row r="20" ht="51.75" customHeight="1">
      <c r="A20" s="29" t="s">
        <v>541</v>
      </c>
      <c r="B20" s="34" t="s">
        <v>1055</v>
      </c>
      <c r="C20" s="21" t="s">
        <v>1056</v>
      </c>
      <c r="D20" s="21" t="s">
        <v>1057</v>
      </c>
      <c r="E20" s="21" t="s">
        <v>1058</v>
      </c>
      <c r="F20" s="21" t="s">
        <v>249</v>
      </c>
      <c r="G20" s="22" t="s">
        <v>249</v>
      </c>
      <c r="H20" s="21" t="s">
        <v>128</v>
      </c>
      <c r="I20" s="22" t="s">
        <v>470</v>
      </c>
      <c r="J20" s="21" t="s">
        <v>1060</v>
      </c>
      <c r="K20" s="21" t="s">
        <v>1061</v>
      </c>
      <c r="L20" s="21" t="s">
        <v>1062</v>
      </c>
      <c r="M20" s="22">
        <f>COUNTIF('Threat Atlas'!$AI$6:$AI$300,"*"&amp;A20&amp;"*")</f>
        <v>9</v>
      </c>
      <c r="N20" s="22">
        <f>COUNTIF('CVE Register'!$S$6:$S$300,"*"&amp;A20&amp;"*")</f>
        <v>0</v>
      </c>
      <c r="O20" s="105" t="s">
        <v>1064</v>
      </c>
      <c r="P20" s="48" t="s">
        <v>526</v>
      </c>
      <c r="Q20" s="28" t="s">
        <v>204</v>
      </c>
    </row>
    <row r="21" ht="51.75" customHeight="1">
      <c r="A21" s="52" t="s">
        <v>586</v>
      </c>
      <c r="B21" s="55" t="s">
        <v>1067</v>
      </c>
      <c r="C21" s="57" t="s">
        <v>1056</v>
      </c>
      <c r="D21" s="57" t="s">
        <v>1070</v>
      </c>
      <c r="E21" s="57" t="s">
        <v>1058</v>
      </c>
      <c r="F21" s="57" t="s">
        <v>249</v>
      </c>
      <c r="G21" s="61" t="s">
        <v>249</v>
      </c>
      <c r="H21" s="57" t="s">
        <v>128</v>
      </c>
      <c r="I21" s="61" t="s">
        <v>273</v>
      </c>
      <c r="J21" s="57" t="s">
        <v>1072</v>
      </c>
      <c r="K21" s="57" t="s">
        <v>1073</v>
      </c>
      <c r="L21" s="57" t="s">
        <v>1074</v>
      </c>
      <c r="M21" s="61">
        <f>COUNTIF('Threat Atlas'!$AI$6:$AI$300,"*"&amp;A21&amp;"*")</f>
        <v>5</v>
      </c>
      <c r="N21" s="61">
        <f>COUNTIF('CVE Register'!$S$6:$S$300,"*"&amp;A21&amp;"*")</f>
        <v>0</v>
      </c>
      <c r="O21" s="106" t="s">
        <v>409</v>
      </c>
      <c r="P21" s="69" t="s">
        <v>603</v>
      </c>
      <c r="Q21" s="50" t="s">
        <v>204</v>
      </c>
    </row>
    <row r="22" ht="51.75" customHeight="1">
      <c r="A22" s="29" t="s">
        <v>566</v>
      </c>
      <c r="B22" s="34" t="s">
        <v>1081</v>
      </c>
      <c r="C22" s="21" t="s">
        <v>1056</v>
      </c>
      <c r="D22" s="21" t="s">
        <v>1082</v>
      </c>
      <c r="E22" s="21" t="s">
        <v>1058</v>
      </c>
      <c r="F22" s="21" t="s">
        <v>1083</v>
      </c>
      <c r="G22" s="22" t="s">
        <v>42</v>
      </c>
      <c r="H22" s="21" t="s">
        <v>127</v>
      </c>
      <c r="I22" s="22" t="s">
        <v>273</v>
      </c>
      <c r="J22" s="21" t="s">
        <v>1085</v>
      </c>
      <c r="K22" s="21" t="s">
        <v>1087</v>
      </c>
      <c r="L22" s="21" t="s">
        <v>1089</v>
      </c>
      <c r="M22" s="22">
        <f>COUNTIF('Threat Atlas'!$AI$6:$AI$300,"*"&amp;A22&amp;"*")</f>
        <v>16</v>
      </c>
      <c r="N22" s="22">
        <f>COUNTIF('CVE Register'!$S$6:$S$300,"*"&amp;A22&amp;"*")</f>
        <v>0</v>
      </c>
      <c r="O22" s="105" t="s">
        <v>1097</v>
      </c>
      <c r="P22" s="48" t="s">
        <v>728</v>
      </c>
      <c r="Q22" s="28" t="s">
        <v>204</v>
      </c>
    </row>
    <row r="23" ht="51.75" customHeight="1">
      <c r="A23" s="52" t="s">
        <v>1065</v>
      </c>
      <c r="B23" s="55" t="s">
        <v>1103</v>
      </c>
      <c r="C23" s="57" t="s">
        <v>1104</v>
      </c>
      <c r="D23" s="57" t="s">
        <v>1105</v>
      </c>
      <c r="E23" s="57" t="s">
        <v>1058</v>
      </c>
      <c r="F23" s="57" t="s">
        <v>854</v>
      </c>
      <c r="G23" s="61" t="s">
        <v>249</v>
      </c>
      <c r="H23" s="57" t="s">
        <v>128</v>
      </c>
      <c r="I23" s="61" t="s">
        <v>470</v>
      </c>
      <c r="J23" s="57" t="s">
        <v>1106</v>
      </c>
      <c r="K23" s="57" t="s">
        <v>1108</v>
      </c>
      <c r="L23" s="57" t="s">
        <v>1109</v>
      </c>
      <c r="M23" s="61">
        <f>COUNTIF('Threat Atlas'!$AI$6:$AI$300,"*"&amp;A23&amp;"*")</f>
        <v>12</v>
      </c>
      <c r="N23" s="61">
        <f>COUNTIF('CVE Register'!$S$6:$S$300,"*"&amp;A23&amp;"*")</f>
        <v>0</v>
      </c>
      <c r="O23" s="106" t="s">
        <v>386</v>
      </c>
      <c r="P23" s="69" t="s">
        <v>622</v>
      </c>
      <c r="Q23" s="50" t="s">
        <v>204</v>
      </c>
    </row>
    <row r="24" ht="51.75" customHeight="1">
      <c r="A24" s="29" t="s">
        <v>1116</v>
      </c>
      <c r="B24" s="34" t="s">
        <v>1117</v>
      </c>
      <c r="C24" s="21" t="s">
        <v>1056</v>
      </c>
      <c r="D24" s="21" t="s">
        <v>1118</v>
      </c>
      <c r="E24" s="21" t="s">
        <v>1058</v>
      </c>
      <c r="F24" s="21" t="s">
        <v>1120</v>
      </c>
      <c r="G24" s="22" t="s">
        <v>42</v>
      </c>
      <c r="H24" s="21" t="s">
        <v>127</v>
      </c>
      <c r="I24" s="22" t="s">
        <v>470</v>
      </c>
      <c r="J24" s="21" t="s">
        <v>1124</v>
      </c>
      <c r="K24" s="21" t="s">
        <v>1125</v>
      </c>
      <c r="L24" s="21" t="s">
        <v>1126</v>
      </c>
      <c r="M24" s="22">
        <f>COUNTIF('Threat Atlas'!$AI$6:$AI$300,"*"&amp;A24&amp;"*")</f>
        <v>5</v>
      </c>
      <c r="N24" s="22">
        <f>COUNTIF('CVE Register'!$S$6:$S$300,"*"&amp;A24&amp;"*")</f>
        <v>0</v>
      </c>
      <c r="O24" s="105" t="s">
        <v>386</v>
      </c>
      <c r="P24" s="48" t="s">
        <v>1131</v>
      </c>
      <c r="Q24" s="28" t="s">
        <v>466</v>
      </c>
    </row>
    <row r="25" ht="51.75" customHeight="1">
      <c r="A25" s="52" t="s">
        <v>903</v>
      </c>
      <c r="B25" s="55" t="s">
        <v>1137</v>
      </c>
      <c r="C25" s="57" t="s">
        <v>1056</v>
      </c>
      <c r="D25" s="57" t="s">
        <v>1138</v>
      </c>
      <c r="E25" s="57" t="s">
        <v>1058</v>
      </c>
      <c r="F25" s="57" t="s">
        <v>249</v>
      </c>
      <c r="G25" s="61" t="s">
        <v>249</v>
      </c>
      <c r="H25" s="57" t="s">
        <v>128</v>
      </c>
      <c r="I25" s="61" t="s">
        <v>273</v>
      </c>
      <c r="J25" s="57" t="s">
        <v>1140</v>
      </c>
      <c r="K25" s="57" t="s">
        <v>1142</v>
      </c>
      <c r="L25" s="57" t="s">
        <v>1143</v>
      </c>
      <c r="M25" s="61">
        <f>COUNTIF('Threat Atlas'!$AI$6:$AI$300,"*"&amp;A25&amp;"*")</f>
        <v>3</v>
      </c>
      <c r="N25" s="61">
        <f>COUNTIF('CVE Register'!$S$6:$S$300,"*"&amp;A25&amp;"*")</f>
        <v>0</v>
      </c>
      <c r="O25" s="106" t="s">
        <v>896</v>
      </c>
      <c r="P25" s="69" t="s">
        <v>1145</v>
      </c>
      <c r="Q25" s="50" t="s">
        <v>204</v>
      </c>
    </row>
    <row r="26" ht="51.75" customHeight="1">
      <c r="A26" s="29" t="s">
        <v>1147</v>
      </c>
      <c r="B26" s="34" t="s">
        <v>1148</v>
      </c>
      <c r="C26" s="21" t="s">
        <v>1056</v>
      </c>
      <c r="D26" s="21" t="s">
        <v>1149</v>
      </c>
      <c r="E26" s="21" t="s">
        <v>1058</v>
      </c>
      <c r="F26" s="21" t="s">
        <v>1150</v>
      </c>
      <c r="G26" s="22" t="s">
        <v>197</v>
      </c>
      <c r="H26" s="21" t="s">
        <v>127</v>
      </c>
      <c r="I26" s="22" t="s">
        <v>273</v>
      </c>
      <c r="J26" s="21" t="s">
        <v>1152</v>
      </c>
      <c r="K26" s="21" t="s">
        <v>1153</v>
      </c>
      <c r="L26" s="21" t="s">
        <v>1154</v>
      </c>
      <c r="M26" s="22">
        <f>COUNTIF('Threat Atlas'!$AI$6:$AI$300,"*"&amp;A26&amp;"*")</f>
        <v>6</v>
      </c>
      <c r="N26" s="22">
        <f>COUNTIF('CVE Register'!$S$6:$S$300,"*"&amp;A26&amp;"*")</f>
        <v>0</v>
      </c>
      <c r="O26" s="105" t="s">
        <v>409</v>
      </c>
      <c r="P26" s="48" t="s">
        <v>1160</v>
      </c>
      <c r="Q26" s="28" t="s">
        <v>778</v>
      </c>
    </row>
    <row r="27" ht="51.75" customHeight="1">
      <c r="A27" s="52" t="s">
        <v>275</v>
      </c>
      <c r="B27" s="55" t="s">
        <v>1167</v>
      </c>
      <c r="C27" s="57" t="s">
        <v>1168</v>
      </c>
      <c r="D27" s="57" t="s">
        <v>1170</v>
      </c>
      <c r="E27" s="57" t="s">
        <v>1058</v>
      </c>
      <c r="F27" s="57" t="s">
        <v>197</v>
      </c>
      <c r="G27" s="61" t="s">
        <v>197</v>
      </c>
      <c r="H27" s="57" t="s">
        <v>1171</v>
      </c>
      <c r="I27" s="61" t="s">
        <v>273</v>
      </c>
      <c r="J27" s="57" t="s">
        <v>1172</v>
      </c>
      <c r="K27" s="57" t="s">
        <v>1173</v>
      </c>
      <c r="L27" s="57" t="s">
        <v>1174</v>
      </c>
      <c r="M27" s="61">
        <f>COUNTIF('Threat Atlas'!$AI$6:$AI$300,"*"&amp;A27&amp;"*")</f>
        <v>7</v>
      </c>
      <c r="N27" s="61">
        <f>COUNTIF('CVE Register'!$S$6:$S$300,"*"&amp;A27&amp;"*")</f>
        <v>0</v>
      </c>
      <c r="O27" s="106" t="s">
        <v>214</v>
      </c>
      <c r="P27" s="69" t="s">
        <v>1178</v>
      </c>
      <c r="Q27" s="50" t="s">
        <v>778</v>
      </c>
    </row>
    <row r="28" ht="51.75" customHeight="1">
      <c r="A28" s="29" t="s">
        <v>1181</v>
      </c>
      <c r="B28" s="34" t="s">
        <v>1182</v>
      </c>
      <c r="C28" s="21" t="s">
        <v>1183</v>
      </c>
      <c r="D28" s="21" t="s">
        <v>1184</v>
      </c>
      <c r="E28" s="21" t="s">
        <v>1058</v>
      </c>
      <c r="F28" s="21" t="s">
        <v>799</v>
      </c>
      <c r="G28" s="22" t="s">
        <v>42</v>
      </c>
      <c r="H28" s="21" t="s">
        <v>965</v>
      </c>
      <c r="I28" s="22" t="s">
        <v>470</v>
      </c>
      <c r="J28" s="21" t="s">
        <v>1183</v>
      </c>
      <c r="K28" s="21" t="s">
        <v>1185</v>
      </c>
      <c r="L28" s="21" t="s">
        <v>1186</v>
      </c>
      <c r="M28" s="22">
        <f>COUNTIF('Threat Atlas'!$AI$6:$AI$300,"*"&amp;A28&amp;"*")</f>
        <v>14</v>
      </c>
      <c r="N28" s="22">
        <f>COUNTIF('CVE Register'!$S$6:$S$300,"*"&amp;A28&amp;"*")</f>
        <v>6</v>
      </c>
      <c r="O28" s="105" t="s">
        <v>1194</v>
      </c>
      <c r="P28" s="48" t="s">
        <v>971</v>
      </c>
      <c r="Q28" s="28" t="s">
        <v>778</v>
      </c>
    </row>
    <row r="29" ht="51.75" customHeight="1">
      <c r="A29" s="52" t="s">
        <v>1195</v>
      </c>
      <c r="B29" s="55" t="s">
        <v>1196</v>
      </c>
      <c r="C29" s="57" t="s">
        <v>1183</v>
      </c>
      <c r="D29" s="57" t="s">
        <v>1198</v>
      </c>
      <c r="E29" s="57" t="s">
        <v>1058</v>
      </c>
      <c r="F29" s="57" t="s">
        <v>799</v>
      </c>
      <c r="G29" s="61" t="s">
        <v>121</v>
      </c>
      <c r="H29" s="57" t="s">
        <v>965</v>
      </c>
      <c r="I29" s="61" t="s">
        <v>273</v>
      </c>
      <c r="J29" s="57" t="s">
        <v>1183</v>
      </c>
      <c r="K29" s="57" t="s">
        <v>1199</v>
      </c>
      <c r="L29" s="57" t="s">
        <v>1200</v>
      </c>
      <c r="M29" s="61">
        <f>COUNTIF('Threat Atlas'!$AI$6:$AI$300,"*"&amp;A29&amp;"*")</f>
        <v>8</v>
      </c>
      <c r="N29" s="61">
        <f>COUNTIF('CVE Register'!$S$6:$S$300,"*"&amp;A29&amp;"*")</f>
        <v>57</v>
      </c>
      <c r="O29" s="106" t="s">
        <v>1208</v>
      </c>
      <c r="P29" s="69" t="s">
        <v>769</v>
      </c>
      <c r="Q29" s="50" t="s">
        <v>778</v>
      </c>
    </row>
    <row r="30" ht="51.75" customHeight="1">
      <c r="A30" s="29" t="s">
        <v>1214</v>
      </c>
      <c r="B30" s="34" t="s">
        <v>1215</v>
      </c>
      <c r="C30" s="21" t="s">
        <v>1216</v>
      </c>
      <c r="D30" s="21" t="s">
        <v>1217</v>
      </c>
      <c r="E30" s="21" t="s">
        <v>1219</v>
      </c>
      <c r="F30" s="21" t="s">
        <v>921</v>
      </c>
      <c r="G30" s="22" t="s">
        <v>121</v>
      </c>
      <c r="H30" s="21" t="s">
        <v>922</v>
      </c>
      <c r="I30" s="22" t="s">
        <v>273</v>
      </c>
      <c r="J30" s="21" t="s">
        <v>1222</v>
      </c>
      <c r="K30" s="21" t="s">
        <v>1223</v>
      </c>
      <c r="L30" s="21" t="s">
        <v>1224</v>
      </c>
      <c r="M30" s="22">
        <f>COUNTIF('Threat Atlas'!$AI$6:$AI$300,"*"&amp;A30&amp;"*")</f>
        <v>8</v>
      </c>
      <c r="N30" s="22">
        <f>COUNTIF('CVE Register'!$S$6:$S$300,"*"&amp;A30&amp;"*")</f>
        <v>0</v>
      </c>
      <c r="O30" s="105" t="s">
        <v>930</v>
      </c>
      <c r="P30" s="48" t="s">
        <v>1230</v>
      </c>
      <c r="Q30" s="28" t="s">
        <v>778</v>
      </c>
    </row>
    <row r="31" ht="15.75" customHeight="1">
      <c r="A31" s="1"/>
      <c r="B31" s="1"/>
      <c r="C31" s="1"/>
      <c r="D31" s="1"/>
      <c r="E31" s="1"/>
      <c r="F31" s="1"/>
      <c r="G31" s="1"/>
      <c r="H31" s="1"/>
      <c r="I31" s="1"/>
      <c r="J31" s="1"/>
      <c r="K31" s="1"/>
      <c r="L31" s="1"/>
      <c r="M31" s="1"/>
      <c r="N31" s="1"/>
      <c r="O31" s="1"/>
      <c r="P31" s="1"/>
      <c r="Q31" s="1"/>
    </row>
    <row r="32" ht="15.75" customHeight="1">
      <c r="A32" s="1"/>
      <c r="B32" s="1"/>
      <c r="C32" s="1"/>
      <c r="D32" s="1"/>
      <c r="E32" s="1"/>
      <c r="F32" s="1"/>
      <c r="G32" s="1"/>
      <c r="H32" s="1"/>
      <c r="I32" s="1"/>
      <c r="J32" s="1"/>
      <c r="K32" s="1"/>
      <c r="L32" s="1"/>
      <c r="M32" s="1"/>
      <c r="N32" s="1"/>
      <c r="O32" s="1"/>
      <c r="P32" s="1"/>
      <c r="Q32" s="1"/>
    </row>
    <row r="33" ht="15.75" customHeight="1">
      <c r="A33" s="1"/>
      <c r="B33" s="1"/>
      <c r="C33" s="1"/>
      <c r="D33" s="1"/>
      <c r="E33" s="1"/>
      <c r="F33" s="1"/>
      <c r="G33" s="1"/>
      <c r="H33" s="1"/>
      <c r="I33" s="1"/>
      <c r="J33" s="1"/>
      <c r="K33" s="1"/>
      <c r="L33" s="1"/>
      <c r="M33" s="1"/>
      <c r="N33" s="1"/>
      <c r="O33" s="1"/>
      <c r="P33" s="1"/>
      <c r="Q33" s="1"/>
    </row>
    <row r="34" ht="15.75" customHeight="1">
      <c r="A34" s="1"/>
      <c r="B34" s="1"/>
      <c r="C34" s="1"/>
      <c r="D34" s="1"/>
      <c r="E34" s="1"/>
      <c r="F34" s="1"/>
      <c r="G34" s="1"/>
      <c r="H34" s="1"/>
      <c r="I34" s="1"/>
      <c r="J34" s="1"/>
      <c r="K34" s="1"/>
      <c r="L34" s="1"/>
      <c r="M34" s="1"/>
      <c r="N34" s="1"/>
      <c r="O34" s="1"/>
      <c r="P34" s="1"/>
      <c r="Q34" s="1"/>
    </row>
    <row r="35" ht="15.75" customHeight="1">
      <c r="A35" s="1"/>
      <c r="B35" s="1"/>
      <c r="C35" s="1"/>
      <c r="D35" s="1"/>
      <c r="E35" s="1"/>
      <c r="F35" s="1"/>
      <c r="G35" s="1"/>
      <c r="H35" s="1"/>
      <c r="I35" s="1"/>
      <c r="J35" s="1"/>
      <c r="K35" s="1"/>
      <c r="L35" s="1"/>
      <c r="M35" s="1"/>
      <c r="N35" s="1"/>
      <c r="O35" s="1"/>
      <c r="P35" s="1"/>
      <c r="Q35" s="1"/>
    </row>
    <row r="36" ht="15.75" customHeight="1">
      <c r="A36" s="1"/>
      <c r="B36" s="1"/>
      <c r="C36" s="1"/>
      <c r="D36" s="1"/>
      <c r="E36" s="1"/>
      <c r="F36" s="1"/>
      <c r="G36" s="1"/>
      <c r="H36" s="1"/>
      <c r="I36" s="1"/>
      <c r="J36" s="1"/>
      <c r="K36" s="1"/>
      <c r="L36" s="1"/>
      <c r="M36" s="1"/>
      <c r="N36" s="1"/>
      <c r="O36" s="1"/>
      <c r="P36" s="1"/>
      <c r="Q36" s="1"/>
    </row>
    <row r="37" ht="15.75" customHeight="1">
      <c r="A37" s="1"/>
      <c r="B37" s="1"/>
      <c r="C37" s="1"/>
      <c r="D37" s="1"/>
      <c r="E37" s="1"/>
      <c r="F37" s="1"/>
      <c r="G37" s="1"/>
      <c r="H37" s="1"/>
      <c r="I37" s="1"/>
      <c r="J37" s="1"/>
      <c r="K37" s="1"/>
      <c r="L37" s="1"/>
      <c r="M37" s="1"/>
      <c r="N37" s="1"/>
      <c r="O37" s="1"/>
      <c r="P37" s="1"/>
      <c r="Q37" s="1"/>
    </row>
    <row r="38" ht="15.75" customHeight="1">
      <c r="A38" s="1"/>
      <c r="B38" s="1"/>
      <c r="C38" s="1"/>
      <c r="D38" s="1"/>
      <c r="E38" s="1"/>
      <c r="F38" s="1"/>
      <c r="G38" s="1"/>
      <c r="H38" s="1"/>
      <c r="I38" s="1"/>
      <c r="J38" s="1"/>
      <c r="K38" s="1"/>
      <c r="L38" s="1"/>
      <c r="M38" s="1"/>
      <c r="N38" s="1"/>
      <c r="O38" s="1"/>
      <c r="P38" s="1"/>
      <c r="Q38" s="1"/>
    </row>
    <row r="39" ht="15.75" customHeight="1">
      <c r="A39" s="1"/>
      <c r="B39" s="1"/>
      <c r="C39" s="1"/>
      <c r="D39" s="1"/>
      <c r="E39" s="1"/>
      <c r="F39" s="1"/>
      <c r="G39" s="1"/>
      <c r="H39" s="1"/>
      <c r="I39" s="1"/>
      <c r="J39" s="1"/>
      <c r="K39" s="1"/>
      <c r="L39" s="1"/>
      <c r="M39" s="1"/>
      <c r="N39" s="1"/>
      <c r="O39" s="1"/>
      <c r="P39" s="1"/>
      <c r="Q39" s="1"/>
    </row>
    <row r="40" ht="15.75" customHeight="1">
      <c r="A40" s="1"/>
      <c r="B40" s="1"/>
      <c r="C40" s="1"/>
      <c r="D40" s="1"/>
      <c r="E40" s="1"/>
      <c r="F40" s="1"/>
      <c r="G40" s="1"/>
      <c r="H40" s="1"/>
      <c r="I40" s="1"/>
      <c r="J40" s="1"/>
      <c r="K40" s="1"/>
      <c r="L40" s="1"/>
      <c r="M40" s="1"/>
      <c r="N40" s="1"/>
      <c r="O40" s="1"/>
      <c r="P40" s="1"/>
      <c r="Q40" s="1"/>
    </row>
    <row r="41" ht="15.75" customHeight="1">
      <c r="A41" s="1"/>
      <c r="B41" s="1"/>
      <c r="C41" s="1"/>
      <c r="D41" s="1"/>
      <c r="E41" s="1"/>
      <c r="F41" s="1"/>
      <c r="G41" s="1"/>
      <c r="H41" s="1"/>
      <c r="I41" s="1"/>
      <c r="J41" s="1"/>
      <c r="K41" s="1"/>
      <c r="L41" s="1"/>
      <c r="M41" s="1"/>
      <c r="N41" s="1"/>
      <c r="O41" s="1"/>
      <c r="P41" s="1"/>
      <c r="Q41" s="1"/>
    </row>
    <row r="42" ht="15.75" customHeight="1">
      <c r="A42" s="1"/>
      <c r="B42" s="1"/>
      <c r="C42" s="1"/>
      <c r="D42" s="1"/>
      <c r="E42" s="1"/>
      <c r="F42" s="1"/>
      <c r="G42" s="1"/>
      <c r="H42" s="1"/>
      <c r="I42" s="1"/>
      <c r="J42" s="1"/>
      <c r="K42" s="1"/>
      <c r="L42" s="1"/>
      <c r="M42" s="1"/>
      <c r="N42" s="1"/>
      <c r="O42" s="1"/>
      <c r="P42" s="1"/>
      <c r="Q42" s="1"/>
    </row>
    <row r="43" ht="15.75" customHeight="1">
      <c r="A43" s="1"/>
      <c r="B43" s="1"/>
      <c r="C43" s="1"/>
      <c r="D43" s="1"/>
      <c r="E43" s="1"/>
      <c r="F43" s="1"/>
      <c r="G43" s="1"/>
      <c r="H43" s="1"/>
      <c r="I43" s="1"/>
      <c r="J43" s="1"/>
      <c r="K43" s="1"/>
      <c r="L43" s="1"/>
      <c r="M43" s="1"/>
      <c r="N43" s="1"/>
      <c r="O43" s="1"/>
      <c r="P43" s="1"/>
      <c r="Q43" s="1"/>
    </row>
    <row r="44" ht="15.75" customHeight="1">
      <c r="A44" s="1"/>
      <c r="B44" s="1"/>
      <c r="C44" s="1"/>
      <c r="D44" s="1"/>
      <c r="E44" s="1"/>
      <c r="F44" s="1"/>
      <c r="G44" s="1"/>
      <c r="H44" s="1"/>
      <c r="I44" s="1"/>
      <c r="J44" s="1"/>
      <c r="K44" s="1"/>
      <c r="L44" s="1"/>
      <c r="M44" s="1"/>
      <c r="N44" s="1"/>
      <c r="O44" s="1"/>
      <c r="P44" s="1"/>
      <c r="Q44" s="1"/>
    </row>
    <row r="45" ht="15.75" customHeight="1">
      <c r="A45" s="1"/>
      <c r="B45" s="1"/>
      <c r="C45" s="1"/>
      <c r="D45" s="1"/>
      <c r="E45" s="1"/>
      <c r="F45" s="1"/>
      <c r="G45" s="1"/>
      <c r="H45" s="1"/>
      <c r="I45" s="1"/>
      <c r="J45" s="1"/>
      <c r="K45" s="1"/>
      <c r="L45" s="1"/>
      <c r="M45" s="1"/>
      <c r="N45" s="1"/>
      <c r="O45" s="1"/>
      <c r="P45" s="1"/>
      <c r="Q45" s="1"/>
    </row>
    <row r="46" ht="15.75" customHeight="1">
      <c r="A46" s="1"/>
      <c r="B46" s="1"/>
      <c r="C46" s="1"/>
      <c r="D46" s="1"/>
      <c r="E46" s="1"/>
      <c r="F46" s="1"/>
      <c r="G46" s="1"/>
      <c r="H46" s="1"/>
      <c r="I46" s="1"/>
      <c r="J46" s="1"/>
      <c r="K46" s="1"/>
      <c r="L46" s="1"/>
      <c r="M46" s="1"/>
      <c r="N46" s="1"/>
      <c r="O46" s="1"/>
      <c r="P46" s="1"/>
      <c r="Q46" s="1"/>
    </row>
    <row r="47" ht="15.75" customHeight="1">
      <c r="A47" s="1"/>
      <c r="B47" s="1"/>
      <c r="C47" s="1"/>
      <c r="D47" s="1"/>
      <c r="E47" s="1"/>
      <c r="F47" s="1"/>
      <c r="G47" s="1"/>
      <c r="H47" s="1"/>
      <c r="I47" s="1"/>
      <c r="J47" s="1"/>
      <c r="K47" s="1"/>
      <c r="L47" s="1"/>
      <c r="M47" s="1"/>
      <c r="N47" s="1"/>
      <c r="O47" s="1"/>
      <c r="P47" s="1"/>
      <c r="Q47" s="1"/>
    </row>
    <row r="48" ht="15.75" customHeight="1">
      <c r="A48" s="1"/>
      <c r="B48" s="1"/>
      <c r="C48" s="1"/>
      <c r="D48" s="1"/>
      <c r="E48" s="1"/>
      <c r="F48" s="1"/>
      <c r="G48" s="1"/>
      <c r="H48" s="1"/>
      <c r="I48" s="1"/>
      <c r="J48" s="1"/>
      <c r="K48" s="1"/>
      <c r="L48" s="1"/>
      <c r="M48" s="1"/>
      <c r="N48" s="1"/>
      <c r="O48" s="1"/>
      <c r="P48" s="1"/>
      <c r="Q48" s="1"/>
    </row>
    <row r="49" ht="15.75" customHeight="1">
      <c r="A49" s="1"/>
      <c r="B49" s="1"/>
      <c r="C49" s="1"/>
      <c r="D49" s="1"/>
      <c r="E49" s="1"/>
      <c r="F49" s="1"/>
      <c r="G49" s="1"/>
      <c r="H49" s="1"/>
      <c r="I49" s="1"/>
      <c r="J49" s="1"/>
      <c r="K49" s="1"/>
      <c r="L49" s="1"/>
      <c r="M49" s="1"/>
      <c r="N49" s="1"/>
      <c r="O49" s="1"/>
      <c r="P49" s="1"/>
      <c r="Q49" s="1"/>
    </row>
    <row r="50" ht="15.75" customHeight="1">
      <c r="A50" s="1"/>
      <c r="B50" s="1"/>
      <c r="C50" s="1"/>
      <c r="D50" s="1"/>
      <c r="E50" s="1"/>
      <c r="F50" s="1"/>
      <c r="G50" s="1"/>
      <c r="H50" s="1"/>
      <c r="I50" s="1"/>
      <c r="J50" s="1"/>
      <c r="K50" s="1"/>
      <c r="L50" s="1"/>
      <c r="M50" s="1"/>
      <c r="N50" s="1"/>
      <c r="O50" s="1"/>
      <c r="P50" s="1"/>
      <c r="Q50" s="1"/>
    </row>
    <row r="51" ht="15.75" customHeight="1">
      <c r="A51" s="1"/>
      <c r="B51" s="1"/>
      <c r="C51" s="1"/>
      <c r="D51" s="1"/>
      <c r="E51" s="1"/>
      <c r="F51" s="1"/>
      <c r="G51" s="1"/>
      <c r="H51" s="1"/>
      <c r="I51" s="1"/>
      <c r="J51" s="1"/>
      <c r="K51" s="1"/>
      <c r="L51" s="1"/>
      <c r="M51" s="1"/>
      <c r="N51" s="1"/>
      <c r="O51" s="1"/>
      <c r="P51" s="1"/>
      <c r="Q51" s="1"/>
    </row>
    <row r="52" ht="15.75" customHeight="1">
      <c r="A52" s="1"/>
      <c r="B52" s="1"/>
      <c r="C52" s="1"/>
      <c r="D52" s="1"/>
      <c r="E52" s="1"/>
      <c r="F52" s="1"/>
      <c r="G52" s="1"/>
      <c r="H52" s="1"/>
      <c r="I52" s="1"/>
      <c r="J52" s="1"/>
      <c r="K52" s="1"/>
      <c r="L52" s="1"/>
      <c r="M52" s="1"/>
      <c r="N52" s="1"/>
      <c r="O52" s="1"/>
      <c r="P52" s="1"/>
      <c r="Q52" s="1"/>
    </row>
    <row r="53" ht="15.75" customHeight="1">
      <c r="A53" s="1"/>
      <c r="B53" s="1"/>
      <c r="C53" s="1"/>
      <c r="D53" s="1"/>
      <c r="E53" s="1"/>
      <c r="F53" s="1"/>
      <c r="G53" s="1"/>
      <c r="H53" s="1"/>
      <c r="I53" s="1"/>
      <c r="J53" s="1"/>
      <c r="K53" s="1"/>
      <c r="L53" s="1"/>
      <c r="M53" s="1"/>
      <c r="N53" s="1"/>
      <c r="O53" s="1"/>
      <c r="P53" s="1"/>
      <c r="Q53" s="1"/>
    </row>
    <row r="54" ht="15.75" customHeight="1">
      <c r="A54" s="1"/>
      <c r="B54" s="1"/>
      <c r="C54" s="1"/>
      <c r="D54" s="1"/>
      <c r="E54" s="1"/>
      <c r="F54" s="1"/>
      <c r="G54" s="1"/>
      <c r="H54" s="1"/>
      <c r="I54" s="1"/>
      <c r="J54" s="1"/>
      <c r="K54" s="1"/>
      <c r="L54" s="1"/>
      <c r="M54" s="1"/>
      <c r="N54" s="1"/>
      <c r="O54" s="1"/>
      <c r="P54" s="1"/>
      <c r="Q54" s="1"/>
    </row>
    <row r="55" ht="15.75" customHeight="1">
      <c r="A55" s="1"/>
      <c r="B55" s="1"/>
      <c r="C55" s="1"/>
      <c r="D55" s="1"/>
      <c r="E55" s="1"/>
      <c r="F55" s="1"/>
      <c r="G55" s="1"/>
      <c r="H55" s="1"/>
      <c r="I55" s="1"/>
      <c r="J55" s="1"/>
      <c r="K55" s="1"/>
      <c r="L55" s="1"/>
      <c r="M55" s="1"/>
      <c r="N55" s="1"/>
      <c r="O55" s="1"/>
      <c r="P55" s="1"/>
      <c r="Q55" s="1"/>
    </row>
    <row r="56" ht="15.75" customHeight="1">
      <c r="A56" s="1"/>
      <c r="B56" s="1"/>
      <c r="C56" s="1"/>
      <c r="D56" s="1"/>
      <c r="E56" s="1"/>
      <c r="F56" s="1"/>
      <c r="G56" s="1"/>
      <c r="H56" s="1"/>
      <c r="I56" s="1"/>
      <c r="J56" s="1"/>
      <c r="K56" s="1"/>
      <c r="L56" s="1"/>
      <c r="M56" s="1"/>
      <c r="N56" s="1"/>
      <c r="O56" s="1"/>
      <c r="P56" s="1"/>
      <c r="Q56" s="1"/>
    </row>
    <row r="57" ht="15.75" customHeight="1">
      <c r="A57" s="1"/>
      <c r="B57" s="1"/>
      <c r="C57" s="1"/>
      <c r="D57" s="1"/>
      <c r="E57" s="1"/>
      <c r="F57" s="1"/>
      <c r="G57" s="1"/>
      <c r="H57" s="1"/>
      <c r="I57" s="1"/>
      <c r="J57" s="1"/>
      <c r="K57" s="1"/>
      <c r="L57" s="1"/>
      <c r="M57" s="1"/>
      <c r="N57" s="1"/>
      <c r="O57" s="1"/>
      <c r="P57" s="1"/>
      <c r="Q57" s="1"/>
    </row>
    <row r="58" ht="15.75" customHeight="1">
      <c r="A58" s="1"/>
      <c r="B58" s="1"/>
      <c r="C58" s="1"/>
      <c r="D58" s="1"/>
      <c r="E58" s="1"/>
      <c r="F58" s="1"/>
      <c r="G58" s="1"/>
      <c r="H58" s="1"/>
      <c r="I58" s="1"/>
      <c r="J58" s="1"/>
      <c r="K58" s="1"/>
      <c r="L58" s="1"/>
      <c r="M58" s="1"/>
      <c r="N58" s="1"/>
      <c r="O58" s="1"/>
      <c r="P58" s="1"/>
      <c r="Q58" s="1"/>
    </row>
    <row r="59" ht="15.75" customHeight="1">
      <c r="A59" s="1"/>
      <c r="B59" s="1"/>
      <c r="C59" s="1"/>
      <c r="D59" s="1"/>
      <c r="E59" s="1"/>
      <c r="F59" s="1"/>
      <c r="G59" s="1"/>
      <c r="H59" s="1"/>
      <c r="I59" s="1"/>
      <c r="J59" s="1"/>
      <c r="K59" s="1"/>
      <c r="L59" s="1"/>
      <c r="M59" s="1"/>
      <c r="N59" s="1"/>
      <c r="O59" s="1"/>
      <c r="P59" s="1"/>
      <c r="Q59" s="1"/>
    </row>
    <row r="60" ht="15.75" customHeight="1">
      <c r="A60" s="1"/>
      <c r="B60" s="1"/>
      <c r="C60" s="1"/>
      <c r="D60" s="1"/>
      <c r="E60" s="1"/>
      <c r="F60" s="1"/>
      <c r="G60" s="1"/>
      <c r="H60" s="1"/>
      <c r="I60" s="1"/>
      <c r="J60" s="1"/>
      <c r="K60" s="1"/>
      <c r="L60" s="1"/>
      <c r="M60" s="1"/>
      <c r="N60" s="1"/>
      <c r="O60" s="1"/>
      <c r="P60" s="1"/>
      <c r="Q60" s="1"/>
    </row>
    <row r="61" ht="15.75" customHeight="1">
      <c r="A61" s="1"/>
      <c r="B61" s="1"/>
      <c r="C61" s="1"/>
      <c r="D61" s="1"/>
      <c r="E61" s="1"/>
      <c r="F61" s="1"/>
      <c r="G61" s="1"/>
      <c r="H61" s="1"/>
      <c r="I61" s="1"/>
      <c r="J61" s="1"/>
      <c r="K61" s="1"/>
      <c r="L61" s="1"/>
      <c r="M61" s="1"/>
      <c r="N61" s="1"/>
      <c r="O61" s="1"/>
      <c r="P61" s="1"/>
      <c r="Q61" s="1"/>
    </row>
    <row r="62" ht="15.75" customHeight="1">
      <c r="A62" s="1"/>
      <c r="B62" s="1"/>
      <c r="C62" s="1"/>
      <c r="D62" s="1"/>
      <c r="E62" s="1"/>
      <c r="F62" s="1"/>
      <c r="G62" s="1"/>
      <c r="H62" s="1"/>
      <c r="I62" s="1"/>
      <c r="J62" s="1"/>
      <c r="K62" s="1"/>
      <c r="L62" s="1"/>
      <c r="M62" s="1"/>
      <c r="N62" s="1"/>
      <c r="O62" s="1"/>
      <c r="P62" s="1"/>
      <c r="Q62" s="1"/>
    </row>
    <row r="63" ht="15.75" customHeight="1">
      <c r="A63" s="1"/>
      <c r="B63" s="1"/>
      <c r="C63" s="1"/>
      <c r="D63" s="1"/>
      <c r="E63" s="1"/>
      <c r="F63" s="1"/>
      <c r="G63" s="1"/>
      <c r="H63" s="1"/>
      <c r="I63" s="1"/>
      <c r="J63" s="1"/>
      <c r="K63" s="1"/>
      <c r="L63" s="1"/>
      <c r="M63" s="1"/>
      <c r="N63" s="1"/>
      <c r="O63" s="1"/>
      <c r="P63" s="1"/>
      <c r="Q63" s="1"/>
    </row>
    <row r="64" ht="15.75" customHeight="1">
      <c r="A64" s="1"/>
      <c r="B64" s="1"/>
      <c r="C64" s="1"/>
      <c r="D64" s="1"/>
      <c r="E64" s="1"/>
      <c r="F64" s="1"/>
      <c r="G64" s="1"/>
      <c r="H64" s="1"/>
      <c r="I64" s="1"/>
      <c r="J64" s="1"/>
      <c r="K64" s="1"/>
      <c r="L64" s="1"/>
      <c r="M64" s="1"/>
      <c r="N64" s="1"/>
      <c r="O64" s="1"/>
      <c r="P64" s="1"/>
      <c r="Q64" s="1"/>
    </row>
    <row r="65" ht="15.75" customHeight="1">
      <c r="A65" s="1"/>
      <c r="B65" s="1"/>
      <c r="C65" s="1"/>
      <c r="D65" s="1"/>
      <c r="E65" s="1"/>
      <c r="F65" s="1"/>
      <c r="G65" s="1"/>
      <c r="H65" s="1"/>
      <c r="I65" s="1"/>
      <c r="J65" s="1"/>
      <c r="K65" s="1"/>
      <c r="L65" s="1"/>
      <c r="M65" s="1"/>
      <c r="N65" s="1"/>
      <c r="O65" s="1"/>
      <c r="P65" s="1"/>
      <c r="Q65" s="1"/>
    </row>
    <row r="66" ht="15.75" customHeight="1">
      <c r="A66" s="1"/>
      <c r="B66" s="1"/>
      <c r="C66" s="1"/>
      <c r="D66" s="1"/>
      <c r="E66" s="1"/>
      <c r="F66" s="1"/>
      <c r="G66" s="1"/>
      <c r="H66" s="1"/>
      <c r="I66" s="1"/>
      <c r="J66" s="1"/>
      <c r="K66" s="1"/>
      <c r="L66" s="1"/>
      <c r="M66" s="1"/>
      <c r="N66" s="1"/>
      <c r="O66" s="1"/>
      <c r="P66" s="1"/>
      <c r="Q66" s="1"/>
    </row>
    <row r="67" ht="15.75" customHeight="1">
      <c r="A67" s="1"/>
      <c r="B67" s="1"/>
      <c r="C67" s="1"/>
      <c r="D67" s="1"/>
      <c r="E67" s="1"/>
      <c r="F67" s="1"/>
      <c r="G67" s="1"/>
      <c r="H67" s="1"/>
      <c r="I67" s="1"/>
      <c r="J67" s="1"/>
      <c r="K67" s="1"/>
      <c r="L67" s="1"/>
      <c r="M67" s="1"/>
      <c r="N67" s="1"/>
      <c r="O67" s="1"/>
      <c r="P67" s="1"/>
      <c r="Q67" s="1"/>
    </row>
    <row r="68" ht="15.75" customHeight="1">
      <c r="A68" s="1"/>
      <c r="B68" s="1"/>
      <c r="C68" s="1"/>
      <c r="D68" s="1"/>
      <c r="E68" s="1"/>
      <c r="F68" s="1"/>
      <c r="G68" s="1"/>
      <c r="H68" s="1"/>
      <c r="I68" s="1"/>
      <c r="J68" s="1"/>
      <c r="K68" s="1"/>
      <c r="L68" s="1"/>
      <c r="M68" s="1"/>
      <c r="N68" s="1"/>
      <c r="O68" s="1"/>
      <c r="P68" s="1"/>
      <c r="Q68" s="1"/>
    </row>
    <row r="69" ht="15.75" customHeight="1">
      <c r="A69" s="1"/>
      <c r="B69" s="1"/>
      <c r="C69" s="1"/>
      <c r="D69" s="1"/>
      <c r="E69" s="1"/>
      <c r="F69" s="1"/>
      <c r="G69" s="1"/>
      <c r="H69" s="1"/>
      <c r="I69" s="1"/>
      <c r="J69" s="1"/>
      <c r="K69" s="1"/>
      <c r="L69" s="1"/>
      <c r="M69" s="1"/>
      <c r="N69" s="1"/>
      <c r="O69" s="1"/>
      <c r="P69" s="1"/>
      <c r="Q69" s="1"/>
    </row>
    <row r="70" ht="15.75" customHeight="1">
      <c r="A70" s="1"/>
      <c r="B70" s="1"/>
      <c r="C70" s="1"/>
      <c r="D70" s="1"/>
      <c r="E70" s="1"/>
      <c r="F70" s="1"/>
      <c r="G70" s="1"/>
      <c r="H70" s="1"/>
      <c r="I70" s="1"/>
      <c r="J70" s="1"/>
      <c r="K70" s="1"/>
      <c r="L70" s="1"/>
      <c r="M70" s="1"/>
      <c r="N70" s="1"/>
      <c r="O70" s="1"/>
      <c r="P70" s="1"/>
      <c r="Q70" s="1"/>
    </row>
    <row r="71" ht="15.75" customHeight="1">
      <c r="A71" s="1"/>
      <c r="B71" s="1"/>
      <c r="C71" s="1"/>
      <c r="D71" s="1"/>
      <c r="E71" s="1"/>
      <c r="F71" s="1"/>
      <c r="G71" s="1"/>
      <c r="H71" s="1"/>
      <c r="I71" s="1"/>
      <c r="J71" s="1"/>
      <c r="K71" s="1"/>
      <c r="L71" s="1"/>
      <c r="M71" s="1"/>
      <c r="N71" s="1"/>
      <c r="O71" s="1"/>
      <c r="P71" s="1"/>
      <c r="Q71" s="1"/>
    </row>
    <row r="72" ht="15.75" customHeight="1">
      <c r="A72" s="1"/>
      <c r="B72" s="1"/>
      <c r="C72" s="1"/>
      <c r="D72" s="1"/>
      <c r="E72" s="1"/>
      <c r="F72" s="1"/>
      <c r="G72" s="1"/>
      <c r="H72" s="1"/>
      <c r="I72" s="1"/>
      <c r="J72" s="1"/>
      <c r="K72" s="1"/>
      <c r="L72" s="1"/>
      <c r="M72" s="1"/>
      <c r="N72" s="1"/>
      <c r="O72" s="1"/>
      <c r="P72" s="1"/>
      <c r="Q72" s="1"/>
    </row>
    <row r="73" ht="15.75" customHeight="1">
      <c r="A73" s="1"/>
      <c r="B73" s="1"/>
      <c r="C73" s="1"/>
      <c r="D73" s="1"/>
      <c r="E73" s="1"/>
      <c r="F73" s="1"/>
      <c r="G73" s="1"/>
      <c r="H73" s="1"/>
      <c r="I73" s="1"/>
      <c r="J73" s="1"/>
      <c r="K73" s="1"/>
      <c r="L73" s="1"/>
      <c r="M73" s="1"/>
      <c r="N73" s="1"/>
      <c r="O73" s="1"/>
      <c r="P73" s="1"/>
      <c r="Q73" s="1"/>
    </row>
    <row r="74" ht="15.75" customHeight="1">
      <c r="A74" s="1"/>
      <c r="B74" s="1"/>
      <c r="C74" s="1"/>
      <c r="D74" s="1"/>
      <c r="E74" s="1"/>
      <c r="F74" s="1"/>
      <c r="G74" s="1"/>
      <c r="H74" s="1"/>
      <c r="I74" s="1"/>
      <c r="J74" s="1"/>
      <c r="K74" s="1"/>
      <c r="L74" s="1"/>
      <c r="M74" s="1"/>
      <c r="N74" s="1"/>
      <c r="O74" s="1"/>
      <c r="P74" s="1"/>
      <c r="Q74" s="1"/>
    </row>
    <row r="75" ht="15.75" customHeight="1">
      <c r="A75" s="1"/>
      <c r="B75" s="1"/>
      <c r="C75" s="1"/>
      <c r="D75" s="1"/>
      <c r="E75" s="1"/>
      <c r="F75" s="1"/>
      <c r="G75" s="1"/>
      <c r="H75" s="1"/>
      <c r="I75" s="1"/>
      <c r="J75" s="1"/>
      <c r="K75" s="1"/>
      <c r="L75" s="1"/>
      <c r="M75" s="1"/>
      <c r="N75" s="1"/>
      <c r="O75" s="1"/>
      <c r="P75" s="1"/>
      <c r="Q75" s="1"/>
    </row>
    <row r="76" ht="15.75" customHeight="1">
      <c r="A76" s="1"/>
      <c r="B76" s="1"/>
      <c r="C76" s="1"/>
      <c r="D76" s="1"/>
      <c r="E76" s="1"/>
      <c r="F76" s="1"/>
      <c r="G76" s="1"/>
      <c r="H76" s="1"/>
      <c r="I76" s="1"/>
      <c r="J76" s="1"/>
      <c r="K76" s="1"/>
      <c r="L76" s="1"/>
      <c r="M76" s="1"/>
      <c r="N76" s="1"/>
      <c r="O76" s="1"/>
      <c r="P76" s="1"/>
      <c r="Q76" s="1"/>
    </row>
    <row r="77" ht="15.75" customHeight="1">
      <c r="A77" s="1"/>
      <c r="B77" s="1"/>
      <c r="C77" s="1"/>
      <c r="D77" s="1"/>
      <c r="E77" s="1"/>
      <c r="F77" s="1"/>
      <c r="G77" s="1"/>
      <c r="H77" s="1"/>
      <c r="I77" s="1"/>
      <c r="J77" s="1"/>
      <c r="K77" s="1"/>
      <c r="L77" s="1"/>
      <c r="M77" s="1"/>
      <c r="N77" s="1"/>
      <c r="O77" s="1"/>
      <c r="P77" s="1"/>
      <c r="Q77" s="1"/>
    </row>
    <row r="78" ht="15.75" customHeight="1">
      <c r="A78" s="1"/>
      <c r="B78" s="1"/>
      <c r="C78" s="1"/>
      <c r="D78" s="1"/>
      <c r="E78" s="1"/>
      <c r="F78" s="1"/>
      <c r="G78" s="1"/>
      <c r="H78" s="1"/>
      <c r="I78" s="1"/>
      <c r="J78" s="1"/>
      <c r="K78" s="1"/>
      <c r="L78" s="1"/>
      <c r="M78" s="1"/>
      <c r="N78" s="1"/>
      <c r="O78" s="1"/>
      <c r="P78" s="1"/>
      <c r="Q78" s="1"/>
    </row>
    <row r="79" ht="15.75" customHeight="1">
      <c r="A79" s="1"/>
      <c r="B79" s="1"/>
      <c r="C79" s="1"/>
      <c r="D79" s="1"/>
      <c r="E79" s="1"/>
      <c r="F79" s="1"/>
      <c r="G79" s="1"/>
      <c r="H79" s="1"/>
      <c r="I79" s="1"/>
      <c r="J79" s="1"/>
      <c r="K79" s="1"/>
      <c r="L79" s="1"/>
      <c r="M79" s="1"/>
      <c r="N79" s="1"/>
      <c r="O79" s="1"/>
      <c r="P79" s="1"/>
      <c r="Q79" s="1"/>
    </row>
    <row r="80" ht="15.75" customHeight="1">
      <c r="A80" s="1"/>
      <c r="B80" s="1"/>
      <c r="C80" s="1"/>
      <c r="D80" s="1"/>
      <c r="E80" s="1"/>
      <c r="F80" s="1"/>
      <c r="G80" s="1"/>
      <c r="H80" s="1"/>
      <c r="I80" s="1"/>
      <c r="J80" s="1"/>
      <c r="K80" s="1"/>
      <c r="L80" s="1"/>
      <c r="M80" s="1"/>
      <c r="N80" s="1"/>
      <c r="O80" s="1"/>
      <c r="P80" s="1"/>
      <c r="Q80" s="1"/>
    </row>
    <row r="81" ht="15.75" customHeight="1">
      <c r="A81" s="1"/>
      <c r="B81" s="1"/>
      <c r="C81" s="1"/>
      <c r="D81" s="1"/>
      <c r="E81" s="1"/>
      <c r="F81" s="1"/>
      <c r="G81" s="1"/>
      <c r="H81" s="1"/>
      <c r="I81" s="1"/>
      <c r="J81" s="1"/>
      <c r="K81" s="1"/>
      <c r="L81" s="1"/>
      <c r="M81" s="1"/>
      <c r="N81" s="1"/>
      <c r="O81" s="1"/>
      <c r="P81" s="1"/>
      <c r="Q81" s="1"/>
    </row>
    <row r="82" ht="15.75" customHeight="1">
      <c r="A82" s="1"/>
      <c r="B82" s="1"/>
      <c r="C82" s="1"/>
      <c r="D82" s="1"/>
      <c r="E82" s="1"/>
      <c r="F82" s="1"/>
      <c r="G82" s="1"/>
      <c r="H82" s="1"/>
      <c r="I82" s="1"/>
      <c r="J82" s="1"/>
      <c r="K82" s="1"/>
      <c r="L82" s="1"/>
      <c r="M82" s="1"/>
      <c r="N82" s="1"/>
      <c r="O82" s="1"/>
      <c r="P82" s="1"/>
      <c r="Q82" s="1"/>
    </row>
    <row r="83" ht="15.75" customHeight="1">
      <c r="A83" s="1"/>
      <c r="B83" s="1"/>
      <c r="C83" s="1"/>
      <c r="D83" s="1"/>
      <c r="E83" s="1"/>
      <c r="F83" s="1"/>
      <c r="G83" s="1"/>
      <c r="H83" s="1"/>
      <c r="I83" s="1"/>
      <c r="J83" s="1"/>
      <c r="K83" s="1"/>
      <c r="L83" s="1"/>
      <c r="M83" s="1"/>
      <c r="N83" s="1"/>
      <c r="O83" s="1"/>
      <c r="P83" s="1"/>
      <c r="Q83" s="1"/>
    </row>
    <row r="84" ht="15.75" customHeight="1">
      <c r="A84" s="1"/>
      <c r="B84" s="1"/>
      <c r="C84" s="1"/>
      <c r="D84" s="1"/>
      <c r="E84" s="1"/>
      <c r="F84" s="1"/>
      <c r="G84" s="1"/>
      <c r="H84" s="1"/>
      <c r="I84" s="1"/>
      <c r="J84" s="1"/>
      <c r="K84" s="1"/>
      <c r="L84" s="1"/>
      <c r="M84" s="1"/>
      <c r="N84" s="1"/>
      <c r="O84" s="1"/>
      <c r="P84" s="1"/>
      <c r="Q84" s="1"/>
    </row>
    <row r="85" ht="15.75" customHeight="1">
      <c r="A85" s="1"/>
      <c r="B85" s="1"/>
      <c r="C85" s="1"/>
      <c r="D85" s="1"/>
      <c r="E85" s="1"/>
      <c r="F85" s="1"/>
      <c r="G85" s="1"/>
      <c r="H85" s="1"/>
      <c r="I85" s="1"/>
      <c r="J85" s="1"/>
      <c r="K85" s="1"/>
      <c r="L85" s="1"/>
      <c r="M85" s="1"/>
      <c r="N85" s="1"/>
      <c r="O85" s="1"/>
      <c r="P85" s="1"/>
      <c r="Q85" s="1"/>
    </row>
    <row r="86" ht="15.75" customHeight="1">
      <c r="A86" s="1"/>
      <c r="B86" s="1"/>
      <c r="C86" s="1"/>
      <c r="D86" s="1"/>
      <c r="E86" s="1"/>
      <c r="F86" s="1"/>
      <c r="G86" s="1"/>
      <c r="H86" s="1"/>
      <c r="I86" s="1"/>
      <c r="J86" s="1"/>
      <c r="K86" s="1"/>
      <c r="L86" s="1"/>
      <c r="M86" s="1"/>
      <c r="N86" s="1"/>
      <c r="O86" s="1"/>
      <c r="P86" s="1"/>
      <c r="Q86" s="1"/>
    </row>
    <row r="87" ht="15.75" customHeight="1">
      <c r="A87" s="1"/>
      <c r="B87" s="1"/>
      <c r="C87" s="1"/>
      <c r="D87" s="1"/>
      <c r="E87" s="1"/>
      <c r="F87" s="1"/>
      <c r="G87" s="1"/>
      <c r="H87" s="1"/>
      <c r="I87" s="1"/>
      <c r="J87" s="1"/>
      <c r="K87" s="1"/>
      <c r="L87" s="1"/>
      <c r="M87" s="1"/>
      <c r="N87" s="1"/>
      <c r="O87" s="1"/>
      <c r="P87" s="1"/>
      <c r="Q87" s="1"/>
    </row>
    <row r="88" ht="15.75" customHeight="1">
      <c r="A88" s="1"/>
      <c r="B88" s="1"/>
      <c r="C88" s="1"/>
      <c r="D88" s="1"/>
      <c r="E88" s="1"/>
      <c r="F88" s="1"/>
      <c r="G88" s="1"/>
      <c r="H88" s="1"/>
      <c r="I88" s="1"/>
      <c r="J88" s="1"/>
      <c r="K88" s="1"/>
      <c r="L88" s="1"/>
      <c r="M88" s="1"/>
      <c r="N88" s="1"/>
      <c r="O88" s="1"/>
      <c r="P88" s="1"/>
      <c r="Q88" s="1"/>
    </row>
    <row r="89" ht="15.75" customHeight="1">
      <c r="A89" s="1"/>
      <c r="B89" s="1"/>
      <c r="C89" s="1"/>
      <c r="D89" s="1"/>
      <c r="E89" s="1"/>
      <c r="F89" s="1"/>
      <c r="G89" s="1"/>
      <c r="H89" s="1"/>
      <c r="I89" s="1"/>
      <c r="J89" s="1"/>
      <c r="K89" s="1"/>
      <c r="L89" s="1"/>
      <c r="M89" s="1"/>
      <c r="N89" s="1"/>
      <c r="O89" s="1"/>
      <c r="P89" s="1"/>
      <c r="Q89" s="1"/>
    </row>
    <row r="90" ht="15.75" customHeight="1">
      <c r="A90" s="1"/>
      <c r="B90" s="1"/>
      <c r="C90" s="1"/>
      <c r="D90" s="1"/>
      <c r="E90" s="1"/>
      <c r="F90" s="1"/>
      <c r="G90" s="1"/>
      <c r="H90" s="1"/>
      <c r="I90" s="1"/>
      <c r="J90" s="1"/>
      <c r="K90" s="1"/>
      <c r="L90" s="1"/>
      <c r="M90" s="1"/>
      <c r="N90" s="1"/>
      <c r="O90" s="1"/>
      <c r="P90" s="1"/>
      <c r="Q90" s="1"/>
    </row>
    <row r="91" ht="15.75" customHeight="1">
      <c r="A91" s="1"/>
      <c r="B91" s="1"/>
      <c r="C91" s="1"/>
      <c r="D91" s="1"/>
      <c r="E91" s="1"/>
      <c r="F91" s="1"/>
      <c r="G91" s="1"/>
      <c r="H91" s="1"/>
      <c r="I91" s="1"/>
      <c r="J91" s="1"/>
      <c r="K91" s="1"/>
      <c r="L91" s="1"/>
      <c r="M91" s="1"/>
      <c r="N91" s="1"/>
      <c r="O91" s="1"/>
      <c r="P91" s="1"/>
      <c r="Q91" s="1"/>
    </row>
    <row r="92" ht="15.75" customHeight="1">
      <c r="A92" s="1"/>
      <c r="B92" s="1"/>
      <c r="C92" s="1"/>
      <c r="D92" s="1"/>
      <c r="E92" s="1"/>
      <c r="F92" s="1"/>
      <c r="G92" s="1"/>
      <c r="H92" s="1"/>
      <c r="I92" s="1"/>
      <c r="J92" s="1"/>
      <c r="K92" s="1"/>
      <c r="L92" s="1"/>
      <c r="M92" s="1"/>
      <c r="N92" s="1"/>
      <c r="O92" s="1"/>
      <c r="P92" s="1"/>
      <c r="Q92" s="1"/>
    </row>
    <row r="93" ht="15.75" customHeight="1">
      <c r="A93" s="1"/>
      <c r="B93" s="1"/>
      <c r="C93" s="1"/>
      <c r="D93" s="1"/>
      <c r="E93" s="1"/>
      <c r="F93" s="1"/>
      <c r="G93" s="1"/>
      <c r="H93" s="1"/>
      <c r="I93" s="1"/>
      <c r="J93" s="1"/>
      <c r="K93" s="1"/>
      <c r="L93" s="1"/>
      <c r="M93" s="1"/>
      <c r="N93" s="1"/>
      <c r="O93" s="1"/>
      <c r="P93" s="1"/>
      <c r="Q93" s="1"/>
    </row>
    <row r="94" ht="15.75" customHeight="1">
      <c r="A94" s="1"/>
      <c r="B94" s="1"/>
      <c r="C94" s="1"/>
      <c r="D94" s="1"/>
      <c r="E94" s="1"/>
      <c r="F94" s="1"/>
      <c r="G94" s="1"/>
      <c r="H94" s="1"/>
      <c r="I94" s="1"/>
      <c r="J94" s="1"/>
      <c r="K94" s="1"/>
      <c r="L94" s="1"/>
      <c r="M94" s="1"/>
      <c r="N94" s="1"/>
      <c r="O94" s="1"/>
      <c r="P94" s="1"/>
      <c r="Q94" s="1"/>
    </row>
    <row r="95" ht="15.75" customHeight="1">
      <c r="A95" s="1"/>
      <c r="B95" s="1"/>
      <c r="C95" s="1"/>
      <c r="D95" s="1"/>
      <c r="E95" s="1"/>
      <c r="F95" s="1"/>
      <c r="G95" s="1"/>
      <c r="H95" s="1"/>
      <c r="I95" s="1"/>
      <c r="J95" s="1"/>
      <c r="K95" s="1"/>
      <c r="L95" s="1"/>
      <c r="M95" s="1"/>
      <c r="N95" s="1"/>
      <c r="O95" s="1"/>
      <c r="P95" s="1"/>
      <c r="Q95" s="1"/>
    </row>
    <row r="96" ht="15.75" customHeight="1">
      <c r="A96" s="1"/>
      <c r="B96" s="1"/>
      <c r="C96" s="1"/>
      <c r="D96" s="1"/>
      <c r="E96" s="1"/>
      <c r="F96" s="1"/>
      <c r="G96" s="1"/>
      <c r="H96" s="1"/>
      <c r="I96" s="1"/>
      <c r="J96" s="1"/>
      <c r="K96" s="1"/>
      <c r="L96" s="1"/>
      <c r="M96" s="1"/>
      <c r="N96" s="1"/>
      <c r="O96" s="1"/>
      <c r="P96" s="1"/>
      <c r="Q96" s="1"/>
    </row>
    <row r="97" ht="15.75" customHeight="1">
      <c r="A97" s="1"/>
      <c r="B97" s="1"/>
      <c r="C97" s="1"/>
      <c r="D97" s="1"/>
      <c r="E97" s="1"/>
      <c r="F97" s="1"/>
      <c r="G97" s="1"/>
      <c r="H97" s="1"/>
      <c r="I97" s="1"/>
      <c r="J97" s="1"/>
      <c r="K97" s="1"/>
      <c r="L97" s="1"/>
      <c r="M97" s="1"/>
      <c r="N97" s="1"/>
      <c r="O97" s="1"/>
      <c r="P97" s="1"/>
      <c r="Q97" s="1"/>
    </row>
    <row r="98" ht="15.75" customHeight="1">
      <c r="A98" s="1"/>
      <c r="B98" s="1"/>
      <c r="C98" s="1"/>
      <c r="D98" s="1"/>
      <c r="E98" s="1"/>
      <c r="F98" s="1"/>
      <c r="G98" s="1"/>
      <c r="H98" s="1"/>
      <c r="I98" s="1"/>
      <c r="J98" s="1"/>
      <c r="K98" s="1"/>
      <c r="L98" s="1"/>
      <c r="M98" s="1"/>
      <c r="N98" s="1"/>
      <c r="O98" s="1"/>
      <c r="P98" s="1"/>
      <c r="Q98" s="1"/>
    </row>
    <row r="99" ht="15.75" customHeight="1">
      <c r="A99" s="1"/>
      <c r="B99" s="1"/>
      <c r="C99" s="1"/>
      <c r="D99" s="1"/>
      <c r="E99" s="1"/>
      <c r="F99" s="1"/>
      <c r="G99" s="1"/>
      <c r="H99" s="1"/>
      <c r="I99" s="1"/>
      <c r="J99" s="1"/>
      <c r="K99" s="1"/>
      <c r="L99" s="1"/>
      <c r="M99" s="1"/>
      <c r="N99" s="1"/>
      <c r="O99" s="1"/>
      <c r="P99" s="1"/>
      <c r="Q99" s="1"/>
    </row>
    <row r="100" ht="15.75" customHeight="1">
      <c r="A100" s="1"/>
      <c r="B100" s="1"/>
      <c r="C100" s="1"/>
      <c r="D100" s="1"/>
      <c r="E100" s="1"/>
      <c r="F100" s="1"/>
      <c r="G100" s="1"/>
      <c r="H100" s="1"/>
      <c r="I100" s="1"/>
      <c r="J100" s="1"/>
      <c r="K100" s="1"/>
      <c r="L100" s="1"/>
      <c r="M100" s="1"/>
      <c r="N100" s="1"/>
      <c r="O100" s="1"/>
      <c r="P100" s="1"/>
      <c r="Q100" s="1"/>
    </row>
    <row r="101" ht="15.75" customHeight="1">
      <c r="A101" s="1"/>
      <c r="B101" s="1"/>
      <c r="C101" s="1"/>
      <c r="D101" s="1"/>
      <c r="E101" s="1"/>
      <c r="F101" s="1"/>
      <c r="G101" s="1"/>
      <c r="H101" s="1"/>
      <c r="I101" s="1"/>
      <c r="J101" s="1"/>
      <c r="K101" s="1"/>
      <c r="L101" s="1"/>
      <c r="M101" s="1"/>
      <c r="N101" s="1"/>
      <c r="O101" s="1"/>
      <c r="P101" s="1"/>
      <c r="Q101" s="1"/>
    </row>
    <row r="102" ht="15.75" customHeight="1">
      <c r="A102" s="1"/>
      <c r="B102" s="1"/>
      <c r="C102" s="1"/>
      <c r="D102" s="1"/>
      <c r="E102" s="1"/>
      <c r="F102" s="1"/>
      <c r="G102" s="1"/>
      <c r="H102" s="1"/>
      <c r="I102" s="1"/>
      <c r="J102" s="1"/>
      <c r="K102" s="1"/>
      <c r="L102" s="1"/>
      <c r="M102" s="1"/>
      <c r="N102" s="1"/>
      <c r="O102" s="1"/>
      <c r="P102" s="1"/>
      <c r="Q102" s="1"/>
    </row>
    <row r="103" ht="15.75" customHeight="1">
      <c r="A103" s="1"/>
      <c r="B103" s="1"/>
      <c r="C103" s="1"/>
      <c r="D103" s="1"/>
      <c r="E103" s="1"/>
      <c r="F103" s="1"/>
      <c r="G103" s="1"/>
      <c r="H103" s="1"/>
      <c r="I103" s="1"/>
      <c r="J103" s="1"/>
      <c r="K103" s="1"/>
      <c r="L103" s="1"/>
      <c r="M103" s="1"/>
      <c r="N103" s="1"/>
      <c r="O103" s="1"/>
      <c r="P103" s="1"/>
      <c r="Q103" s="1"/>
    </row>
    <row r="104" ht="15.75" customHeight="1">
      <c r="A104" s="1"/>
      <c r="B104" s="1"/>
      <c r="C104" s="1"/>
      <c r="D104" s="1"/>
      <c r="E104" s="1"/>
      <c r="F104" s="1"/>
      <c r="G104" s="1"/>
      <c r="H104" s="1"/>
      <c r="I104" s="1"/>
      <c r="J104" s="1"/>
      <c r="K104" s="1"/>
      <c r="L104" s="1"/>
      <c r="M104" s="1"/>
      <c r="N104" s="1"/>
      <c r="O104" s="1"/>
      <c r="P104" s="1"/>
      <c r="Q104" s="1"/>
    </row>
    <row r="105" ht="15.75" customHeight="1">
      <c r="A105" s="1"/>
      <c r="B105" s="1"/>
      <c r="C105" s="1"/>
      <c r="D105" s="1"/>
      <c r="E105" s="1"/>
      <c r="F105" s="1"/>
      <c r="G105" s="1"/>
      <c r="H105" s="1"/>
      <c r="I105" s="1"/>
      <c r="J105" s="1"/>
      <c r="K105" s="1"/>
      <c r="L105" s="1"/>
      <c r="M105" s="1"/>
      <c r="N105" s="1"/>
      <c r="O105" s="1"/>
      <c r="P105" s="1"/>
      <c r="Q105" s="1"/>
    </row>
    <row r="106" ht="15.75" customHeight="1">
      <c r="A106" s="1"/>
      <c r="B106" s="1"/>
      <c r="C106" s="1"/>
      <c r="D106" s="1"/>
      <c r="E106" s="1"/>
      <c r="F106" s="1"/>
      <c r="G106" s="1"/>
      <c r="H106" s="1"/>
      <c r="I106" s="1"/>
      <c r="J106" s="1"/>
      <c r="K106" s="1"/>
      <c r="L106" s="1"/>
      <c r="M106" s="1"/>
      <c r="N106" s="1"/>
      <c r="O106" s="1"/>
      <c r="P106" s="1"/>
      <c r="Q106" s="1"/>
    </row>
    <row r="107" ht="15.75" customHeight="1">
      <c r="A107" s="1"/>
      <c r="B107" s="1"/>
      <c r="C107" s="1"/>
      <c r="D107" s="1"/>
      <c r="E107" s="1"/>
      <c r="F107" s="1"/>
      <c r="G107" s="1"/>
      <c r="H107" s="1"/>
      <c r="I107" s="1"/>
      <c r="J107" s="1"/>
      <c r="K107" s="1"/>
      <c r="L107" s="1"/>
      <c r="M107" s="1"/>
      <c r="N107" s="1"/>
      <c r="O107" s="1"/>
      <c r="P107" s="1"/>
      <c r="Q107" s="1"/>
    </row>
    <row r="108" ht="15.75" customHeight="1">
      <c r="A108" s="1"/>
      <c r="B108" s="1"/>
      <c r="C108" s="1"/>
      <c r="D108" s="1"/>
      <c r="E108" s="1"/>
      <c r="F108" s="1"/>
      <c r="G108" s="1"/>
      <c r="H108" s="1"/>
      <c r="I108" s="1"/>
      <c r="J108" s="1"/>
      <c r="K108" s="1"/>
      <c r="L108" s="1"/>
      <c r="M108" s="1"/>
      <c r="N108" s="1"/>
      <c r="O108" s="1"/>
      <c r="P108" s="1"/>
      <c r="Q108" s="1"/>
    </row>
    <row r="109" ht="15.75" customHeight="1">
      <c r="A109" s="1"/>
      <c r="B109" s="1"/>
      <c r="C109" s="1"/>
      <c r="D109" s="1"/>
      <c r="E109" s="1"/>
      <c r="F109" s="1"/>
      <c r="G109" s="1"/>
      <c r="H109" s="1"/>
      <c r="I109" s="1"/>
      <c r="J109" s="1"/>
      <c r="K109" s="1"/>
      <c r="L109" s="1"/>
      <c r="M109" s="1"/>
      <c r="N109" s="1"/>
      <c r="O109" s="1"/>
      <c r="P109" s="1"/>
      <c r="Q109" s="1"/>
    </row>
    <row r="110" ht="15.75" customHeight="1">
      <c r="A110" s="1"/>
      <c r="B110" s="1"/>
      <c r="C110" s="1"/>
      <c r="D110" s="1"/>
      <c r="E110" s="1"/>
      <c r="F110" s="1"/>
      <c r="G110" s="1"/>
      <c r="H110" s="1"/>
      <c r="I110" s="1"/>
      <c r="J110" s="1"/>
      <c r="K110" s="1"/>
      <c r="L110" s="1"/>
      <c r="M110" s="1"/>
      <c r="N110" s="1"/>
      <c r="O110" s="1"/>
      <c r="P110" s="1"/>
      <c r="Q110" s="1"/>
    </row>
    <row r="111" ht="15.75" customHeight="1">
      <c r="A111" s="1"/>
      <c r="B111" s="1"/>
      <c r="C111" s="1"/>
      <c r="D111" s="1"/>
      <c r="E111" s="1"/>
      <c r="F111" s="1"/>
      <c r="G111" s="1"/>
      <c r="H111" s="1"/>
      <c r="I111" s="1"/>
      <c r="J111" s="1"/>
      <c r="K111" s="1"/>
      <c r="L111" s="1"/>
      <c r="M111" s="1"/>
      <c r="N111" s="1"/>
      <c r="O111" s="1"/>
      <c r="P111" s="1"/>
      <c r="Q111" s="1"/>
    </row>
    <row r="112" ht="15.75" customHeight="1">
      <c r="A112" s="1"/>
      <c r="B112" s="1"/>
      <c r="C112" s="1"/>
      <c r="D112" s="1"/>
      <c r="E112" s="1"/>
      <c r="F112" s="1"/>
      <c r="G112" s="1"/>
      <c r="H112" s="1"/>
      <c r="I112" s="1"/>
      <c r="J112" s="1"/>
      <c r="K112" s="1"/>
      <c r="L112" s="1"/>
      <c r="M112" s="1"/>
      <c r="N112" s="1"/>
      <c r="O112" s="1"/>
      <c r="P112" s="1"/>
      <c r="Q112" s="1"/>
    </row>
    <row r="113" ht="15.75" customHeight="1">
      <c r="A113" s="1"/>
      <c r="B113" s="1"/>
      <c r="C113" s="1"/>
      <c r="D113" s="1"/>
      <c r="E113" s="1"/>
      <c r="F113" s="1"/>
      <c r="G113" s="1"/>
      <c r="H113" s="1"/>
      <c r="I113" s="1"/>
      <c r="J113" s="1"/>
      <c r="K113" s="1"/>
      <c r="L113" s="1"/>
      <c r="M113" s="1"/>
      <c r="N113" s="1"/>
      <c r="O113" s="1"/>
      <c r="P113" s="1"/>
      <c r="Q113" s="1"/>
    </row>
    <row r="114" ht="15.75" customHeight="1">
      <c r="A114" s="1"/>
      <c r="B114" s="1"/>
      <c r="C114" s="1"/>
      <c r="D114" s="1"/>
      <c r="E114" s="1"/>
      <c r="F114" s="1"/>
      <c r="G114" s="1"/>
      <c r="H114" s="1"/>
      <c r="I114" s="1"/>
      <c r="J114" s="1"/>
      <c r="K114" s="1"/>
      <c r="L114" s="1"/>
      <c r="M114" s="1"/>
      <c r="N114" s="1"/>
      <c r="O114" s="1"/>
      <c r="P114" s="1"/>
      <c r="Q114" s="1"/>
    </row>
    <row r="115" ht="15.75" customHeight="1">
      <c r="A115" s="1"/>
      <c r="B115" s="1"/>
      <c r="C115" s="1"/>
      <c r="D115" s="1"/>
      <c r="E115" s="1"/>
      <c r="F115" s="1"/>
      <c r="G115" s="1"/>
      <c r="H115" s="1"/>
      <c r="I115" s="1"/>
      <c r="J115" s="1"/>
      <c r="K115" s="1"/>
      <c r="L115" s="1"/>
      <c r="M115" s="1"/>
      <c r="N115" s="1"/>
      <c r="O115" s="1"/>
      <c r="P115" s="1"/>
      <c r="Q115" s="1"/>
    </row>
    <row r="116" ht="15.75" customHeight="1">
      <c r="A116" s="1"/>
      <c r="B116" s="1"/>
      <c r="C116" s="1"/>
      <c r="D116" s="1"/>
      <c r="E116" s="1"/>
      <c r="F116" s="1"/>
      <c r="G116" s="1"/>
      <c r="H116" s="1"/>
      <c r="I116" s="1"/>
      <c r="J116" s="1"/>
      <c r="K116" s="1"/>
      <c r="L116" s="1"/>
      <c r="M116" s="1"/>
      <c r="N116" s="1"/>
      <c r="O116" s="1"/>
      <c r="P116" s="1"/>
      <c r="Q116" s="1"/>
    </row>
    <row r="117" ht="15.75" customHeight="1">
      <c r="A117" s="1"/>
      <c r="B117" s="1"/>
      <c r="C117" s="1"/>
      <c r="D117" s="1"/>
      <c r="E117" s="1"/>
      <c r="F117" s="1"/>
      <c r="G117" s="1"/>
      <c r="H117" s="1"/>
      <c r="I117" s="1"/>
      <c r="J117" s="1"/>
      <c r="K117" s="1"/>
      <c r="L117" s="1"/>
      <c r="M117" s="1"/>
      <c r="N117" s="1"/>
      <c r="O117" s="1"/>
      <c r="P117" s="1"/>
      <c r="Q117" s="1"/>
    </row>
    <row r="118" ht="15.75" customHeight="1">
      <c r="A118" s="1"/>
      <c r="B118" s="1"/>
      <c r="C118" s="1"/>
      <c r="D118" s="1"/>
      <c r="E118" s="1"/>
      <c r="F118" s="1"/>
      <c r="G118" s="1"/>
      <c r="H118" s="1"/>
      <c r="I118" s="1"/>
      <c r="J118" s="1"/>
      <c r="K118" s="1"/>
      <c r="L118" s="1"/>
      <c r="M118" s="1"/>
      <c r="N118" s="1"/>
      <c r="O118" s="1"/>
      <c r="P118" s="1"/>
      <c r="Q118" s="1"/>
    </row>
    <row r="119" ht="15.75" customHeight="1">
      <c r="A119" s="1"/>
      <c r="B119" s="1"/>
      <c r="C119" s="1"/>
      <c r="D119" s="1"/>
      <c r="E119" s="1"/>
      <c r="F119" s="1"/>
      <c r="G119" s="1"/>
      <c r="H119" s="1"/>
      <c r="I119" s="1"/>
      <c r="J119" s="1"/>
      <c r="K119" s="1"/>
      <c r="L119" s="1"/>
      <c r="M119" s="1"/>
      <c r="N119" s="1"/>
      <c r="O119" s="1"/>
      <c r="P119" s="1"/>
      <c r="Q119" s="1"/>
    </row>
    <row r="120" ht="15.75" customHeight="1">
      <c r="A120" s="1"/>
      <c r="B120" s="1"/>
      <c r="C120" s="1"/>
      <c r="D120" s="1"/>
      <c r="E120" s="1"/>
      <c r="F120" s="1"/>
      <c r="G120" s="1"/>
      <c r="H120" s="1"/>
      <c r="I120" s="1"/>
      <c r="J120" s="1"/>
      <c r="K120" s="1"/>
      <c r="L120" s="1"/>
      <c r="M120" s="1"/>
      <c r="N120" s="1"/>
      <c r="O120" s="1"/>
      <c r="P120" s="1"/>
      <c r="Q120" s="1"/>
    </row>
    <row r="121" ht="15.75" customHeight="1">
      <c r="A121" s="1"/>
      <c r="B121" s="1"/>
      <c r="C121" s="1"/>
      <c r="D121" s="1"/>
      <c r="E121" s="1"/>
      <c r="F121" s="1"/>
      <c r="G121" s="1"/>
      <c r="H121" s="1"/>
      <c r="I121" s="1"/>
      <c r="J121" s="1"/>
      <c r="K121" s="1"/>
      <c r="L121" s="1"/>
      <c r="M121" s="1"/>
      <c r="N121" s="1"/>
      <c r="O121" s="1"/>
      <c r="P121" s="1"/>
      <c r="Q121" s="1"/>
    </row>
    <row r="122" ht="15.75" customHeight="1">
      <c r="A122" s="1"/>
      <c r="B122" s="1"/>
      <c r="C122" s="1"/>
      <c r="D122" s="1"/>
      <c r="E122" s="1"/>
      <c r="F122" s="1"/>
      <c r="G122" s="1"/>
      <c r="H122" s="1"/>
      <c r="I122" s="1"/>
      <c r="J122" s="1"/>
      <c r="K122" s="1"/>
      <c r="L122" s="1"/>
      <c r="M122" s="1"/>
      <c r="N122" s="1"/>
      <c r="O122" s="1"/>
      <c r="P122" s="1"/>
      <c r="Q122" s="1"/>
    </row>
    <row r="123" ht="15.75" customHeight="1">
      <c r="A123" s="1"/>
      <c r="B123" s="1"/>
      <c r="C123" s="1"/>
      <c r="D123" s="1"/>
      <c r="E123" s="1"/>
      <c r="F123" s="1"/>
      <c r="G123" s="1"/>
      <c r="H123" s="1"/>
      <c r="I123" s="1"/>
      <c r="J123" s="1"/>
      <c r="K123" s="1"/>
      <c r="L123" s="1"/>
      <c r="M123" s="1"/>
      <c r="N123" s="1"/>
      <c r="O123" s="1"/>
      <c r="P123" s="1"/>
      <c r="Q123" s="1"/>
    </row>
    <row r="124" ht="15.75" customHeight="1">
      <c r="A124" s="1"/>
      <c r="B124" s="1"/>
      <c r="C124" s="1"/>
      <c r="D124" s="1"/>
      <c r="E124" s="1"/>
      <c r="F124" s="1"/>
      <c r="G124" s="1"/>
      <c r="H124" s="1"/>
      <c r="I124" s="1"/>
      <c r="J124" s="1"/>
      <c r="K124" s="1"/>
      <c r="L124" s="1"/>
      <c r="M124" s="1"/>
      <c r="N124" s="1"/>
      <c r="O124" s="1"/>
      <c r="P124" s="1"/>
      <c r="Q124" s="1"/>
    </row>
    <row r="125" ht="15.75" customHeight="1">
      <c r="A125" s="1"/>
      <c r="B125" s="1"/>
      <c r="C125" s="1"/>
      <c r="D125" s="1"/>
      <c r="E125" s="1"/>
      <c r="F125" s="1"/>
      <c r="G125" s="1"/>
      <c r="H125" s="1"/>
      <c r="I125" s="1"/>
      <c r="J125" s="1"/>
      <c r="K125" s="1"/>
      <c r="L125" s="1"/>
      <c r="M125" s="1"/>
      <c r="N125" s="1"/>
      <c r="O125" s="1"/>
      <c r="P125" s="1"/>
      <c r="Q125" s="1"/>
    </row>
    <row r="126" ht="15.75" customHeight="1">
      <c r="A126" s="1"/>
      <c r="B126" s="1"/>
      <c r="C126" s="1"/>
      <c r="D126" s="1"/>
      <c r="E126" s="1"/>
      <c r="F126" s="1"/>
      <c r="G126" s="1"/>
      <c r="H126" s="1"/>
      <c r="I126" s="1"/>
      <c r="J126" s="1"/>
      <c r="K126" s="1"/>
      <c r="L126" s="1"/>
      <c r="M126" s="1"/>
      <c r="N126" s="1"/>
      <c r="O126" s="1"/>
      <c r="P126" s="1"/>
      <c r="Q126" s="1"/>
    </row>
    <row r="127" ht="15.75" customHeight="1">
      <c r="A127" s="1"/>
      <c r="B127" s="1"/>
      <c r="C127" s="1"/>
      <c r="D127" s="1"/>
      <c r="E127" s="1"/>
      <c r="F127" s="1"/>
      <c r="G127" s="1"/>
      <c r="H127" s="1"/>
      <c r="I127" s="1"/>
      <c r="J127" s="1"/>
      <c r="K127" s="1"/>
      <c r="L127" s="1"/>
      <c r="M127" s="1"/>
      <c r="N127" s="1"/>
      <c r="O127" s="1"/>
      <c r="P127" s="1"/>
      <c r="Q127" s="1"/>
    </row>
    <row r="128" ht="15.75" customHeight="1">
      <c r="A128" s="1"/>
      <c r="B128" s="1"/>
      <c r="C128" s="1"/>
      <c r="D128" s="1"/>
      <c r="E128" s="1"/>
      <c r="F128" s="1"/>
      <c r="G128" s="1"/>
      <c r="H128" s="1"/>
      <c r="I128" s="1"/>
      <c r="J128" s="1"/>
      <c r="K128" s="1"/>
      <c r="L128" s="1"/>
      <c r="M128" s="1"/>
      <c r="N128" s="1"/>
      <c r="O128" s="1"/>
      <c r="P128" s="1"/>
      <c r="Q128" s="1"/>
    </row>
    <row r="129" ht="15.75" customHeight="1">
      <c r="A129" s="1"/>
      <c r="B129" s="1"/>
      <c r="C129" s="1"/>
      <c r="D129" s="1"/>
      <c r="E129" s="1"/>
      <c r="F129" s="1"/>
      <c r="G129" s="1"/>
      <c r="H129" s="1"/>
      <c r="I129" s="1"/>
      <c r="J129" s="1"/>
      <c r="K129" s="1"/>
      <c r="L129" s="1"/>
      <c r="M129" s="1"/>
      <c r="N129" s="1"/>
      <c r="O129" s="1"/>
      <c r="P129" s="1"/>
      <c r="Q129" s="1"/>
    </row>
    <row r="130" ht="15.75" customHeight="1">
      <c r="A130" s="1"/>
      <c r="B130" s="1"/>
      <c r="C130" s="1"/>
      <c r="D130" s="1"/>
      <c r="E130" s="1"/>
      <c r="F130" s="1"/>
      <c r="G130" s="1"/>
      <c r="H130" s="1"/>
      <c r="I130" s="1"/>
      <c r="J130" s="1"/>
      <c r="K130" s="1"/>
      <c r="L130" s="1"/>
      <c r="M130" s="1"/>
      <c r="N130" s="1"/>
      <c r="O130" s="1"/>
      <c r="P130" s="1"/>
      <c r="Q130" s="1"/>
    </row>
    <row r="131" ht="15.75" customHeight="1">
      <c r="A131" s="1"/>
      <c r="B131" s="1"/>
      <c r="C131" s="1"/>
      <c r="D131" s="1"/>
      <c r="E131" s="1"/>
      <c r="F131" s="1"/>
      <c r="G131" s="1"/>
      <c r="H131" s="1"/>
      <c r="I131" s="1"/>
      <c r="J131" s="1"/>
      <c r="K131" s="1"/>
      <c r="L131" s="1"/>
      <c r="M131" s="1"/>
      <c r="N131" s="1"/>
      <c r="O131" s="1"/>
      <c r="P131" s="1"/>
      <c r="Q131" s="1"/>
    </row>
    <row r="132" ht="15.75" customHeight="1">
      <c r="A132" s="1"/>
      <c r="B132" s="1"/>
      <c r="C132" s="1"/>
      <c r="D132" s="1"/>
      <c r="E132" s="1"/>
      <c r="F132" s="1"/>
      <c r="G132" s="1"/>
      <c r="H132" s="1"/>
      <c r="I132" s="1"/>
      <c r="J132" s="1"/>
      <c r="K132" s="1"/>
      <c r="L132" s="1"/>
      <c r="M132" s="1"/>
      <c r="N132" s="1"/>
      <c r="O132" s="1"/>
      <c r="P132" s="1"/>
      <c r="Q132" s="1"/>
    </row>
    <row r="133" ht="15.75" customHeight="1">
      <c r="A133" s="1"/>
      <c r="B133" s="1"/>
      <c r="C133" s="1"/>
      <c r="D133" s="1"/>
      <c r="E133" s="1"/>
      <c r="F133" s="1"/>
      <c r="G133" s="1"/>
      <c r="H133" s="1"/>
      <c r="I133" s="1"/>
      <c r="J133" s="1"/>
      <c r="K133" s="1"/>
      <c r="L133" s="1"/>
      <c r="M133" s="1"/>
      <c r="N133" s="1"/>
      <c r="O133" s="1"/>
      <c r="P133" s="1"/>
      <c r="Q133" s="1"/>
    </row>
    <row r="134" ht="15.75" customHeight="1">
      <c r="A134" s="1"/>
      <c r="B134" s="1"/>
      <c r="C134" s="1"/>
      <c r="D134" s="1"/>
      <c r="E134" s="1"/>
      <c r="F134" s="1"/>
      <c r="G134" s="1"/>
      <c r="H134" s="1"/>
      <c r="I134" s="1"/>
      <c r="J134" s="1"/>
      <c r="K134" s="1"/>
      <c r="L134" s="1"/>
      <c r="M134" s="1"/>
      <c r="N134" s="1"/>
      <c r="O134" s="1"/>
      <c r="P134" s="1"/>
      <c r="Q134" s="1"/>
    </row>
    <row r="135" ht="15.75" customHeight="1">
      <c r="A135" s="1"/>
      <c r="B135" s="1"/>
      <c r="C135" s="1"/>
      <c r="D135" s="1"/>
      <c r="E135" s="1"/>
      <c r="F135" s="1"/>
      <c r="G135" s="1"/>
      <c r="H135" s="1"/>
      <c r="I135" s="1"/>
      <c r="J135" s="1"/>
      <c r="K135" s="1"/>
      <c r="L135" s="1"/>
      <c r="M135" s="1"/>
      <c r="N135" s="1"/>
      <c r="O135" s="1"/>
      <c r="P135" s="1"/>
      <c r="Q135" s="1"/>
    </row>
    <row r="136" ht="15.75" customHeight="1">
      <c r="A136" s="1"/>
      <c r="B136" s="1"/>
      <c r="C136" s="1"/>
      <c r="D136" s="1"/>
      <c r="E136" s="1"/>
      <c r="F136" s="1"/>
      <c r="G136" s="1"/>
      <c r="H136" s="1"/>
      <c r="I136" s="1"/>
      <c r="J136" s="1"/>
      <c r="K136" s="1"/>
      <c r="L136" s="1"/>
      <c r="M136" s="1"/>
      <c r="N136" s="1"/>
      <c r="O136" s="1"/>
      <c r="P136" s="1"/>
      <c r="Q136" s="1"/>
    </row>
    <row r="137" ht="15.75" customHeight="1">
      <c r="A137" s="1"/>
      <c r="B137" s="1"/>
      <c r="C137" s="1"/>
      <c r="D137" s="1"/>
      <c r="E137" s="1"/>
      <c r="F137" s="1"/>
      <c r="G137" s="1"/>
      <c r="H137" s="1"/>
      <c r="I137" s="1"/>
      <c r="J137" s="1"/>
      <c r="K137" s="1"/>
      <c r="L137" s="1"/>
      <c r="M137" s="1"/>
      <c r="N137" s="1"/>
      <c r="O137" s="1"/>
      <c r="P137" s="1"/>
      <c r="Q137" s="1"/>
    </row>
    <row r="138" ht="15.75" customHeight="1">
      <c r="A138" s="1"/>
      <c r="B138" s="1"/>
      <c r="C138" s="1"/>
      <c r="D138" s="1"/>
      <c r="E138" s="1"/>
      <c r="F138" s="1"/>
      <c r="G138" s="1"/>
      <c r="H138" s="1"/>
      <c r="I138" s="1"/>
      <c r="J138" s="1"/>
      <c r="K138" s="1"/>
      <c r="L138" s="1"/>
      <c r="M138" s="1"/>
      <c r="N138" s="1"/>
      <c r="O138" s="1"/>
      <c r="P138" s="1"/>
      <c r="Q138" s="1"/>
    </row>
    <row r="139" ht="15.75" customHeight="1">
      <c r="A139" s="1"/>
      <c r="B139" s="1"/>
      <c r="C139" s="1"/>
      <c r="D139" s="1"/>
      <c r="E139" s="1"/>
      <c r="F139" s="1"/>
      <c r="G139" s="1"/>
      <c r="H139" s="1"/>
      <c r="I139" s="1"/>
      <c r="J139" s="1"/>
      <c r="K139" s="1"/>
      <c r="L139" s="1"/>
      <c r="M139" s="1"/>
      <c r="N139" s="1"/>
      <c r="O139" s="1"/>
      <c r="P139" s="1"/>
      <c r="Q139" s="1"/>
    </row>
    <row r="140" ht="15.75" customHeight="1">
      <c r="A140" s="1"/>
      <c r="B140" s="1"/>
      <c r="C140" s="1"/>
      <c r="D140" s="1"/>
      <c r="E140" s="1"/>
      <c r="F140" s="1"/>
      <c r="G140" s="1"/>
      <c r="H140" s="1"/>
      <c r="I140" s="1"/>
      <c r="J140" s="1"/>
      <c r="K140" s="1"/>
      <c r="L140" s="1"/>
      <c r="M140" s="1"/>
      <c r="N140" s="1"/>
      <c r="O140" s="1"/>
      <c r="P140" s="1"/>
      <c r="Q140" s="1"/>
    </row>
    <row r="141" ht="15.75" customHeight="1">
      <c r="A141" s="1"/>
      <c r="B141" s="1"/>
      <c r="C141" s="1"/>
      <c r="D141" s="1"/>
      <c r="E141" s="1"/>
      <c r="F141" s="1"/>
      <c r="G141" s="1"/>
      <c r="H141" s="1"/>
      <c r="I141" s="1"/>
      <c r="J141" s="1"/>
      <c r="K141" s="1"/>
      <c r="L141" s="1"/>
      <c r="M141" s="1"/>
      <c r="N141" s="1"/>
      <c r="O141" s="1"/>
      <c r="P141" s="1"/>
      <c r="Q141" s="1"/>
    </row>
    <row r="142" ht="15.75" customHeight="1">
      <c r="A142" s="1"/>
      <c r="B142" s="1"/>
      <c r="C142" s="1"/>
      <c r="D142" s="1"/>
      <c r="E142" s="1"/>
      <c r="F142" s="1"/>
      <c r="G142" s="1"/>
      <c r="H142" s="1"/>
      <c r="I142" s="1"/>
      <c r="J142" s="1"/>
      <c r="K142" s="1"/>
      <c r="L142" s="1"/>
      <c r="M142" s="1"/>
      <c r="N142" s="1"/>
      <c r="O142" s="1"/>
      <c r="P142" s="1"/>
      <c r="Q142" s="1"/>
    </row>
    <row r="143" ht="15.75" customHeight="1">
      <c r="A143" s="1"/>
      <c r="B143" s="1"/>
      <c r="C143" s="1"/>
      <c r="D143" s="1"/>
      <c r="E143" s="1"/>
      <c r="F143" s="1"/>
      <c r="G143" s="1"/>
      <c r="H143" s="1"/>
      <c r="I143" s="1"/>
      <c r="J143" s="1"/>
      <c r="K143" s="1"/>
      <c r="L143" s="1"/>
      <c r="M143" s="1"/>
      <c r="N143" s="1"/>
      <c r="O143" s="1"/>
      <c r="P143" s="1"/>
      <c r="Q143" s="1"/>
    </row>
    <row r="144" ht="15.75" customHeight="1">
      <c r="A144" s="1"/>
      <c r="B144" s="1"/>
      <c r="C144" s="1"/>
      <c r="D144" s="1"/>
      <c r="E144" s="1"/>
      <c r="F144" s="1"/>
      <c r="G144" s="1"/>
      <c r="H144" s="1"/>
      <c r="I144" s="1"/>
      <c r="J144" s="1"/>
      <c r="K144" s="1"/>
      <c r="L144" s="1"/>
      <c r="M144" s="1"/>
      <c r="N144" s="1"/>
      <c r="O144" s="1"/>
      <c r="P144" s="1"/>
      <c r="Q144" s="1"/>
    </row>
    <row r="145" ht="15.75" customHeight="1">
      <c r="A145" s="1"/>
      <c r="B145" s="1"/>
      <c r="C145" s="1"/>
      <c r="D145" s="1"/>
      <c r="E145" s="1"/>
      <c r="F145" s="1"/>
      <c r="G145" s="1"/>
      <c r="H145" s="1"/>
      <c r="I145" s="1"/>
      <c r="J145" s="1"/>
      <c r="K145" s="1"/>
      <c r="L145" s="1"/>
      <c r="M145" s="1"/>
      <c r="N145" s="1"/>
      <c r="O145" s="1"/>
      <c r="P145" s="1"/>
      <c r="Q145" s="1"/>
    </row>
    <row r="146" ht="15.75" customHeight="1">
      <c r="A146" s="1"/>
      <c r="B146" s="1"/>
      <c r="C146" s="1"/>
      <c r="D146" s="1"/>
      <c r="E146" s="1"/>
      <c r="F146" s="1"/>
      <c r="G146" s="1"/>
      <c r="H146" s="1"/>
      <c r="I146" s="1"/>
      <c r="J146" s="1"/>
      <c r="K146" s="1"/>
      <c r="L146" s="1"/>
      <c r="M146" s="1"/>
      <c r="N146" s="1"/>
      <c r="O146" s="1"/>
      <c r="P146" s="1"/>
      <c r="Q146" s="1"/>
    </row>
    <row r="147" ht="15.75" customHeight="1">
      <c r="A147" s="1"/>
      <c r="B147" s="1"/>
      <c r="C147" s="1"/>
      <c r="D147" s="1"/>
      <c r="E147" s="1"/>
      <c r="F147" s="1"/>
      <c r="G147" s="1"/>
      <c r="H147" s="1"/>
      <c r="I147" s="1"/>
      <c r="J147" s="1"/>
      <c r="K147" s="1"/>
      <c r="L147" s="1"/>
      <c r="M147" s="1"/>
      <c r="N147" s="1"/>
      <c r="O147" s="1"/>
      <c r="P147" s="1"/>
      <c r="Q147" s="1"/>
    </row>
    <row r="148" ht="15.75" customHeight="1">
      <c r="A148" s="1"/>
      <c r="B148" s="1"/>
      <c r="C148" s="1"/>
      <c r="D148" s="1"/>
      <c r="E148" s="1"/>
      <c r="F148" s="1"/>
      <c r="G148" s="1"/>
      <c r="H148" s="1"/>
      <c r="I148" s="1"/>
      <c r="J148" s="1"/>
      <c r="K148" s="1"/>
      <c r="L148" s="1"/>
      <c r="M148" s="1"/>
      <c r="N148" s="1"/>
      <c r="O148" s="1"/>
      <c r="P148" s="1"/>
      <c r="Q148" s="1"/>
    </row>
    <row r="149" ht="15.75" customHeight="1">
      <c r="A149" s="1"/>
      <c r="B149" s="1"/>
      <c r="C149" s="1"/>
      <c r="D149" s="1"/>
      <c r="E149" s="1"/>
      <c r="F149" s="1"/>
      <c r="G149" s="1"/>
      <c r="H149" s="1"/>
      <c r="I149" s="1"/>
      <c r="J149" s="1"/>
      <c r="K149" s="1"/>
      <c r="L149" s="1"/>
      <c r="M149" s="1"/>
      <c r="N149" s="1"/>
      <c r="O149" s="1"/>
      <c r="P149" s="1"/>
      <c r="Q149" s="1"/>
    </row>
    <row r="150" ht="15.75" customHeight="1">
      <c r="A150" s="1"/>
      <c r="B150" s="1"/>
      <c r="C150" s="1"/>
      <c r="D150" s="1"/>
      <c r="E150" s="1"/>
      <c r="F150" s="1"/>
      <c r="G150" s="1"/>
      <c r="H150" s="1"/>
      <c r="I150" s="1"/>
      <c r="J150" s="1"/>
      <c r="K150" s="1"/>
      <c r="L150" s="1"/>
      <c r="M150" s="1"/>
      <c r="N150" s="1"/>
      <c r="O150" s="1"/>
      <c r="P150" s="1"/>
      <c r="Q150" s="1"/>
    </row>
    <row r="151" ht="15.75" customHeight="1">
      <c r="A151" s="1"/>
      <c r="B151" s="1"/>
      <c r="C151" s="1"/>
      <c r="D151" s="1"/>
      <c r="E151" s="1"/>
      <c r="F151" s="1"/>
      <c r="G151" s="1"/>
      <c r="H151" s="1"/>
      <c r="I151" s="1"/>
      <c r="J151" s="1"/>
      <c r="K151" s="1"/>
      <c r="L151" s="1"/>
      <c r="M151" s="1"/>
      <c r="N151" s="1"/>
      <c r="O151" s="1"/>
      <c r="P151" s="1"/>
      <c r="Q151" s="1"/>
    </row>
    <row r="152" ht="15.75" customHeight="1">
      <c r="A152" s="1"/>
      <c r="B152" s="1"/>
      <c r="C152" s="1"/>
      <c r="D152" s="1"/>
      <c r="E152" s="1"/>
      <c r="F152" s="1"/>
      <c r="G152" s="1"/>
      <c r="H152" s="1"/>
      <c r="I152" s="1"/>
      <c r="J152" s="1"/>
      <c r="K152" s="1"/>
      <c r="L152" s="1"/>
      <c r="M152" s="1"/>
      <c r="N152" s="1"/>
      <c r="O152" s="1"/>
      <c r="P152" s="1"/>
      <c r="Q152" s="1"/>
    </row>
    <row r="153" ht="15.75" customHeight="1">
      <c r="A153" s="1"/>
      <c r="B153" s="1"/>
      <c r="C153" s="1"/>
      <c r="D153" s="1"/>
      <c r="E153" s="1"/>
      <c r="F153" s="1"/>
      <c r="G153" s="1"/>
      <c r="H153" s="1"/>
      <c r="I153" s="1"/>
      <c r="J153" s="1"/>
      <c r="K153" s="1"/>
      <c r="L153" s="1"/>
      <c r="M153" s="1"/>
      <c r="N153" s="1"/>
      <c r="O153" s="1"/>
      <c r="P153" s="1"/>
      <c r="Q153" s="1"/>
    </row>
    <row r="154" ht="15.75" customHeight="1">
      <c r="A154" s="1"/>
      <c r="B154" s="1"/>
      <c r="C154" s="1"/>
      <c r="D154" s="1"/>
      <c r="E154" s="1"/>
      <c r="F154" s="1"/>
      <c r="G154" s="1"/>
      <c r="H154" s="1"/>
      <c r="I154" s="1"/>
      <c r="J154" s="1"/>
      <c r="K154" s="1"/>
      <c r="L154" s="1"/>
      <c r="M154" s="1"/>
      <c r="N154" s="1"/>
      <c r="O154" s="1"/>
      <c r="P154" s="1"/>
      <c r="Q154" s="1"/>
    </row>
    <row r="155" ht="15.75" customHeight="1">
      <c r="A155" s="1"/>
      <c r="B155" s="1"/>
      <c r="C155" s="1"/>
      <c r="D155" s="1"/>
      <c r="E155" s="1"/>
      <c r="F155" s="1"/>
      <c r="G155" s="1"/>
      <c r="H155" s="1"/>
      <c r="I155" s="1"/>
      <c r="J155" s="1"/>
      <c r="K155" s="1"/>
      <c r="L155" s="1"/>
      <c r="M155" s="1"/>
      <c r="N155" s="1"/>
      <c r="O155" s="1"/>
      <c r="P155" s="1"/>
      <c r="Q155" s="1"/>
    </row>
    <row r="156" ht="15.75" customHeight="1">
      <c r="A156" s="1"/>
      <c r="B156" s="1"/>
      <c r="C156" s="1"/>
      <c r="D156" s="1"/>
      <c r="E156" s="1"/>
      <c r="F156" s="1"/>
      <c r="G156" s="1"/>
      <c r="H156" s="1"/>
      <c r="I156" s="1"/>
      <c r="J156" s="1"/>
      <c r="K156" s="1"/>
      <c r="L156" s="1"/>
      <c r="M156" s="1"/>
      <c r="N156" s="1"/>
      <c r="O156" s="1"/>
      <c r="P156" s="1"/>
      <c r="Q156" s="1"/>
    </row>
    <row r="157" ht="15.75" customHeight="1">
      <c r="A157" s="1"/>
      <c r="B157" s="1"/>
      <c r="C157" s="1"/>
      <c r="D157" s="1"/>
      <c r="E157" s="1"/>
      <c r="F157" s="1"/>
      <c r="G157" s="1"/>
      <c r="H157" s="1"/>
      <c r="I157" s="1"/>
      <c r="J157" s="1"/>
      <c r="K157" s="1"/>
      <c r="L157" s="1"/>
      <c r="M157" s="1"/>
      <c r="N157" s="1"/>
      <c r="O157" s="1"/>
      <c r="P157" s="1"/>
      <c r="Q157" s="1"/>
    </row>
    <row r="158" ht="15.75" customHeight="1">
      <c r="A158" s="1"/>
      <c r="B158" s="1"/>
      <c r="C158" s="1"/>
      <c r="D158" s="1"/>
      <c r="E158" s="1"/>
      <c r="F158" s="1"/>
      <c r="G158" s="1"/>
      <c r="H158" s="1"/>
      <c r="I158" s="1"/>
      <c r="J158" s="1"/>
      <c r="K158" s="1"/>
      <c r="L158" s="1"/>
      <c r="M158" s="1"/>
      <c r="N158" s="1"/>
      <c r="O158" s="1"/>
      <c r="P158" s="1"/>
      <c r="Q158" s="1"/>
    </row>
    <row r="159" ht="15.75" customHeight="1">
      <c r="A159" s="1"/>
      <c r="B159" s="1"/>
      <c r="C159" s="1"/>
      <c r="D159" s="1"/>
      <c r="E159" s="1"/>
      <c r="F159" s="1"/>
      <c r="G159" s="1"/>
      <c r="H159" s="1"/>
      <c r="I159" s="1"/>
      <c r="J159" s="1"/>
      <c r="K159" s="1"/>
      <c r="L159" s="1"/>
      <c r="M159" s="1"/>
      <c r="N159" s="1"/>
      <c r="O159" s="1"/>
      <c r="P159" s="1"/>
      <c r="Q159" s="1"/>
    </row>
    <row r="160" ht="15.75" customHeight="1">
      <c r="A160" s="1"/>
      <c r="B160" s="1"/>
      <c r="C160" s="1"/>
      <c r="D160" s="1"/>
      <c r="E160" s="1"/>
      <c r="F160" s="1"/>
      <c r="G160" s="1"/>
      <c r="H160" s="1"/>
      <c r="I160" s="1"/>
      <c r="J160" s="1"/>
      <c r="K160" s="1"/>
      <c r="L160" s="1"/>
      <c r="M160" s="1"/>
      <c r="N160" s="1"/>
      <c r="O160" s="1"/>
      <c r="P160" s="1"/>
      <c r="Q160" s="1"/>
    </row>
    <row r="161" ht="15.75" customHeight="1">
      <c r="A161" s="1"/>
      <c r="B161" s="1"/>
      <c r="C161" s="1"/>
      <c r="D161" s="1"/>
      <c r="E161" s="1"/>
      <c r="F161" s="1"/>
      <c r="G161" s="1"/>
      <c r="H161" s="1"/>
      <c r="I161" s="1"/>
      <c r="J161" s="1"/>
      <c r="K161" s="1"/>
      <c r="L161" s="1"/>
      <c r="M161" s="1"/>
      <c r="N161" s="1"/>
      <c r="O161" s="1"/>
      <c r="P161" s="1"/>
      <c r="Q161" s="1"/>
    </row>
    <row r="162" ht="15.75" customHeight="1">
      <c r="A162" s="1"/>
      <c r="B162" s="1"/>
      <c r="C162" s="1"/>
      <c r="D162" s="1"/>
      <c r="E162" s="1"/>
      <c r="F162" s="1"/>
      <c r="G162" s="1"/>
      <c r="H162" s="1"/>
      <c r="I162" s="1"/>
      <c r="J162" s="1"/>
      <c r="K162" s="1"/>
      <c r="L162" s="1"/>
      <c r="M162" s="1"/>
      <c r="N162" s="1"/>
      <c r="O162" s="1"/>
      <c r="P162" s="1"/>
      <c r="Q162" s="1"/>
    </row>
    <row r="163" ht="15.75" customHeight="1">
      <c r="A163" s="1"/>
      <c r="B163" s="1"/>
      <c r="C163" s="1"/>
      <c r="D163" s="1"/>
      <c r="E163" s="1"/>
      <c r="F163" s="1"/>
      <c r="G163" s="1"/>
      <c r="H163" s="1"/>
      <c r="I163" s="1"/>
      <c r="J163" s="1"/>
      <c r="K163" s="1"/>
      <c r="L163" s="1"/>
      <c r="M163" s="1"/>
      <c r="N163" s="1"/>
      <c r="O163" s="1"/>
      <c r="P163" s="1"/>
      <c r="Q163" s="1"/>
    </row>
    <row r="164" ht="15.75" customHeight="1">
      <c r="A164" s="1"/>
      <c r="B164" s="1"/>
      <c r="C164" s="1"/>
      <c r="D164" s="1"/>
      <c r="E164" s="1"/>
      <c r="F164" s="1"/>
      <c r="G164" s="1"/>
      <c r="H164" s="1"/>
      <c r="I164" s="1"/>
      <c r="J164" s="1"/>
      <c r="K164" s="1"/>
      <c r="L164" s="1"/>
      <c r="M164" s="1"/>
      <c r="N164" s="1"/>
      <c r="O164" s="1"/>
      <c r="P164" s="1"/>
      <c r="Q164" s="1"/>
    </row>
    <row r="165" ht="15.75" customHeight="1">
      <c r="A165" s="1"/>
      <c r="B165" s="1"/>
      <c r="C165" s="1"/>
      <c r="D165" s="1"/>
      <c r="E165" s="1"/>
      <c r="F165" s="1"/>
      <c r="G165" s="1"/>
      <c r="H165" s="1"/>
      <c r="I165" s="1"/>
      <c r="J165" s="1"/>
      <c r="K165" s="1"/>
      <c r="L165" s="1"/>
      <c r="M165" s="1"/>
      <c r="N165" s="1"/>
      <c r="O165" s="1"/>
      <c r="P165" s="1"/>
      <c r="Q165" s="1"/>
    </row>
    <row r="166" ht="15.75" customHeight="1">
      <c r="A166" s="1"/>
      <c r="B166" s="1"/>
      <c r="C166" s="1"/>
      <c r="D166" s="1"/>
      <c r="E166" s="1"/>
      <c r="F166" s="1"/>
      <c r="G166" s="1"/>
      <c r="H166" s="1"/>
      <c r="I166" s="1"/>
      <c r="J166" s="1"/>
      <c r="K166" s="1"/>
      <c r="L166" s="1"/>
      <c r="M166" s="1"/>
      <c r="N166" s="1"/>
      <c r="O166" s="1"/>
      <c r="P166" s="1"/>
      <c r="Q166" s="1"/>
    </row>
    <row r="167" ht="15.75" customHeight="1">
      <c r="A167" s="1"/>
      <c r="B167" s="1"/>
      <c r="C167" s="1"/>
      <c r="D167" s="1"/>
      <c r="E167" s="1"/>
      <c r="F167" s="1"/>
      <c r="G167" s="1"/>
      <c r="H167" s="1"/>
      <c r="I167" s="1"/>
      <c r="J167" s="1"/>
      <c r="K167" s="1"/>
      <c r="L167" s="1"/>
      <c r="M167" s="1"/>
      <c r="N167" s="1"/>
      <c r="O167" s="1"/>
      <c r="P167" s="1"/>
      <c r="Q167" s="1"/>
    </row>
    <row r="168" ht="15.75" customHeight="1">
      <c r="A168" s="1"/>
      <c r="B168" s="1"/>
      <c r="C168" s="1"/>
      <c r="D168" s="1"/>
      <c r="E168" s="1"/>
      <c r="F168" s="1"/>
      <c r="G168" s="1"/>
      <c r="H168" s="1"/>
      <c r="I168" s="1"/>
      <c r="J168" s="1"/>
      <c r="K168" s="1"/>
      <c r="L168" s="1"/>
      <c r="M168" s="1"/>
      <c r="N168" s="1"/>
      <c r="O168" s="1"/>
      <c r="P168" s="1"/>
      <c r="Q168" s="1"/>
    </row>
    <row r="169" ht="15.75" customHeight="1">
      <c r="A169" s="1"/>
      <c r="B169" s="1"/>
      <c r="C169" s="1"/>
      <c r="D169" s="1"/>
      <c r="E169" s="1"/>
      <c r="F169" s="1"/>
      <c r="G169" s="1"/>
      <c r="H169" s="1"/>
      <c r="I169" s="1"/>
      <c r="J169" s="1"/>
      <c r="K169" s="1"/>
      <c r="L169" s="1"/>
      <c r="M169" s="1"/>
      <c r="N169" s="1"/>
      <c r="O169" s="1"/>
      <c r="P169" s="1"/>
      <c r="Q169" s="1"/>
    </row>
    <row r="170" ht="15.75" customHeight="1">
      <c r="A170" s="1"/>
      <c r="B170" s="1"/>
      <c r="C170" s="1"/>
      <c r="D170" s="1"/>
      <c r="E170" s="1"/>
      <c r="F170" s="1"/>
      <c r="G170" s="1"/>
      <c r="H170" s="1"/>
      <c r="I170" s="1"/>
      <c r="J170" s="1"/>
      <c r="K170" s="1"/>
      <c r="L170" s="1"/>
      <c r="M170" s="1"/>
      <c r="N170" s="1"/>
      <c r="O170" s="1"/>
      <c r="P170" s="1"/>
      <c r="Q170" s="1"/>
    </row>
    <row r="171" ht="15.75" customHeight="1">
      <c r="A171" s="1"/>
      <c r="B171" s="1"/>
      <c r="C171" s="1"/>
      <c r="D171" s="1"/>
      <c r="E171" s="1"/>
      <c r="F171" s="1"/>
      <c r="G171" s="1"/>
      <c r="H171" s="1"/>
      <c r="I171" s="1"/>
      <c r="J171" s="1"/>
      <c r="K171" s="1"/>
      <c r="L171" s="1"/>
      <c r="M171" s="1"/>
      <c r="N171" s="1"/>
      <c r="O171" s="1"/>
      <c r="P171" s="1"/>
      <c r="Q171" s="1"/>
    </row>
    <row r="172" ht="15.75" customHeight="1">
      <c r="A172" s="1"/>
      <c r="B172" s="1"/>
      <c r="C172" s="1"/>
      <c r="D172" s="1"/>
      <c r="E172" s="1"/>
      <c r="F172" s="1"/>
      <c r="G172" s="1"/>
      <c r="H172" s="1"/>
      <c r="I172" s="1"/>
      <c r="J172" s="1"/>
      <c r="K172" s="1"/>
      <c r="L172" s="1"/>
      <c r="M172" s="1"/>
      <c r="N172" s="1"/>
      <c r="O172" s="1"/>
      <c r="P172" s="1"/>
      <c r="Q172" s="1"/>
    </row>
    <row r="173" ht="15.75" customHeight="1">
      <c r="A173" s="1"/>
      <c r="B173" s="1"/>
      <c r="C173" s="1"/>
      <c r="D173" s="1"/>
      <c r="E173" s="1"/>
      <c r="F173" s="1"/>
      <c r="G173" s="1"/>
      <c r="H173" s="1"/>
      <c r="I173" s="1"/>
      <c r="J173" s="1"/>
      <c r="K173" s="1"/>
      <c r="L173" s="1"/>
      <c r="M173" s="1"/>
      <c r="N173" s="1"/>
      <c r="O173" s="1"/>
      <c r="P173" s="1"/>
      <c r="Q173" s="1"/>
    </row>
    <row r="174" ht="15.75" customHeight="1">
      <c r="A174" s="1"/>
      <c r="B174" s="1"/>
      <c r="C174" s="1"/>
      <c r="D174" s="1"/>
      <c r="E174" s="1"/>
      <c r="F174" s="1"/>
      <c r="G174" s="1"/>
      <c r="H174" s="1"/>
      <c r="I174" s="1"/>
      <c r="J174" s="1"/>
      <c r="K174" s="1"/>
      <c r="L174" s="1"/>
      <c r="M174" s="1"/>
      <c r="N174" s="1"/>
      <c r="O174" s="1"/>
      <c r="P174" s="1"/>
      <c r="Q174" s="1"/>
    </row>
    <row r="175" ht="15.75" customHeight="1">
      <c r="A175" s="1"/>
      <c r="B175" s="1"/>
      <c r="C175" s="1"/>
      <c r="D175" s="1"/>
      <c r="E175" s="1"/>
      <c r="F175" s="1"/>
      <c r="G175" s="1"/>
      <c r="H175" s="1"/>
      <c r="I175" s="1"/>
      <c r="J175" s="1"/>
      <c r="K175" s="1"/>
      <c r="L175" s="1"/>
      <c r="M175" s="1"/>
      <c r="N175" s="1"/>
      <c r="O175" s="1"/>
      <c r="P175" s="1"/>
      <c r="Q175" s="1"/>
    </row>
    <row r="176" ht="15.75" customHeight="1">
      <c r="A176" s="1"/>
      <c r="B176" s="1"/>
      <c r="C176" s="1"/>
      <c r="D176" s="1"/>
      <c r="E176" s="1"/>
      <c r="F176" s="1"/>
      <c r="G176" s="1"/>
      <c r="H176" s="1"/>
      <c r="I176" s="1"/>
      <c r="J176" s="1"/>
      <c r="K176" s="1"/>
      <c r="L176" s="1"/>
      <c r="M176" s="1"/>
      <c r="N176" s="1"/>
      <c r="O176" s="1"/>
      <c r="P176" s="1"/>
      <c r="Q176" s="1"/>
    </row>
    <row r="177" ht="15.75" customHeight="1">
      <c r="A177" s="1"/>
      <c r="B177" s="1"/>
      <c r="C177" s="1"/>
      <c r="D177" s="1"/>
      <c r="E177" s="1"/>
      <c r="F177" s="1"/>
      <c r="G177" s="1"/>
      <c r="H177" s="1"/>
      <c r="I177" s="1"/>
      <c r="J177" s="1"/>
      <c r="K177" s="1"/>
      <c r="L177" s="1"/>
      <c r="M177" s="1"/>
      <c r="N177" s="1"/>
      <c r="O177" s="1"/>
      <c r="P177" s="1"/>
      <c r="Q177" s="1"/>
    </row>
    <row r="178" ht="15.75" customHeight="1">
      <c r="A178" s="1"/>
      <c r="B178" s="1"/>
      <c r="C178" s="1"/>
      <c r="D178" s="1"/>
      <c r="E178" s="1"/>
      <c r="F178" s="1"/>
      <c r="G178" s="1"/>
      <c r="H178" s="1"/>
      <c r="I178" s="1"/>
      <c r="J178" s="1"/>
      <c r="K178" s="1"/>
      <c r="L178" s="1"/>
      <c r="M178" s="1"/>
      <c r="N178" s="1"/>
      <c r="O178" s="1"/>
      <c r="P178" s="1"/>
      <c r="Q178" s="1"/>
    </row>
    <row r="179" ht="15.75" customHeight="1">
      <c r="A179" s="1"/>
      <c r="B179" s="1"/>
      <c r="C179" s="1"/>
      <c r="D179" s="1"/>
      <c r="E179" s="1"/>
      <c r="F179" s="1"/>
      <c r="G179" s="1"/>
      <c r="H179" s="1"/>
      <c r="I179" s="1"/>
      <c r="J179" s="1"/>
      <c r="K179" s="1"/>
      <c r="L179" s="1"/>
      <c r="M179" s="1"/>
      <c r="N179" s="1"/>
      <c r="O179" s="1"/>
      <c r="P179" s="1"/>
      <c r="Q179" s="1"/>
    </row>
    <row r="180" ht="15.75" customHeight="1">
      <c r="A180" s="1"/>
      <c r="B180" s="1"/>
      <c r="C180" s="1"/>
      <c r="D180" s="1"/>
      <c r="E180" s="1"/>
      <c r="F180" s="1"/>
      <c r="G180" s="1"/>
      <c r="H180" s="1"/>
      <c r="I180" s="1"/>
      <c r="J180" s="1"/>
      <c r="K180" s="1"/>
      <c r="L180" s="1"/>
      <c r="M180" s="1"/>
      <c r="N180" s="1"/>
      <c r="O180" s="1"/>
      <c r="P180" s="1"/>
      <c r="Q180" s="1"/>
    </row>
    <row r="181" ht="15.75" customHeight="1">
      <c r="A181" s="1"/>
      <c r="B181" s="1"/>
      <c r="C181" s="1"/>
      <c r="D181" s="1"/>
      <c r="E181" s="1"/>
      <c r="F181" s="1"/>
      <c r="G181" s="1"/>
      <c r="H181" s="1"/>
      <c r="I181" s="1"/>
      <c r="J181" s="1"/>
      <c r="K181" s="1"/>
      <c r="L181" s="1"/>
      <c r="M181" s="1"/>
      <c r="N181" s="1"/>
      <c r="O181" s="1"/>
      <c r="P181" s="1"/>
      <c r="Q181" s="1"/>
    </row>
    <row r="182" ht="15.75" customHeight="1">
      <c r="A182" s="1"/>
      <c r="B182" s="1"/>
      <c r="C182" s="1"/>
      <c r="D182" s="1"/>
      <c r="E182" s="1"/>
      <c r="F182" s="1"/>
      <c r="G182" s="1"/>
      <c r="H182" s="1"/>
      <c r="I182" s="1"/>
      <c r="J182" s="1"/>
      <c r="K182" s="1"/>
      <c r="L182" s="1"/>
      <c r="M182" s="1"/>
      <c r="N182" s="1"/>
      <c r="O182" s="1"/>
      <c r="P182" s="1"/>
      <c r="Q182" s="1"/>
    </row>
    <row r="183" ht="15.75" customHeight="1">
      <c r="A183" s="1"/>
      <c r="B183" s="1"/>
      <c r="C183" s="1"/>
      <c r="D183" s="1"/>
      <c r="E183" s="1"/>
      <c r="F183" s="1"/>
      <c r="G183" s="1"/>
      <c r="H183" s="1"/>
      <c r="I183" s="1"/>
      <c r="J183" s="1"/>
      <c r="K183" s="1"/>
      <c r="L183" s="1"/>
      <c r="M183" s="1"/>
      <c r="N183" s="1"/>
      <c r="O183" s="1"/>
      <c r="P183" s="1"/>
      <c r="Q183" s="1"/>
    </row>
    <row r="184" ht="15.75" customHeight="1">
      <c r="A184" s="1"/>
      <c r="B184" s="1"/>
      <c r="C184" s="1"/>
      <c r="D184" s="1"/>
      <c r="E184" s="1"/>
      <c r="F184" s="1"/>
      <c r="G184" s="1"/>
      <c r="H184" s="1"/>
      <c r="I184" s="1"/>
      <c r="J184" s="1"/>
      <c r="K184" s="1"/>
      <c r="L184" s="1"/>
      <c r="M184" s="1"/>
      <c r="N184" s="1"/>
      <c r="O184" s="1"/>
      <c r="P184" s="1"/>
      <c r="Q184" s="1"/>
    </row>
    <row r="185" ht="15.75" customHeight="1">
      <c r="A185" s="1"/>
      <c r="B185" s="1"/>
      <c r="C185" s="1"/>
      <c r="D185" s="1"/>
      <c r="E185" s="1"/>
      <c r="F185" s="1"/>
      <c r="G185" s="1"/>
      <c r="H185" s="1"/>
      <c r="I185" s="1"/>
      <c r="J185" s="1"/>
      <c r="K185" s="1"/>
      <c r="L185" s="1"/>
      <c r="M185" s="1"/>
      <c r="N185" s="1"/>
      <c r="O185" s="1"/>
      <c r="P185" s="1"/>
      <c r="Q185" s="1"/>
    </row>
    <row r="186" ht="15.75" customHeight="1">
      <c r="A186" s="1"/>
      <c r="B186" s="1"/>
      <c r="C186" s="1"/>
      <c r="D186" s="1"/>
      <c r="E186" s="1"/>
      <c r="F186" s="1"/>
      <c r="G186" s="1"/>
      <c r="H186" s="1"/>
      <c r="I186" s="1"/>
      <c r="J186" s="1"/>
      <c r="K186" s="1"/>
      <c r="L186" s="1"/>
      <c r="M186" s="1"/>
      <c r="N186" s="1"/>
      <c r="O186" s="1"/>
      <c r="P186" s="1"/>
      <c r="Q186" s="1"/>
    </row>
    <row r="187" ht="15.75" customHeight="1">
      <c r="A187" s="1"/>
      <c r="B187" s="1"/>
      <c r="C187" s="1"/>
      <c r="D187" s="1"/>
      <c r="E187" s="1"/>
      <c r="F187" s="1"/>
      <c r="G187" s="1"/>
      <c r="H187" s="1"/>
      <c r="I187" s="1"/>
      <c r="J187" s="1"/>
      <c r="K187" s="1"/>
      <c r="L187" s="1"/>
      <c r="M187" s="1"/>
      <c r="N187" s="1"/>
      <c r="O187" s="1"/>
      <c r="P187" s="1"/>
      <c r="Q187" s="1"/>
    </row>
    <row r="188" ht="15.75" customHeight="1">
      <c r="A188" s="1"/>
      <c r="B188" s="1"/>
      <c r="C188" s="1"/>
      <c r="D188" s="1"/>
      <c r="E188" s="1"/>
      <c r="F188" s="1"/>
      <c r="G188" s="1"/>
      <c r="H188" s="1"/>
      <c r="I188" s="1"/>
      <c r="J188" s="1"/>
      <c r="K188" s="1"/>
      <c r="L188" s="1"/>
      <c r="M188" s="1"/>
      <c r="N188" s="1"/>
      <c r="O188" s="1"/>
      <c r="P188" s="1"/>
      <c r="Q188" s="1"/>
    </row>
    <row r="189" ht="15.75" customHeight="1">
      <c r="A189" s="1"/>
      <c r="B189" s="1"/>
      <c r="C189" s="1"/>
      <c r="D189" s="1"/>
      <c r="E189" s="1"/>
      <c r="F189" s="1"/>
      <c r="G189" s="1"/>
      <c r="H189" s="1"/>
      <c r="I189" s="1"/>
      <c r="J189" s="1"/>
      <c r="K189" s="1"/>
      <c r="L189" s="1"/>
      <c r="M189" s="1"/>
      <c r="N189" s="1"/>
      <c r="O189" s="1"/>
      <c r="P189" s="1"/>
      <c r="Q189" s="1"/>
    </row>
    <row r="190" ht="15.75" customHeight="1">
      <c r="A190" s="1"/>
      <c r="B190" s="1"/>
      <c r="C190" s="1"/>
      <c r="D190" s="1"/>
      <c r="E190" s="1"/>
      <c r="F190" s="1"/>
      <c r="G190" s="1"/>
      <c r="H190" s="1"/>
      <c r="I190" s="1"/>
      <c r="J190" s="1"/>
      <c r="K190" s="1"/>
      <c r="L190" s="1"/>
      <c r="M190" s="1"/>
      <c r="N190" s="1"/>
      <c r="O190" s="1"/>
      <c r="P190" s="1"/>
      <c r="Q190" s="1"/>
    </row>
    <row r="191" ht="15.75" customHeight="1">
      <c r="A191" s="1"/>
      <c r="B191" s="1"/>
      <c r="C191" s="1"/>
      <c r="D191" s="1"/>
      <c r="E191" s="1"/>
      <c r="F191" s="1"/>
      <c r="G191" s="1"/>
      <c r="H191" s="1"/>
      <c r="I191" s="1"/>
      <c r="J191" s="1"/>
      <c r="K191" s="1"/>
      <c r="L191" s="1"/>
      <c r="M191" s="1"/>
      <c r="N191" s="1"/>
      <c r="O191" s="1"/>
      <c r="P191" s="1"/>
      <c r="Q191" s="1"/>
    </row>
    <row r="192" ht="15.75" customHeight="1">
      <c r="A192" s="1"/>
      <c r="B192" s="1"/>
      <c r="C192" s="1"/>
      <c r="D192" s="1"/>
      <c r="E192" s="1"/>
      <c r="F192" s="1"/>
      <c r="G192" s="1"/>
      <c r="H192" s="1"/>
      <c r="I192" s="1"/>
      <c r="J192" s="1"/>
      <c r="K192" s="1"/>
      <c r="L192" s="1"/>
      <c r="M192" s="1"/>
      <c r="N192" s="1"/>
      <c r="O192" s="1"/>
      <c r="P192" s="1"/>
      <c r="Q192" s="1"/>
    </row>
    <row r="193" ht="15.75" customHeight="1">
      <c r="A193" s="1"/>
      <c r="B193" s="1"/>
      <c r="C193" s="1"/>
      <c r="D193" s="1"/>
      <c r="E193" s="1"/>
      <c r="F193" s="1"/>
      <c r="G193" s="1"/>
      <c r="H193" s="1"/>
      <c r="I193" s="1"/>
      <c r="J193" s="1"/>
      <c r="K193" s="1"/>
      <c r="L193" s="1"/>
      <c r="M193" s="1"/>
      <c r="N193" s="1"/>
      <c r="O193" s="1"/>
      <c r="P193" s="1"/>
      <c r="Q193" s="1"/>
    </row>
    <row r="194" ht="15.75" customHeight="1">
      <c r="A194" s="1"/>
      <c r="B194" s="1"/>
      <c r="C194" s="1"/>
      <c r="D194" s="1"/>
      <c r="E194" s="1"/>
      <c r="F194" s="1"/>
      <c r="G194" s="1"/>
      <c r="H194" s="1"/>
      <c r="I194" s="1"/>
      <c r="J194" s="1"/>
      <c r="K194" s="1"/>
      <c r="L194" s="1"/>
      <c r="M194" s="1"/>
      <c r="N194" s="1"/>
      <c r="O194" s="1"/>
      <c r="P194" s="1"/>
      <c r="Q194" s="1"/>
    </row>
    <row r="195" ht="15.75" customHeight="1">
      <c r="A195" s="1"/>
      <c r="B195" s="1"/>
      <c r="C195" s="1"/>
      <c r="D195" s="1"/>
      <c r="E195" s="1"/>
      <c r="F195" s="1"/>
      <c r="G195" s="1"/>
      <c r="H195" s="1"/>
      <c r="I195" s="1"/>
      <c r="J195" s="1"/>
      <c r="K195" s="1"/>
      <c r="L195" s="1"/>
      <c r="M195" s="1"/>
      <c r="N195" s="1"/>
      <c r="O195" s="1"/>
      <c r="P195" s="1"/>
      <c r="Q195" s="1"/>
    </row>
    <row r="196" ht="15.75" customHeight="1">
      <c r="A196" s="1"/>
      <c r="B196" s="1"/>
      <c r="C196" s="1"/>
      <c r="D196" s="1"/>
      <c r="E196" s="1"/>
      <c r="F196" s="1"/>
      <c r="G196" s="1"/>
      <c r="H196" s="1"/>
      <c r="I196" s="1"/>
      <c r="J196" s="1"/>
      <c r="K196" s="1"/>
      <c r="L196" s="1"/>
      <c r="M196" s="1"/>
      <c r="N196" s="1"/>
      <c r="O196" s="1"/>
      <c r="P196" s="1"/>
      <c r="Q196" s="1"/>
    </row>
    <row r="197" ht="15.75" customHeight="1">
      <c r="A197" s="1"/>
      <c r="B197" s="1"/>
      <c r="C197" s="1"/>
      <c r="D197" s="1"/>
      <c r="E197" s="1"/>
      <c r="F197" s="1"/>
      <c r="G197" s="1"/>
      <c r="H197" s="1"/>
      <c r="I197" s="1"/>
      <c r="J197" s="1"/>
      <c r="K197" s="1"/>
      <c r="L197" s="1"/>
      <c r="M197" s="1"/>
      <c r="N197" s="1"/>
      <c r="O197" s="1"/>
      <c r="P197" s="1"/>
      <c r="Q197" s="1"/>
    </row>
    <row r="198" ht="15.75" customHeight="1">
      <c r="A198" s="1"/>
      <c r="B198" s="1"/>
      <c r="C198" s="1"/>
      <c r="D198" s="1"/>
      <c r="E198" s="1"/>
      <c r="F198" s="1"/>
      <c r="G198" s="1"/>
      <c r="H198" s="1"/>
      <c r="I198" s="1"/>
      <c r="J198" s="1"/>
      <c r="K198" s="1"/>
      <c r="L198" s="1"/>
      <c r="M198" s="1"/>
      <c r="N198" s="1"/>
      <c r="O198" s="1"/>
      <c r="P198" s="1"/>
      <c r="Q198" s="1"/>
    </row>
    <row r="199" ht="15.75" customHeight="1">
      <c r="A199" s="1"/>
      <c r="B199" s="1"/>
      <c r="C199" s="1"/>
      <c r="D199" s="1"/>
      <c r="E199" s="1"/>
      <c r="F199" s="1"/>
      <c r="G199" s="1"/>
      <c r="H199" s="1"/>
      <c r="I199" s="1"/>
      <c r="J199" s="1"/>
      <c r="K199" s="1"/>
      <c r="L199" s="1"/>
      <c r="M199" s="1"/>
      <c r="N199" s="1"/>
      <c r="O199" s="1"/>
      <c r="P199" s="1"/>
      <c r="Q199" s="1"/>
    </row>
    <row r="200" ht="15.75" customHeight="1">
      <c r="A200" s="1"/>
      <c r="B200" s="1"/>
      <c r="C200" s="1"/>
      <c r="D200" s="1"/>
      <c r="E200" s="1"/>
      <c r="F200" s="1"/>
      <c r="G200" s="1"/>
      <c r="H200" s="1"/>
      <c r="I200" s="1"/>
      <c r="J200" s="1"/>
      <c r="K200" s="1"/>
      <c r="L200" s="1"/>
      <c r="M200" s="1"/>
      <c r="N200" s="1"/>
      <c r="O200" s="1"/>
      <c r="P200" s="1"/>
      <c r="Q200" s="1"/>
    </row>
    <row r="201" ht="15.75" customHeight="1">
      <c r="A201" s="1"/>
      <c r="B201" s="1"/>
      <c r="C201" s="1"/>
      <c r="D201" s="1"/>
      <c r="E201" s="1"/>
      <c r="F201" s="1"/>
      <c r="G201" s="1"/>
      <c r="H201" s="1"/>
      <c r="I201" s="1"/>
      <c r="J201" s="1"/>
      <c r="K201" s="1"/>
      <c r="L201" s="1"/>
      <c r="M201" s="1"/>
      <c r="N201" s="1"/>
      <c r="O201" s="1"/>
      <c r="P201" s="1"/>
      <c r="Q201" s="1"/>
    </row>
    <row r="202" ht="15.75" customHeight="1">
      <c r="A202" s="1"/>
      <c r="B202" s="1"/>
      <c r="C202" s="1"/>
      <c r="D202" s="1"/>
      <c r="E202" s="1"/>
      <c r="F202" s="1"/>
      <c r="G202" s="1"/>
      <c r="H202" s="1"/>
      <c r="I202" s="1"/>
      <c r="J202" s="1"/>
      <c r="K202" s="1"/>
      <c r="L202" s="1"/>
      <c r="M202" s="1"/>
      <c r="N202" s="1"/>
      <c r="O202" s="1"/>
      <c r="P202" s="1"/>
      <c r="Q202" s="1"/>
    </row>
    <row r="203" ht="15.75" customHeight="1">
      <c r="A203" s="1"/>
      <c r="B203" s="1"/>
      <c r="C203" s="1"/>
      <c r="D203" s="1"/>
      <c r="E203" s="1"/>
      <c r="F203" s="1"/>
      <c r="G203" s="1"/>
      <c r="H203" s="1"/>
      <c r="I203" s="1"/>
      <c r="J203" s="1"/>
      <c r="K203" s="1"/>
      <c r="L203" s="1"/>
      <c r="M203" s="1"/>
      <c r="N203" s="1"/>
      <c r="O203" s="1"/>
      <c r="P203" s="1"/>
      <c r="Q203" s="1"/>
    </row>
    <row r="204" ht="15.75" customHeight="1">
      <c r="A204" s="1"/>
      <c r="B204" s="1"/>
      <c r="C204" s="1"/>
      <c r="D204" s="1"/>
      <c r="E204" s="1"/>
      <c r="F204" s="1"/>
      <c r="G204" s="1"/>
      <c r="H204" s="1"/>
      <c r="I204" s="1"/>
      <c r="J204" s="1"/>
      <c r="K204" s="1"/>
      <c r="L204" s="1"/>
      <c r="M204" s="1"/>
      <c r="N204" s="1"/>
      <c r="O204" s="1"/>
      <c r="P204" s="1"/>
      <c r="Q204" s="1"/>
    </row>
    <row r="205" ht="15.75" customHeight="1">
      <c r="A205" s="1"/>
      <c r="B205" s="1"/>
      <c r="C205" s="1"/>
      <c r="D205" s="1"/>
      <c r="E205" s="1"/>
      <c r="F205" s="1"/>
      <c r="G205" s="1"/>
      <c r="H205" s="1"/>
      <c r="I205" s="1"/>
      <c r="J205" s="1"/>
      <c r="K205" s="1"/>
      <c r="L205" s="1"/>
      <c r="M205" s="1"/>
      <c r="N205" s="1"/>
      <c r="O205" s="1"/>
      <c r="P205" s="1"/>
      <c r="Q205" s="1"/>
    </row>
    <row r="206" ht="15.75" customHeight="1">
      <c r="A206" s="1"/>
      <c r="B206" s="1"/>
      <c r="C206" s="1"/>
      <c r="D206" s="1"/>
      <c r="E206" s="1"/>
      <c r="F206" s="1"/>
      <c r="G206" s="1"/>
      <c r="H206" s="1"/>
      <c r="I206" s="1"/>
      <c r="J206" s="1"/>
      <c r="K206" s="1"/>
      <c r="L206" s="1"/>
      <c r="M206" s="1"/>
      <c r="N206" s="1"/>
      <c r="O206" s="1"/>
      <c r="P206" s="1"/>
      <c r="Q206" s="1"/>
    </row>
    <row r="207" ht="15.75" customHeight="1">
      <c r="A207" s="1"/>
      <c r="B207" s="1"/>
      <c r="C207" s="1"/>
      <c r="D207" s="1"/>
      <c r="E207" s="1"/>
      <c r="F207" s="1"/>
      <c r="G207" s="1"/>
      <c r="H207" s="1"/>
      <c r="I207" s="1"/>
      <c r="J207" s="1"/>
      <c r="K207" s="1"/>
      <c r="L207" s="1"/>
      <c r="M207" s="1"/>
      <c r="N207" s="1"/>
      <c r="O207" s="1"/>
      <c r="P207" s="1"/>
      <c r="Q207" s="1"/>
    </row>
    <row r="208" ht="15.75" customHeight="1">
      <c r="A208" s="1"/>
      <c r="B208" s="1"/>
      <c r="C208" s="1"/>
      <c r="D208" s="1"/>
      <c r="E208" s="1"/>
      <c r="F208" s="1"/>
      <c r="G208" s="1"/>
      <c r="H208" s="1"/>
      <c r="I208" s="1"/>
      <c r="J208" s="1"/>
      <c r="K208" s="1"/>
      <c r="L208" s="1"/>
      <c r="M208" s="1"/>
      <c r="N208" s="1"/>
      <c r="O208" s="1"/>
      <c r="P208" s="1"/>
      <c r="Q208" s="1"/>
    </row>
    <row r="209" ht="15.75" customHeight="1">
      <c r="A209" s="1"/>
      <c r="B209" s="1"/>
      <c r="C209" s="1"/>
      <c r="D209" s="1"/>
      <c r="E209" s="1"/>
      <c r="F209" s="1"/>
      <c r="G209" s="1"/>
      <c r="H209" s="1"/>
      <c r="I209" s="1"/>
      <c r="J209" s="1"/>
      <c r="K209" s="1"/>
      <c r="L209" s="1"/>
      <c r="M209" s="1"/>
      <c r="N209" s="1"/>
      <c r="O209" s="1"/>
      <c r="P209" s="1"/>
      <c r="Q209" s="1"/>
    </row>
    <row r="210" ht="15.75" customHeight="1">
      <c r="A210" s="1"/>
      <c r="B210" s="1"/>
      <c r="C210" s="1"/>
      <c r="D210" s="1"/>
      <c r="E210" s="1"/>
      <c r="F210" s="1"/>
      <c r="G210" s="1"/>
      <c r="H210" s="1"/>
      <c r="I210" s="1"/>
      <c r="J210" s="1"/>
      <c r="K210" s="1"/>
      <c r="L210" s="1"/>
      <c r="M210" s="1"/>
      <c r="N210" s="1"/>
      <c r="O210" s="1"/>
      <c r="P210" s="1"/>
      <c r="Q210" s="1"/>
    </row>
    <row r="211" ht="15.75" customHeight="1">
      <c r="A211" s="1"/>
      <c r="B211" s="1"/>
      <c r="C211" s="1"/>
      <c r="D211" s="1"/>
      <c r="E211" s="1"/>
      <c r="F211" s="1"/>
      <c r="G211" s="1"/>
      <c r="H211" s="1"/>
      <c r="I211" s="1"/>
      <c r="J211" s="1"/>
      <c r="K211" s="1"/>
      <c r="L211" s="1"/>
      <c r="M211" s="1"/>
      <c r="N211" s="1"/>
      <c r="O211" s="1"/>
      <c r="P211" s="1"/>
      <c r="Q211" s="1"/>
    </row>
    <row r="212" ht="15.75" customHeight="1">
      <c r="A212" s="1"/>
      <c r="B212" s="1"/>
      <c r="C212" s="1"/>
      <c r="D212" s="1"/>
      <c r="E212" s="1"/>
      <c r="F212" s="1"/>
      <c r="G212" s="1"/>
      <c r="H212" s="1"/>
      <c r="I212" s="1"/>
      <c r="J212" s="1"/>
      <c r="K212" s="1"/>
      <c r="L212" s="1"/>
      <c r="M212" s="1"/>
      <c r="N212" s="1"/>
      <c r="O212" s="1"/>
      <c r="P212" s="1"/>
      <c r="Q212" s="1"/>
    </row>
    <row r="213" ht="15.75" customHeight="1">
      <c r="A213" s="1"/>
      <c r="B213" s="1"/>
      <c r="C213" s="1"/>
      <c r="D213" s="1"/>
      <c r="E213" s="1"/>
      <c r="F213" s="1"/>
      <c r="G213" s="1"/>
      <c r="H213" s="1"/>
      <c r="I213" s="1"/>
      <c r="J213" s="1"/>
      <c r="K213" s="1"/>
      <c r="L213" s="1"/>
      <c r="M213" s="1"/>
      <c r="N213" s="1"/>
      <c r="O213" s="1"/>
      <c r="P213" s="1"/>
      <c r="Q213" s="1"/>
    </row>
    <row r="214" ht="15.75" customHeight="1">
      <c r="A214" s="1"/>
      <c r="B214" s="1"/>
      <c r="C214" s="1"/>
      <c r="D214" s="1"/>
      <c r="E214" s="1"/>
      <c r="F214" s="1"/>
      <c r="G214" s="1"/>
      <c r="H214" s="1"/>
      <c r="I214" s="1"/>
      <c r="J214" s="1"/>
      <c r="K214" s="1"/>
      <c r="L214" s="1"/>
      <c r="M214" s="1"/>
      <c r="N214" s="1"/>
      <c r="O214" s="1"/>
      <c r="P214" s="1"/>
      <c r="Q214" s="1"/>
    </row>
    <row r="215" ht="15.75" customHeight="1">
      <c r="A215" s="1"/>
      <c r="B215" s="1"/>
      <c r="C215" s="1"/>
      <c r="D215" s="1"/>
      <c r="E215" s="1"/>
      <c r="F215" s="1"/>
      <c r="G215" s="1"/>
      <c r="H215" s="1"/>
      <c r="I215" s="1"/>
      <c r="J215" s="1"/>
      <c r="K215" s="1"/>
      <c r="L215" s="1"/>
      <c r="M215" s="1"/>
      <c r="N215" s="1"/>
      <c r="O215" s="1"/>
      <c r="P215" s="1"/>
      <c r="Q215" s="1"/>
    </row>
    <row r="216" ht="15.75" customHeight="1">
      <c r="A216" s="1"/>
      <c r="B216" s="1"/>
      <c r="C216" s="1"/>
      <c r="D216" s="1"/>
      <c r="E216" s="1"/>
      <c r="F216" s="1"/>
      <c r="G216" s="1"/>
      <c r="H216" s="1"/>
      <c r="I216" s="1"/>
      <c r="J216" s="1"/>
      <c r="K216" s="1"/>
      <c r="L216" s="1"/>
      <c r="M216" s="1"/>
      <c r="N216" s="1"/>
      <c r="O216" s="1"/>
      <c r="P216" s="1"/>
      <c r="Q216" s="1"/>
    </row>
    <row r="217" ht="15.75" customHeight="1">
      <c r="A217" s="1"/>
      <c r="B217" s="1"/>
      <c r="C217" s="1"/>
      <c r="D217" s="1"/>
      <c r="E217" s="1"/>
      <c r="F217" s="1"/>
      <c r="G217" s="1"/>
      <c r="H217" s="1"/>
      <c r="I217" s="1"/>
      <c r="J217" s="1"/>
      <c r="K217" s="1"/>
      <c r="L217" s="1"/>
      <c r="M217" s="1"/>
      <c r="N217" s="1"/>
      <c r="O217" s="1"/>
      <c r="P217" s="1"/>
      <c r="Q217" s="1"/>
    </row>
    <row r="218" ht="15.75" customHeight="1">
      <c r="A218" s="1"/>
      <c r="B218" s="1"/>
      <c r="C218" s="1"/>
      <c r="D218" s="1"/>
      <c r="E218" s="1"/>
      <c r="F218" s="1"/>
      <c r="G218" s="1"/>
      <c r="H218" s="1"/>
      <c r="I218" s="1"/>
      <c r="J218" s="1"/>
      <c r="K218" s="1"/>
      <c r="L218" s="1"/>
      <c r="M218" s="1"/>
      <c r="N218" s="1"/>
      <c r="O218" s="1"/>
      <c r="P218" s="1"/>
      <c r="Q218" s="1"/>
    </row>
    <row r="219" ht="15.75" customHeight="1">
      <c r="A219" s="1"/>
      <c r="B219" s="1"/>
      <c r="C219" s="1"/>
      <c r="D219" s="1"/>
      <c r="E219" s="1"/>
      <c r="F219" s="1"/>
      <c r="G219" s="1"/>
      <c r="H219" s="1"/>
      <c r="I219" s="1"/>
      <c r="J219" s="1"/>
      <c r="K219" s="1"/>
      <c r="L219" s="1"/>
      <c r="M219" s="1"/>
      <c r="N219" s="1"/>
      <c r="O219" s="1"/>
      <c r="P219" s="1"/>
      <c r="Q219" s="1"/>
    </row>
    <row r="220" ht="15.75" customHeight="1">
      <c r="A220" s="1"/>
      <c r="B220" s="1"/>
      <c r="C220" s="1"/>
      <c r="D220" s="1"/>
      <c r="E220" s="1"/>
      <c r="F220" s="1"/>
      <c r="G220" s="1"/>
      <c r="H220" s="1"/>
      <c r="I220" s="1"/>
      <c r="J220" s="1"/>
      <c r="K220" s="1"/>
      <c r="L220" s="1"/>
      <c r="M220" s="1"/>
      <c r="N220" s="1"/>
      <c r="O220" s="1"/>
      <c r="P220" s="1"/>
      <c r="Q220" s="1"/>
    </row>
    <row r="221" ht="15.75" customHeight="1">
      <c r="A221" s="1"/>
      <c r="B221" s="1"/>
      <c r="C221" s="1"/>
      <c r="D221" s="1"/>
      <c r="E221" s="1"/>
      <c r="F221" s="1"/>
      <c r="G221" s="1"/>
      <c r="H221" s="1"/>
      <c r="I221" s="1"/>
      <c r="J221" s="1"/>
      <c r="K221" s="1"/>
      <c r="L221" s="1"/>
      <c r="M221" s="1"/>
      <c r="N221" s="1"/>
      <c r="O221" s="1"/>
      <c r="P221" s="1"/>
      <c r="Q221" s="1"/>
    </row>
    <row r="222" ht="15.75" customHeight="1">
      <c r="A222" s="1"/>
      <c r="B222" s="1"/>
      <c r="C222" s="1"/>
      <c r="D222" s="1"/>
      <c r="E222" s="1"/>
      <c r="F222" s="1"/>
      <c r="G222" s="1"/>
      <c r="H222" s="1"/>
      <c r="I222" s="1"/>
      <c r="J222" s="1"/>
      <c r="K222" s="1"/>
      <c r="L222" s="1"/>
      <c r="M222" s="1"/>
      <c r="N222" s="1"/>
      <c r="O222" s="1"/>
      <c r="P222" s="1"/>
      <c r="Q222" s="1"/>
    </row>
    <row r="223" ht="15.75" customHeight="1">
      <c r="A223" s="1"/>
      <c r="B223" s="1"/>
      <c r="C223" s="1"/>
      <c r="D223" s="1"/>
      <c r="E223" s="1"/>
      <c r="F223" s="1"/>
      <c r="G223" s="1"/>
      <c r="H223" s="1"/>
      <c r="I223" s="1"/>
      <c r="J223" s="1"/>
      <c r="K223" s="1"/>
      <c r="L223" s="1"/>
      <c r="M223" s="1"/>
      <c r="N223" s="1"/>
      <c r="O223" s="1"/>
      <c r="P223" s="1"/>
      <c r="Q223" s="1"/>
    </row>
    <row r="224" ht="15.75" customHeight="1">
      <c r="A224" s="1"/>
      <c r="B224" s="1"/>
      <c r="C224" s="1"/>
      <c r="D224" s="1"/>
      <c r="E224" s="1"/>
      <c r="F224" s="1"/>
      <c r="G224" s="1"/>
      <c r="H224" s="1"/>
      <c r="I224" s="1"/>
      <c r="J224" s="1"/>
      <c r="K224" s="1"/>
      <c r="L224" s="1"/>
      <c r="M224" s="1"/>
      <c r="N224" s="1"/>
      <c r="O224" s="1"/>
      <c r="P224" s="1"/>
      <c r="Q224" s="1"/>
    </row>
    <row r="225" ht="15.75" customHeight="1">
      <c r="A225" s="1"/>
      <c r="B225" s="1"/>
      <c r="C225" s="1"/>
      <c r="D225" s="1"/>
      <c r="E225" s="1"/>
      <c r="F225" s="1"/>
      <c r="G225" s="1"/>
      <c r="H225" s="1"/>
      <c r="I225" s="1"/>
      <c r="J225" s="1"/>
      <c r="K225" s="1"/>
      <c r="L225" s="1"/>
      <c r="M225" s="1"/>
      <c r="N225" s="1"/>
      <c r="O225" s="1"/>
      <c r="P225" s="1"/>
      <c r="Q225" s="1"/>
    </row>
    <row r="226" ht="15.75" customHeight="1">
      <c r="A226" s="1"/>
      <c r="B226" s="1"/>
      <c r="C226" s="1"/>
      <c r="D226" s="1"/>
      <c r="E226" s="1"/>
      <c r="F226" s="1"/>
      <c r="G226" s="1"/>
      <c r="H226" s="1"/>
      <c r="I226" s="1"/>
      <c r="J226" s="1"/>
      <c r="K226" s="1"/>
      <c r="L226" s="1"/>
      <c r="M226" s="1"/>
      <c r="N226" s="1"/>
      <c r="O226" s="1"/>
      <c r="P226" s="1"/>
      <c r="Q226" s="1"/>
    </row>
    <row r="227" ht="15.75" customHeight="1">
      <c r="A227" s="1"/>
      <c r="B227" s="1"/>
      <c r="C227" s="1"/>
      <c r="D227" s="1"/>
      <c r="E227" s="1"/>
      <c r="F227" s="1"/>
      <c r="G227" s="1"/>
      <c r="H227" s="1"/>
      <c r="I227" s="1"/>
      <c r="J227" s="1"/>
      <c r="K227" s="1"/>
      <c r="L227" s="1"/>
      <c r="M227" s="1"/>
      <c r="N227" s="1"/>
      <c r="O227" s="1"/>
      <c r="P227" s="1"/>
      <c r="Q227" s="1"/>
    </row>
    <row r="228" ht="15.75" customHeight="1">
      <c r="A228" s="1"/>
      <c r="B228" s="1"/>
      <c r="C228" s="1"/>
      <c r="D228" s="1"/>
      <c r="E228" s="1"/>
      <c r="F228" s="1"/>
      <c r="G228" s="1"/>
      <c r="H228" s="1"/>
      <c r="I228" s="1"/>
      <c r="J228" s="1"/>
      <c r="K228" s="1"/>
      <c r="L228" s="1"/>
      <c r="M228" s="1"/>
      <c r="N228" s="1"/>
      <c r="O228" s="1"/>
      <c r="P228" s="1"/>
      <c r="Q228" s="1"/>
    </row>
    <row r="229" ht="15.75" customHeight="1">
      <c r="A229" s="1"/>
      <c r="B229" s="1"/>
      <c r="C229" s="1"/>
      <c r="D229" s="1"/>
      <c r="E229" s="1"/>
      <c r="F229" s="1"/>
      <c r="G229" s="1"/>
      <c r="H229" s="1"/>
      <c r="I229" s="1"/>
      <c r="J229" s="1"/>
      <c r="K229" s="1"/>
      <c r="L229" s="1"/>
      <c r="M229" s="1"/>
      <c r="N229" s="1"/>
      <c r="O229" s="1"/>
      <c r="P229" s="1"/>
      <c r="Q229" s="1"/>
    </row>
    <row r="230" ht="15.75" customHeight="1">
      <c r="A230" s="1"/>
      <c r="B230" s="1"/>
      <c r="C230" s="1"/>
      <c r="D230" s="1"/>
      <c r="E230" s="1"/>
      <c r="F230" s="1"/>
      <c r="G230" s="1"/>
      <c r="H230" s="1"/>
      <c r="I230" s="1"/>
      <c r="J230" s="1"/>
      <c r="K230" s="1"/>
      <c r="L230" s="1"/>
      <c r="M230" s="1"/>
      <c r="N230" s="1"/>
      <c r="O230" s="1"/>
      <c r="P230" s="1"/>
      <c r="Q230" s="1"/>
    </row>
    <row r="231" ht="15.75" customHeight="1">
      <c r="A231" s="1"/>
      <c r="B231" s="1"/>
      <c r="C231" s="1"/>
      <c r="D231" s="1"/>
      <c r="E231" s="1"/>
      <c r="F231" s="1"/>
      <c r="G231" s="1"/>
      <c r="H231" s="1"/>
      <c r="I231" s="1"/>
      <c r="J231" s="1"/>
      <c r="K231" s="1"/>
      <c r="L231" s="1"/>
      <c r="M231" s="1"/>
      <c r="N231" s="1"/>
      <c r="O231" s="1"/>
      <c r="P231" s="1"/>
      <c r="Q231" s="1"/>
    </row>
    <row r="232" ht="15.75" customHeight="1">
      <c r="A232" s="1"/>
      <c r="B232" s="1"/>
      <c r="C232" s="1"/>
      <c r="D232" s="1"/>
      <c r="E232" s="1"/>
      <c r="F232" s="1"/>
      <c r="G232" s="1"/>
      <c r="H232" s="1"/>
      <c r="I232" s="1"/>
      <c r="J232" s="1"/>
      <c r="K232" s="1"/>
      <c r="L232" s="1"/>
      <c r="M232" s="1"/>
      <c r="N232" s="1"/>
      <c r="O232" s="1"/>
      <c r="P232" s="1"/>
      <c r="Q232" s="1"/>
    </row>
    <row r="233" ht="15.75" customHeight="1">
      <c r="A233" s="1"/>
      <c r="B233" s="1"/>
      <c r="C233" s="1"/>
      <c r="D233" s="1"/>
      <c r="E233" s="1"/>
      <c r="F233" s="1"/>
      <c r="G233" s="1"/>
      <c r="H233" s="1"/>
      <c r="I233" s="1"/>
      <c r="J233" s="1"/>
      <c r="K233" s="1"/>
      <c r="L233" s="1"/>
      <c r="M233" s="1"/>
      <c r="N233" s="1"/>
      <c r="O233" s="1"/>
      <c r="P233" s="1"/>
      <c r="Q233" s="1"/>
    </row>
    <row r="234" ht="15.75" customHeight="1">
      <c r="A234" s="1"/>
      <c r="B234" s="1"/>
      <c r="C234" s="1"/>
      <c r="D234" s="1"/>
      <c r="E234" s="1"/>
      <c r="F234" s="1"/>
      <c r="G234" s="1"/>
      <c r="H234" s="1"/>
      <c r="I234" s="1"/>
      <c r="J234" s="1"/>
      <c r="K234" s="1"/>
      <c r="L234" s="1"/>
      <c r="M234" s="1"/>
      <c r="N234" s="1"/>
      <c r="O234" s="1"/>
      <c r="P234" s="1"/>
      <c r="Q234" s="1"/>
    </row>
    <row r="235" ht="15.75" customHeight="1">
      <c r="A235" s="1"/>
      <c r="B235" s="1"/>
      <c r="C235" s="1"/>
      <c r="D235" s="1"/>
      <c r="E235" s="1"/>
      <c r="F235" s="1"/>
      <c r="G235" s="1"/>
      <c r="H235" s="1"/>
      <c r="I235" s="1"/>
      <c r="J235" s="1"/>
      <c r="K235" s="1"/>
      <c r="L235" s="1"/>
      <c r="M235" s="1"/>
      <c r="N235" s="1"/>
      <c r="O235" s="1"/>
      <c r="P235" s="1"/>
      <c r="Q235" s="1"/>
    </row>
    <row r="236" ht="15.75" customHeight="1">
      <c r="A236" s="1"/>
      <c r="B236" s="1"/>
      <c r="C236" s="1"/>
      <c r="D236" s="1"/>
      <c r="E236" s="1"/>
      <c r="F236" s="1"/>
      <c r="G236" s="1"/>
      <c r="H236" s="1"/>
      <c r="I236" s="1"/>
      <c r="J236" s="1"/>
      <c r="K236" s="1"/>
      <c r="L236" s="1"/>
      <c r="M236" s="1"/>
      <c r="N236" s="1"/>
      <c r="O236" s="1"/>
      <c r="P236" s="1"/>
      <c r="Q236" s="1"/>
    </row>
    <row r="237" ht="15.75" customHeight="1">
      <c r="A237" s="1"/>
      <c r="B237" s="1"/>
      <c r="C237" s="1"/>
      <c r="D237" s="1"/>
      <c r="E237" s="1"/>
      <c r="F237" s="1"/>
      <c r="G237" s="1"/>
      <c r="H237" s="1"/>
      <c r="I237" s="1"/>
      <c r="J237" s="1"/>
      <c r="K237" s="1"/>
      <c r="L237" s="1"/>
      <c r="M237" s="1"/>
      <c r="N237" s="1"/>
      <c r="O237" s="1"/>
      <c r="P237" s="1"/>
      <c r="Q237" s="1"/>
    </row>
    <row r="238" ht="15.75" customHeight="1">
      <c r="A238" s="1"/>
      <c r="B238" s="1"/>
      <c r="C238" s="1"/>
      <c r="D238" s="1"/>
      <c r="E238" s="1"/>
      <c r="F238" s="1"/>
      <c r="G238" s="1"/>
      <c r="H238" s="1"/>
      <c r="I238" s="1"/>
      <c r="J238" s="1"/>
      <c r="K238" s="1"/>
      <c r="L238" s="1"/>
      <c r="M238" s="1"/>
      <c r="N238" s="1"/>
      <c r="O238" s="1"/>
      <c r="P238" s="1"/>
      <c r="Q238" s="1"/>
    </row>
    <row r="239" ht="15.75" customHeight="1">
      <c r="A239" s="1"/>
      <c r="B239" s="1"/>
      <c r="C239" s="1"/>
      <c r="D239" s="1"/>
      <c r="E239" s="1"/>
      <c r="F239" s="1"/>
      <c r="G239" s="1"/>
      <c r="H239" s="1"/>
      <c r="I239" s="1"/>
      <c r="J239" s="1"/>
      <c r="K239" s="1"/>
      <c r="L239" s="1"/>
      <c r="M239" s="1"/>
      <c r="N239" s="1"/>
      <c r="O239" s="1"/>
      <c r="P239" s="1"/>
      <c r="Q239" s="1"/>
    </row>
    <row r="240" ht="15.75" customHeight="1">
      <c r="A240" s="1"/>
      <c r="B240" s="1"/>
      <c r="C240" s="1"/>
      <c r="D240" s="1"/>
      <c r="E240" s="1"/>
      <c r="F240" s="1"/>
      <c r="G240" s="1"/>
      <c r="H240" s="1"/>
      <c r="I240" s="1"/>
      <c r="J240" s="1"/>
      <c r="K240" s="1"/>
      <c r="L240" s="1"/>
      <c r="M240" s="1"/>
      <c r="N240" s="1"/>
      <c r="O240" s="1"/>
      <c r="P240" s="1"/>
      <c r="Q240" s="1"/>
    </row>
    <row r="241" ht="15.75" customHeight="1">
      <c r="A241" s="1"/>
      <c r="B241" s="1"/>
      <c r="C241" s="1"/>
      <c r="D241" s="1"/>
      <c r="E241" s="1"/>
      <c r="F241" s="1"/>
      <c r="G241" s="1"/>
      <c r="H241" s="1"/>
      <c r="I241" s="1"/>
      <c r="J241" s="1"/>
      <c r="K241" s="1"/>
      <c r="L241" s="1"/>
      <c r="M241" s="1"/>
      <c r="N241" s="1"/>
      <c r="O241" s="1"/>
      <c r="P241" s="1"/>
      <c r="Q241" s="1"/>
    </row>
    <row r="242" ht="15.75" customHeight="1">
      <c r="A242" s="1"/>
      <c r="B242" s="1"/>
      <c r="C242" s="1"/>
      <c r="D242" s="1"/>
      <c r="E242" s="1"/>
      <c r="F242" s="1"/>
      <c r="G242" s="1"/>
      <c r="H242" s="1"/>
      <c r="I242" s="1"/>
      <c r="J242" s="1"/>
      <c r="K242" s="1"/>
      <c r="L242" s="1"/>
      <c r="M242" s="1"/>
      <c r="N242" s="1"/>
      <c r="O242" s="1"/>
      <c r="P242" s="1"/>
      <c r="Q242" s="1"/>
    </row>
    <row r="243" ht="15.75" customHeight="1">
      <c r="A243" s="1"/>
      <c r="B243" s="1"/>
      <c r="C243" s="1"/>
      <c r="D243" s="1"/>
      <c r="E243" s="1"/>
      <c r="F243" s="1"/>
      <c r="G243" s="1"/>
      <c r="H243" s="1"/>
      <c r="I243" s="1"/>
      <c r="J243" s="1"/>
      <c r="K243" s="1"/>
      <c r="L243" s="1"/>
      <c r="M243" s="1"/>
      <c r="N243" s="1"/>
      <c r="O243" s="1"/>
      <c r="P243" s="1"/>
      <c r="Q243" s="1"/>
    </row>
    <row r="244" ht="15.75" customHeight="1">
      <c r="A244" s="1"/>
      <c r="B244" s="1"/>
      <c r="C244" s="1"/>
      <c r="D244" s="1"/>
      <c r="E244" s="1"/>
      <c r="F244" s="1"/>
      <c r="G244" s="1"/>
      <c r="H244" s="1"/>
      <c r="I244" s="1"/>
      <c r="J244" s="1"/>
      <c r="K244" s="1"/>
      <c r="L244" s="1"/>
      <c r="M244" s="1"/>
      <c r="N244" s="1"/>
      <c r="O244" s="1"/>
      <c r="P244" s="1"/>
      <c r="Q244" s="1"/>
    </row>
    <row r="245" ht="15.75" customHeight="1">
      <c r="A245" s="1"/>
      <c r="B245" s="1"/>
      <c r="C245" s="1"/>
      <c r="D245" s="1"/>
      <c r="E245" s="1"/>
      <c r="F245" s="1"/>
      <c r="G245" s="1"/>
      <c r="H245" s="1"/>
      <c r="I245" s="1"/>
      <c r="J245" s="1"/>
      <c r="K245" s="1"/>
      <c r="L245" s="1"/>
      <c r="M245" s="1"/>
      <c r="N245" s="1"/>
      <c r="O245" s="1"/>
      <c r="P245" s="1"/>
      <c r="Q245" s="1"/>
    </row>
    <row r="246" ht="15.75" customHeight="1">
      <c r="A246" s="1"/>
      <c r="B246" s="1"/>
      <c r="C246" s="1"/>
      <c r="D246" s="1"/>
      <c r="E246" s="1"/>
      <c r="F246" s="1"/>
      <c r="G246" s="1"/>
      <c r="H246" s="1"/>
      <c r="I246" s="1"/>
      <c r="J246" s="1"/>
      <c r="K246" s="1"/>
      <c r="L246" s="1"/>
      <c r="M246" s="1"/>
      <c r="N246" s="1"/>
      <c r="O246" s="1"/>
      <c r="P246" s="1"/>
      <c r="Q246" s="1"/>
    </row>
    <row r="247" ht="15.75" customHeight="1">
      <c r="A247" s="1"/>
      <c r="B247" s="1"/>
      <c r="C247" s="1"/>
      <c r="D247" s="1"/>
      <c r="E247" s="1"/>
      <c r="F247" s="1"/>
      <c r="G247" s="1"/>
      <c r="H247" s="1"/>
      <c r="I247" s="1"/>
      <c r="J247" s="1"/>
      <c r="K247" s="1"/>
      <c r="L247" s="1"/>
      <c r="M247" s="1"/>
      <c r="N247" s="1"/>
      <c r="O247" s="1"/>
      <c r="P247" s="1"/>
      <c r="Q247" s="1"/>
    </row>
    <row r="248" ht="15.75" customHeight="1">
      <c r="A248" s="1"/>
      <c r="B248" s="1"/>
      <c r="C248" s="1"/>
      <c r="D248" s="1"/>
      <c r="E248" s="1"/>
      <c r="F248" s="1"/>
      <c r="G248" s="1"/>
      <c r="H248" s="1"/>
      <c r="I248" s="1"/>
      <c r="J248" s="1"/>
      <c r="K248" s="1"/>
      <c r="L248" s="1"/>
      <c r="M248" s="1"/>
      <c r="N248" s="1"/>
      <c r="O248" s="1"/>
      <c r="P248" s="1"/>
      <c r="Q248" s="1"/>
    </row>
    <row r="249" ht="15.75" customHeight="1">
      <c r="A249" s="1"/>
      <c r="B249" s="1"/>
      <c r="C249" s="1"/>
      <c r="D249" s="1"/>
      <c r="E249" s="1"/>
      <c r="F249" s="1"/>
      <c r="G249" s="1"/>
      <c r="H249" s="1"/>
      <c r="I249" s="1"/>
      <c r="J249" s="1"/>
      <c r="K249" s="1"/>
      <c r="L249" s="1"/>
      <c r="M249" s="1"/>
      <c r="N249" s="1"/>
      <c r="O249" s="1"/>
      <c r="P249" s="1"/>
      <c r="Q249" s="1"/>
    </row>
    <row r="250" ht="15.75" customHeight="1">
      <c r="A250" s="1"/>
      <c r="B250" s="1"/>
      <c r="C250" s="1"/>
      <c r="D250" s="1"/>
      <c r="E250" s="1"/>
      <c r="F250" s="1"/>
      <c r="G250" s="1"/>
      <c r="H250" s="1"/>
      <c r="I250" s="1"/>
      <c r="J250" s="1"/>
      <c r="K250" s="1"/>
      <c r="L250" s="1"/>
      <c r="M250" s="1"/>
      <c r="N250" s="1"/>
      <c r="O250" s="1"/>
      <c r="P250" s="1"/>
      <c r="Q250" s="1"/>
    </row>
    <row r="251" ht="15.75" customHeight="1">
      <c r="A251" s="1"/>
      <c r="B251" s="1"/>
      <c r="C251" s="1"/>
      <c r="D251" s="1"/>
      <c r="E251" s="1"/>
      <c r="F251" s="1"/>
      <c r="G251" s="1"/>
      <c r="H251" s="1"/>
      <c r="I251" s="1"/>
      <c r="J251" s="1"/>
      <c r="K251" s="1"/>
      <c r="L251" s="1"/>
      <c r="M251" s="1"/>
      <c r="N251" s="1"/>
      <c r="O251" s="1"/>
      <c r="P251" s="1"/>
      <c r="Q251" s="1"/>
    </row>
    <row r="252" ht="15.75" customHeight="1">
      <c r="A252" s="1"/>
      <c r="B252" s="1"/>
      <c r="C252" s="1"/>
      <c r="D252" s="1"/>
      <c r="E252" s="1"/>
      <c r="F252" s="1"/>
      <c r="G252" s="1"/>
      <c r="H252" s="1"/>
      <c r="I252" s="1"/>
      <c r="J252" s="1"/>
      <c r="K252" s="1"/>
      <c r="L252" s="1"/>
      <c r="M252" s="1"/>
      <c r="N252" s="1"/>
      <c r="O252" s="1"/>
      <c r="P252" s="1"/>
      <c r="Q252" s="1"/>
    </row>
    <row r="253" ht="15.75" customHeight="1">
      <c r="A253" s="1"/>
      <c r="B253" s="1"/>
      <c r="C253" s="1"/>
      <c r="D253" s="1"/>
      <c r="E253" s="1"/>
      <c r="F253" s="1"/>
      <c r="G253" s="1"/>
      <c r="H253" s="1"/>
      <c r="I253" s="1"/>
      <c r="J253" s="1"/>
      <c r="K253" s="1"/>
      <c r="L253" s="1"/>
      <c r="M253" s="1"/>
      <c r="N253" s="1"/>
      <c r="O253" s="1"/>
      <c r="P253" s="1"/>
      <c r="Q253" s="1"/>
    </row>
    <row r="254" ht="15.75" customHeight="1">
      <c r="A254" s="1"/>
      <c r="B254" s="1"/>
      <c r="C254" s="1"/>
      <c r="D254" s="1"/>
      <c r="E254" s="1"/>
      <c r="F254" s="1"/>
      <c r="G254" s="1"/>
      <c r="H254" s="1"/>
      <c r="I254" s="1"/>
      <c r="J254" s="1"/>
      <c r="K254" s="1"/>
      <c r="L254" s="1"/>
      <c r="M254" s="1"/>
      <c r="N254" s="1"/>
      <c r="O254" s="1"/>
      <c r="P254" s="1"/>
      <c r="Q254" s="1"/>
    </row>
    <row r="255" ht="15.75" customHeight="1">
      <c r="A255" s="1"/>
      <c r="B255" s="1"/>
      <c r="C255" s="1"/>
      <c r="D255" s="1"/>
      <c r="E255" s="1"/>
      <c r="F255" s="1"/>
      <c r="G255" s="1"/>
      <c r="H255" s="1"/>
      <c r="I255" s="1"/>
      <c r="J255" s="1"/>
      <c r="K255" s="1"/>
      <c r="L255" s="1"/>
      <c r="M255" s="1"/>
      <c r="N255" s="1"/>
      <c r="O255" s="1"/>
      <c r="P255" s="1"/>
      <c r="Q255" s="1"/>
    </row>
    <row r="256" ht="15.75" customHeight="1">
      <c r="A256" s="1"/>
      <c r="B256" s="1"/>
      <c r="C256" s="1"/>
      <c r="D256" s="1"/>
      <c r="E256" s="1"/>
      <c r="F256" s="1"/>
      <c r="G256" s="1"/>
      <c r="H256" s="1"/>
      <c r="I256" s="1"/>
      <c r="J256" s="1"/>
      <c r="K256" s="1"/>
      <c r="L256" s="1"/>
      <c r="M256" s="1"/>
      <c r="N256" s="1"/>
      <c r="O256" s="1"/>
      <c r="P256" s="1"/>
      <c r="Q256" s="1"/>
    </row>
    <row r="257" ht="15.75" customHeight="1">
      <c r="A257" s="1"/>
      <c r="B257" s="1"/>
      <c r="C257" s="1"/>
      <c r="D257" s="1"/>
      <c r="E257" s="1"/>
      <c r="F257" s="1"/>
      <c r="G257" s="1"/>
      <c r="H257" s="1"/>
      <c r="I257" s="1"/>
      <c r="J257" s="1"/>
      <c r="K257" s="1"/>
      <c r="L257" s="1"/>
      <c r="M257" s="1"/>
      <c r="N257" s="1"/>
      <c r="O257" s="1"/>
      <c r="P257" s="1"/>
      <c r="Q257" s="1"/>
    </row>
    <row r="258" ht="15.75" customHeight="1">
      <c r="A258" s="1"/>
      <c r="B258" s="1"/>
      <c r="C258" s="1"/>
      <c r="D258" s="1"/>
      <c r="E258" s="1"/>
      <c r="F258" s="1"/>
      <c r="G258" s="1"/>
      <c r="H258" s="1"/>
      <c r="I258" s="1"/>
      <c r="J258" s="1"/>
      <c r="K258" s="1"/>
      <c r="L258" s="1"/>
      <c r="M258" s="1"/>
      <c r="N258" s="1"/>
      <c r="O258" s="1"/>
      <c r="P258" s="1"/>
      <c r="Q258" s="1"/>
    </row>
    <row r="259" ht="15.75" customHeight="1">
      <c r="A259" s="1"/>
      <c r="B259" s="1"/>
      <c r="C259" s="1"/>
      <c r="D259" s="1"/>
      <c r="E259" s="1"/>
      <c r="F259" s="1"/>
      <c r="G259" s="1"/>
      <c r="H259" s="1"/>
      <c r="I259" s="1"/>
      <c r="J259" s="1"/>
      <c r="K259" s="1"/>
      <c r="L259" s="1"/>
      <c r="M259" s="1"/>
      <c r="N259" s="1"/>
      <c r="O259" s="1"/>
      <c r="P259" s="1"/>
      <c r="Q259" s="1"/>
    </row>
    <row r="260" ht="15.75" customHeight="1">
      <c r="A260" s="1"/>
      <c r="B260" s="1"/>
      <c r="C260" s="1"/>
      <c r="D260" s="1"/>
      <c r="E260" s="1"/>
      <c r="F260" s="1"/>
      <c r="G260" s="1"/>
      <c r="H260" s="1"/>
      <c r="I260" s="1"/>
      <c r="J260" s="1"/>
      <c r="K260" s="1"/>
      <c r="L260" s="1"/>
      <c r="M260" s="1"/>
      <c r="N260" s="1"/>
      <c r="O260" s="1"/>
      <c r="P260" s="1"/>
      <c r="Q260" s="1"/>
    </row>
    <row r="261" ht="15.75" customHeight="1">
      <c r="A261" s="1"/>
      <c r="B261" s="1"/>
      <c r="C261" s="1"/>
      <c r="D261" s="1"/>
      <c r="E261" s="1"/>
      <c r="F261" s="1"/>
      <c r="G261" s="1"/>
      <c r="H261" s="1"/>
      <c r="I261" s="1"/>
      <c r="J261" s="1"/>
      <c r="K261" s="1"/>
      <c r="L261" s="1"/>
      <c r="M261" s="1"/>
      <c r="N261" s="1"/>
      <c r="O261" s="1"/>
      <c r="P261" s="1"/>
      <c r="Q261" s="1"/>
    </row>
    <row r="262" ht="15.75" customHeight="1">
      <c r="A262" s="1"/>
      <c r="B262" s="1"/>
      <c r="C262" s="1"/>
      <c r="D262" s="1"/>
      <c r="E262" s="1"/>
      <c r="F262" s="1"/>
      <c r="G262" s="1"/>
      <c r="H262" s="1"/>
      <c r="I262" s="1"/>
      <c r="J262" s="1"/>
      <c r="K262" s="1"/>
      <c r="L262" s="1"/>
      <c r="M262" s="1"/>
      <c r="N262" s="1"/>
      <c r="O262" s="1"/>
      <c r="P262" s="1"/>
      <c r="Q262" s="1"/>
    </row>
    <row r="263" ht="15.75" customHeight="1">
      <c r="A263" s="1"/>
      <c r="B263" s="1"/>
      <c r="C263" s="1"/>
      <c r="D263" s="1"/>
      <c r="E263" s="1"/>
      <c r="F263" s="1"/>
      <c r="G263" s="1"/>
      <c r="H263" s="1"/>
      <c r="I263" s="1"/>
      <c r="J263" s="1"/>
      <c r="K263" s="1"/>
      <c r="L263" s="1"/>
      <c r="M263" s="1"/>
      <c r="N263" s="1"/>
      <c r="O263" s="1"/>
      <c r="P263" s="1"/>
      <c r="Q263" s="1"/>
    </row>
    <row r="264" ht="15.75" customHeight="1">
      <c r="A264" s="1"/>
      <c r="B264" s="1"/>
      <c r="C264" s="1"/>
      <c r="D264" s="1"/>
      <c r="E264" s="1"/>
      <c r="F264" s="1"/>
      <c r="G264" s="1"/>
      <c r="H264" s="1"/>
      <c r="I264" s="1"/>
      <c r="J264" s="1"/>
      <c r="K264" s="1"/>
      <c r="L264" s="1"/>
      <c r="M264" s="1"/>
      <c r="N264" s="1"/>
      <c r="O264" s="1"/>
      <c r="P264" s="1"/>
      <c r="Q264" s="1"/>
    </row>
    <row r="265" ht="15.75" customHeight="1">
      <c r="A265" s="1"/>
      <c r="B265" s="1"/>
      <c r="C265" s="1"/>
      <c r="D265" s="1"/>
      <c r="E265" s="1"/>
      <c r="F265" s="1"/>
      <c r="G265" s="1"/>
      <c r="H265" s="1"/>
      <c r="I265" s="1"/>
      <c r="J265" s="1"/>
      <c r="K265" s="1"/>
      <c r="L265" s="1"/>
      <c r="M265" s="1"/>
      <c r="N265" s="1"/>
      <c r="O265" s="1"/>
      <c r="P265" s="1"/>
      <c r="Q265" s="1"/>
    </row>
    <row r="266" ht="15.75" customHeight="1">
      <c r="A266" s="1"/>
      <c r="B266" s="1"/>
      <c r="C266" s="1"/>
      <c r="D266" s="1"/>
      <c r="E266" s="1"/>
      <c r="F266" s="1"/>
      <c r="G266" s="1"/>
      <c r="H266" s="1"/>
      <c r="I266" s="1"/>
      <c r="J266" s="1"/>
      <c r="K266" s="1"/>
      <c r="L266" s="1"/>
      <c r="M266" s="1"/>
      <c r="N266" s="1"/>
      <c r="O266" s="1"/>
      <c r="P266" s="1"/>
      <c r="Q266" s="1"/>
    </row>
    <row r="267" ht="15.75" customHeight="1">
      <c r="A267" s="1"/>
      <c r="B267" s="1"/>
      <c r="C267" s="1"/>
      <c r="D267" s="1"/>
      <c r="E267" s="1"/>
      <c r="F267" s="1"/>
      <c r="G267" s="1"/>
      <c r="H267" s="1"/>
      <c r="I267" s="1"/>
      <c r="J267" s="1"/>
      <c r="K267" s="1"/>
      <c r="L267" s="1"/>
      <c r="M267" s="1"/>
      <c r="N267" s="1"/>
      <c r="O267" s="1"/>
      <c r="P267" s="1"/>
      <c r="Q267" s="1"/>
    </row>
    <row r="268" ht="15.75" customHeight="1">
      <c r="A268" s="1"/>
      <c r="B268" s="1"/>
      <c r="C268" s="1"/>
      <c r="D268" s="1"/>
      <c r="E268" s="1"/>
      <c r="F268" s="1"/>
      <c r="G268" s="1"/>
      <c r="H268" s="1"/>
      <c r="I268" s="1"/>
      <c r="J268" s="1"/>
      <c r="K268" s="1"/>
      <c r="L268" s="1"/>
      <c r="M268" s="1"/>
      <c r="N268" s="1"/>
      <c r="O268" s="1"/>
      <c r="P268" s="1"/>
      <c r="Q268" s="1"/>
    </row>
    <row r="269" ht="15.75" customHeight="1">
      <c r="A269" s="1"/>
      <c r="B269" s="1"/>
      <c r="C269" s="1"/>
      <c r="D269" s="1"/>
      <c r="E269" s="1"/>
      <c r="F269" s="1"/>
      <c r="G269" s="1"/>
      <c r="H269" s="1"/>
      <c r="I269" s="1"/>
      <c r="J269" s="1"/>
      <c r="K269" s="1"/>
      <c r="L269" s="1"/>
      <c r="M269" s="1"/>
      <c r="N269" s="1"/>
      <c r="O269" s="1"/>
      <c r="P269" s="1"/>
      <c r="Q269" s="1"/>
    </row>
    <row r="270" ht="15.75" customHeight="1">
      <c r="A270" s="1"/>
      <c r="B270" s="1"/>
      <c r="C270" s="1"/>
      <c r="D270" s="1"/>
      <c r="E270" s="1"/>
      <c r="F270" s="1"/>
      <c r="G270" s="1"/>
      <c r="H270" s="1"/>
      <c r="I270" s="1"/>
      <c r="J270" s="1"/>
      <c r="K270" s="1"/>
      <c r="L270" s="1"/>
      <c r="M270" s="1"/>
      <c r="N270" s="1"/>
      <c r="O270" s="1"/>
      <c r="P270" s="1"/>
      <c r="Q270" s="1"/>
    </row>
    <row r="271" ht="15.75" customHeight="1">
      <c r="A271" s="1"/>
      <c r="B271" s="1"/>
      <c r="C271" s="1"/>
      <c r="D271" s="1"/>
      <c r="E271" s="1"/>
      <c r="F271" s="1"/>
      <c r="G271" s="1"/>
      <c r="H271" s="1"/>
      <c r="I271" s="1"/>
      <c r="J271" s="1"/>
      <c r="K271" s="1"/>
      <c r="L271" s="1"/>
      <c r="M271" s="1"/>
      <c r="N271" s="1"/>
      <c r="O271" s="1"/>
      <c r="P271" s="1"/>
      <c r="Q271" s="1"/>
    </row>
    <row r="272" ht="15.75" customHeight="1">
      <c r="A272" s="1"/>
      <c r="B272" s="1"/>
      <c r="C272" s="1"/>
      <c r="D272" s="1"/>
      <c r="E272" s="1"/>
      <c r="F272" s="1"/>
      <c r="G272" s="1"/>
      <c r="H272" s="1"/>
      <c r="I272" s="1"/>
      <c r="J272" s="1"/>
      <c r="K272" s="1"/>
      <c r="L272" s="1"/>
      <c r="M272" s="1"/>
      <c r="N272" s="1"/>
      <c r="O272" s="1"/>
      <c r="P272" s="1"/>
      <c r="Q272" s="1"/>
    </row>
    <row r="273" ht="15.75" customHeight="1">
      <c r="A273" s="1"/>
      <c r="B273" s="1"/>
      <c r="C273" s="1"/>
      <c r="D273" s="1"/>
      <c r="E273" s="1"/>
      <c r="F273" s="1"/>
      <c r="G273" s="1"/>
      <c r="H273" s="1"/>
      <c r="I273" s="1"/>
      <c r="J273" s="1"/>
      <c r="K273" s="1"/>
      <c r="L273" s="1"/>
      <c r="M273" s="1"/>
      <c r="N273" s="1"/>
      <c r="O273" s="1"/>
      <c r="P273" s="1"/>
      <c r="Q273" s="1"/>
    </row>
    <row r="274" ht="15.75" customHeight="1">
      <c r="A274" s="1"/>
      <c r="B274" s="1"/>
      <c r="C274" s="1"/>
      <c r="D274" s="1"/>
      <c r="E274" s="1"/>
      <c r="F274" s="1"/>
      <c r="G274" s="1"/>
      <c r="H274" s="1"/>
      <c r="I274" s="1"/>
      <c r="J274" s="1"/>
      <c r="K274" s="1"/>
      <c r="L274" s="1"/>
      <c r="M274" s="1"/>
      <c r="N274" s="1"/>
      <c r="O274" s="1"/>
      <c r="P274" s="1"/>
      <c r="Q274" s="1"/>
    </row>
    <row r="275" ht="15.75" customHeight="1">
      <c r="A275" s="1"/>
      <c r="B275" s="1"/>
      <c r="C275" s="1"/>
      <c r="D275" s="1"/>
      <c r="E275" s="1"/>
      <c r="F275" s="1"/>
      <c r="G275" s="1"/>
      <c r="H275" s="1"/>
      <c r="I275" s="1"/>
      <c r="J275" s="1"/>
      <c r="K275" s="1"/>
      <c r="L275" s="1"/>
      <c r="M275" s="1"/>
      <c r="N275" s="1"/>
      <c r="O275" s="1"/>
      <c r="P275" s="1"/>
      <c r="Q275" s="1"/>
    </row>
    <row r="276" ht="15.75" customHeight="1">
      <c r="A276" s="1"/>
      <c r="B276" s="1"/>
      <c r="C276" s="1"/>
      <c r="D276" s="1"/>
      <c r="E276" s="1"/>
      <c r="F276" s="1"/>
      <c r="G276" s="1"/>
      <c r="H276" s="1"/>
      <c r="I276" s="1"/>
      <c r="J276" s="1"/>
      <c r="K276" s="1"/>
      <c r="L276" s="1"/>
      <c r="M276" s="1"/>
      <c r="N276" s="1"/>
      <c r="O276" s="1"/>
      <c r="P276" s="1"/>
      <c r="Q276" s="1"/>
    </row>
    <row r="277" ht="15.75" customHeight="1">
      <c r="A277" s="1"/>
      <c r="B277" s="1"/>
      <c r="C277" s="1"/>
      <c r="D277" s="1"/>
      <c r="E277" s="1"/>
      <c r="F277" s="1"/>
      <c r="G277" s="1"/>
      <c r="H277" s="1"/>
      <c r="I277" s="1"/>
      <c r="J277" s="1"/>
      <c r="K277" s="1"/>
      <c r="L277" s="1"/>
      <c r="M277" s="1"/>
      <c r="N277" s="1"/>
      <c r="O277" s="1"/>
      <c r="P277" s="1"/>
      <c r="Q277" s="1"/>
    </row>
    <row r="278" ht="15.75" customHeight="1">
      <c r="A278" s="1"/>
      <c r="B278" s="1"/>
      <c r="C278" s="1"/>
      <c r="D278" s="1"/>
      <c r="E278" s="1"/>
      <c r="F278" s="1"/>
      <c r="G278" s="1"/>
      <c r="H278" s="1"/>
      <c r="I278" s="1"/>
      <c r="J278" s="1"/>
      <c r="K278" s="1"/>
      <c r="L278" s="1"/>
      <c r="M278" s="1"/>
      <c r="N278" s="1"/>
      <c r="O278" s="1"/>
      <c r="P278" s="1"/>
      <c r="Q278" s="1"/>
    </row>
    <row r="279" ht="15.75" customHeight="1">
      <c r="A279" s="1"/>
      <c r="B279" s="1"/>
      <c r="C279" s="1"/>
      <c r="D279" s="1"/>
      <c r="E279" s="1"/>
      <c r="F279" s="1"/>
      <c r="G279" s="1"/>
      <c r="H279" s="1"/>
      <c r="I279" s="1"/>
      <c r="J279" s="1"/>
      <c r="K279" s="1"/>
      <c r="L279" s="1"/>
      <c r="M279" s="1"/>
      <c r="N279" s="1"/>
      <c r="O279" s="1"/>
      <c r="P279" s="1"/>
      <c r="Q279" s="1"/>
    </row>
    <row r="280" ht="15.75" customHeight="1">
      <c r="A280" s="1"/>
      <c r="B280" s="1"/>
      <c r="C280" s="1"/>
      <c r="D280" s="1"/>
      <c r="E280" s="1"/>
      <c r="F280" s="1"/>
      <c r="G280" s="1"/>
      <c r="H280" s="1"/>
      <c r="I280" s="1"/>
      <c r="J280" s="1"/>
      <c r="K280" s="1"/>
      <c r="L280" s="1"/>
      <c r="M280" s="1"/>
      <c r="N280" s="1"/>
      <c r="O280" s="1"/>
      <c r="P280" s="1"/>
      <c r="Q280" s="1"/>
    </row>
    <row r="281" ht="15.75" customHeight="1">
      <c r="A281" s="1"/>
      <c r="B281" s="1"/>
      <c r="C281" s="1"/>
      <c r="D281" s="1"/>
      <c r="E281" s="1"/>
      <c r="F281" s="1"/>
      <c r="G281" s="1"/>
      <c r="H281" s="1"/>
      <c r="I281" s="1"/>
      <c r="J281" s="1"/>
      <c r="K281" s="1"/>
      <c r="L281" s="1"/>
      <c r="M281" s="1"/>
      <c r="N281" s="1"/>
      <c r="O281" s="1"/>
      <c r="P281" s="1"/>
      <c r="Q281" s="1"/>
    </row>
    <row r="282" ht="15.75" customHeight="1">
      <c r="A282" s="1"/>
      <c r="B282" s="1"/>
      <c r="C282" s="1"/>
      <c r="D282" s="1"/>
      <c r="E282" s="1"/>
      <c r="F282" s="1"/>
      <c r="G282" s="1"/>
      <c r="H282" s="1"/>
      <c r="I282" s="1"/>
      <c r="J282" s="1"/>
      <c r="K282" s="1"/>
      <c r="L282" s="1"/>
      <c r="M282" s="1"/>
      <c r="N282" s="1"/>
      <c r="O282" s="1"/>
      <c r="P282" s="1"/>
      <c r="Q282" s="1"/>
    </row>
    <row r="283" ht="15.75" customHeight="1">
      <c r="A283" s="1"/>
      <c r="B283" s="1"/>
      <c r="C283" s="1"/>
      <c r="D283" s="1"/>
      <c r="E283" s="1"/>
      <c r="F283" s="1"/>
      <c r="G283" s="1"/>
      <c r="H283" s="1"/>
      <c r="I283" s="1"/>
      <c r="J283" s="1"/>
      <c r="K283" s="1"/>
      <c r="L283" s="1"/>
      <c r="M283" s="1"/>
      <c r="N283" s="1"/>
      <c r="O283" s="1"/>
      <c r="P283" s="1"/>
      <c r="Q283" s="1"/>
    </row>
    <row r="284" ht="15.75" customHeight="1">
      <c r="A284" s="1"/>
      <c r="B284" s="1"/>
      <c r="C284" s="1"/>
      <c r="D284" s="1"/>
      <c r="E284" s="1"/>
      <c r="F284" s="1"/>
      <c r="G284" s="1"/>
      <c r="H284" s="1"/>
      <c r="I284" s="1"/>
      <c r="J284" s="1"/>
      <c r="K284" s="1"/>
      <c r="L284" s="1"/>
      <c r="M284" s="1"/>
      <c r="N284" s="1"/>
      <c r="O284" s="1"/>
      <c r="P284" s="1"/>
      <c r="Q284" s="1"/>
    </row>
    <row r="285" ht="15.75" customHeight="1">
      <c r="A285" s="1"/>
      <c r="B285" s="1"/>
      <c r="C285" s="1"/>
      <c r="D285" s="1"/>
      <c r="E285" s="1"/>
      <c r="F285" s="1"/>
      <c r="G285" s="1"/>
      <c r="H285" s="1"/>
      <c r="I285" s="1"/>
      <c r="J285" s="1"/>
      <c r="K285" s="1"/>
      <c r="L285" s="1"/>
      <c r="M285" s="1"/>
      <c r="N285" s="1"/>
      <c r="O285" s="1"/>
      <c r="P285" s="1"/>
      <c r="Q285" s="1"/>
    </row>
    <row r="286" ht="15.75" customHeight="1">
      <c r="A286" s="1"/>
      <c r="B286" s="1"/>
      <c r="C286" s="1"/>
      <c r="D286" s="1"/>
      <c r="E286" s="1"/>
      <c r="F286" s="1"/>
      <c r="G286" s="1"/>
      <c r="H286" s="1"/>
      <c r="I286" s="1"/>
      <c r="J286" s="1"/>
      <c r="K286" s="1"/>
      <c r="L286" s="1"/>
      <c r="M286" s="1"/>
      <c r="N286" s="1"/>
      <c r="O286" s="1"/>
      <c r="P286" s="1"/>
      <c r="Q286" s="1"/>
    </row>
    <row r="287" ht="15.75" customHeight="1">
      <c r="A287" s="1"/>
      <c r="B287" s="1"/>
      <c r="C287" s="1"/>
      <c r="D287" s="1"/>
      <c r="E287" s="1"/>
      <c r="F287" s="1"/>
      <c r="G287" s="1"/>
      <c r="H287" s="1"/>
      <c r="I287" s="1"/>
      <c r="J287" s="1"/>
      <c r="K287" s="1"/>
      <c r="L287" s="1"/>
      <c r="M287" s="1"/>
      <c r="N287" s="1"/>
      <c r="O287" s="1"/>
      <c r="P287" s="1"/>
      <c r="Q287" s="1"/>
    </row>
    <row r="288" ht="15.75" customHeight="1">
      <c r="A288" s="1"/>
      <c r="B288" s="1"/>
      <c r="C288" s="1"/>
      <c r="D288" s="1"/>
      <c r="E288" s="1"/>
      <c r="F288" s="1"/>
      <c r="G288" s="1"/>
      <c r="H288" s="1"/>
      <c r="I288" s="1"/>
      <c r="J288" s="1"/>
      <c r="K288" s="1"/>
      <c r="L288" s="1"/>
      <c r="M288" s="1"/>
      <c r="N288" s="1"/>
      <c r="O288" s="1"/>
      <c r="P288" s="1"/>
      <c r="Q288" s="1"/>
    </row>
    <row r="289" ht="15.75" customHeight="1">
      <c r="A289" s="1"/>
      <c r="B289" s="1"/>
      <c r="C289" s="1"/>
      <c r="D289" s="1"/>
      <c r="E289" s="1"/>
      <c r="F289" s="1"/>
      <c r="G289" s="1"/>
      <c r="H289" s="1"/>
      <c r="I289" s="1"/>
      <c r="J289" s="1"/>
      <c r="K289" s="1"/>
      <c r="L289" s="1"/>
      <c r="M289" s="1"/>
      <c r="N289" s="1"/>
      <c r="O289" s="1"/>
      <c r="P289" s="1"/>
      <c r="Q289" s="1"/>
    </row>
    <row r="290" ht="15.75" customHeight="1">
      <c r="A290" s="1"/>
      <c r="B290" s="1"/>
      <c r="C290" s="1"/>
      <c r="D290" s="1"/>
      <c r="E290" s="1"/>
      <c r="F290" s="1"/>
      <c r="G290" s="1"/>
      <c r="H290" s="1"/>
      <c r="I290" s="1"/>
      <c r="J290" s="1"/>
      <c r="K290" s="1"/>
      <c r="L290" s="1"/>
      <c r="M290" s="1"/>
      <c r="N290" s="1"/>
      <c r="O290" s="1"/>
      <c r="P290" s="1"/>
      <c r="Q290" s="1"/>
    </row>
    <row r="291" ht="15.75" customHeight="1">
      <c r="A291" s="1"/>
      <c r="B291" s="1"/>
      <c r="C291" s="1"/>
      <c r="D291" s="1"/>
      <c r="E291" s="1"/>
      <c r="F291" s="1"/>
      <c r="G291" s="1"/>
      <c r="H291" s="1"/>
      <c r="I291" s="1"/>
      <c r="J291" s="1"/>
      <c r="K291" s="1"/>
      <c r="L291" s="1"/>
      <c r="M291" s="1"/>
      <c r="N291" s="1"/>
      <c r="O291" s="1"/>
      <c r="P291" s="1"/>
      <c r="Q291" s="1"/>
    </row>
    <row r="292" ht="15.75" customHeight="1">
      <c r="A292" s="1"/>
      <c r="B292" s="1"/>
      <c r="C292" s="1"/>
      <c r="D292" s="1"/>
      <c r="E292" s="1"/>
      <c r="F292" s="1"/>
      <c r="G292" s="1"/>
      <c r="H292" s="1"/>
      <c r="I292" s="1"/>
      <c r="J292" s="1"/>
      <c r="K292" s="1"/>
      <c r="L292" s="1"/>
      <c r="M292" s="1"/>
      <c r="N292" s="1"/>
      <c r="O292" s="1"/>
      <c r="P292" s="1"/>
      <c r="Q292" s="1"/>
    </row>
    <row r="293" ht="15.75" customHeight="1">
      <c r="A293" s="1"/>
      <c r="B293" s="1"/>
      <c r="C293" s="1"/>
      <c r="D293" s="1"/>
      <c r="E293" s="1"/>
      <c r="F293" s="1"/>
      <c r="G293" s="1"/>
      <c r="H293" s="1"/>
      <c r="I293" s="1"/>
      <c r="J293" s="1"/>
      <c r="K293" s="1"/>
      <c r="L293" s="1"/>
      <c r="M293" s="1"/>
      <c r="N293" s="1"/>
      <c r="O293" s="1"/>
      <c r="P293" s="1"/>
      <c r="Q293" s="1"/>
    </row>
    <row r="294" ht="15.75" customHeight="1">
      <c r="A294" s="1"/>
      <c r="B294" s="1"/>
      <c r="C294" s="1"/>
      <c r="D294" s="1"/>
      <c r="E294" s="1"/>
      <c r="F294" s="1"/>
      <c r="G294" s="1"/>
      <c r="H294" s="1"/>
      <c r="I294" s="1"/>
      <c r="J294" s="1"/>
      <c r="K294" s="1"/>
      <c r="L294" s="1"/>
      <c r="M294" s="1"/>
      <c r="N294" s="1"/>
      <c r="O294" s="1"/>
      <c r="P294" s="1"/>
      <c r="Q294" s="1"/>
    </row>
    <row r="295" ht="15.75" customHeight="1">
      <c r="A295" s="1"/>
      <c r="B295" s="1"/>
      <c r="C295" s="1"/>
      <c r="D295" s="1"/>
      <c r="E295" s="1"/>
      <c r="F295" s="1"/>
      <c r="G295" s="1"/>
      <c r="H295" s="1"/>
      <c r="I295" s="1"/>
      <c r="J295" s="1"/>
      <c r="K295" s="1"/>
      <c r="L295" s="1"/>
      <c r="M295" s="1"/>
      <c r="N295" s="1"/>
      <c r="O295" s="1"/>
      <c r="P295" s="1"/>
      <c r="Q295" s="1"/>
    </row>
    <row r="296" ht="15.75" customHeight="1">
      <c r="A296" s="1"/>
      <c r="B296" s="1"/>
      <c r="C296" s="1"/>
      <c r="D296" s="1"/>
      <c r="E296" s="1"/>
      <c r="F296" s="1"/>
      <c r="G296" s="1"/>
      <c r="H296" s="1"/>
      <c r="I296" s="1"/>
      <c r="J296" s="1"/>
      <c r="K296" s="1"/>
      <c r="L296" s="1"/>
      <c r="M296" s="1"/>
      <c r="N296" s="1"/>
      <c r="O296" s="1"/>
      <c r="P296" s="1"/>
      <c r="Q296" s="1"/>
    </row>
    <row r="297" ht="15.75" customHeight="1">
      <c r="A297" s="1"/>
      <c r="B297" s="1"/>
      <c r="C297" s="1"/>
      <c r="D297" s="1"/>
      <c r="E297" s="1"/>
      <c r="F297" s="1"/>
      <c r="G297" s="1"/>
      <c r="H297" s="1"/>
      <c r="I297" s="1"/>
      <c r="J297" s="1"/>
      <c r="K297" s="1"/>
      <c r="L297" s="1"/>
      <c r="M297" s="1"/>
      <c r="N297" s="1"/>
      <c r="O297" s="1"/>
      <c r="P297" s="1"/>
      <c r="Q297" s="1"/>
    </row>
    <row r="298" ht="15.75" customHeight="1">
      <c r="A298" s="1"/>
      <c r="B298" s="1"/>
      <c r="C298" s="1"/>
      <c r="D298" s="1"/>
      <c r="E298" s="1"/>
      <c r="F298" s="1"/>
      <c r="G298" s="1"/>
      <c r="H298" s="1"/>
      <c r="I298" s="1"/>
      <c r="J298" s="1"/>
      <c r="K298" s="1"/>
      <c r="L298" s="1"/>
      <c r="M298" s="1"/>
      <c r="N298" s="1"/>
      <c r="O298" s="1"/>
      <c r="P298" s="1"/>
      <c r="Q298" s="1"/>
    </row>
    <row r="299" ht="15.75" customHeight="1">
      <c r="A299" s="1"/>
      <c r="B299" s="1"/>
      <c r="C299" s="1"/>
      <c r="D299" s="1"/>
      <c r="E299" s="1"/>
      <c r="F299" s="1"/>
      <c r="G299" s="1"/>
      <c r="H299" s="1"/>
      <c r="I299" s="1"/>
      <c r="J299" s="1"/>
      <c r="K299" s="1"/>
      <c r="L299" s="1"/>
      <c r="M299" s="1"/>
      <c r="N299" s="1"/>
      <c r="O299" s="1"/>
      <c r="P299" s="1"/>
      <c r="Q299" s="1"/>
    </row>
    <row r="300" ht="15.75" customHeight="1">
      <c r="A300" s="1"/>
      <c r="B300" s="1"/>
      <c r="C300" s="1"/>
      <c r="D300" s="1"/>
      <c r="E300" s="1"/>
      <c r="F300" s="1"/>
      <c r="G300" s="1"/>
      <c r="H300" s="1"/>
      <c r="I300" s="1"/>
      <c r="J300" s="1"/>
      <c r="K300" s="1"/>
      <c r="L300" s="1"/>
      <c r="M300" s="1"/>
      <c r="N300" s="1"/>
      <c r="O300" s="1"/>
      <c r="P300" s="1"/>
      <c r="Q300" s="1"/>
    </row>
    <row r="301" ht="15.75" customHeight="1">
      <c r="A301" s="1"/>
      <c r="B301" s="1"/>
      <c r="C301" s="1"/>
      <c r="D301" s="1"/>
      <c r="E301" s="1"/>
      <c r="F301" s="1"/>
      <c r="G301" s="1"/>
      <c r="H301" s="1"/>
      <c r="I301" s="1"/>
      <c r="J301" s="1"/>
      <c r="K301" s="1"/>
      <c r="L301" s="1"/>
      <c r="M301" s="1"/>
      <c r="N301" s="1"/>
      <c r="O301" s="1"/>
      <c r="P301" s="1"/>
      <c r="Q301" s="1"/>
    </row>
    <row r="302" ht="15.75" customHeight="1">
      <c r="A302" s="1"/>
      <c r="B302" s="1"/>
      <c r="C302" s="1"/>
      <c r="D302" s="1"/>
      <c r="E302" s="1"/>
      <c r="F302" s="1"/>
      <c r="G302" s="1"/>
      <c r="H302" s="1"/>
      <c r="I302" s="1"/>
      <c r="J302" s="1"/>
      <c r="K302" s="1"/>
      <c r="L302" s="1"/>
      <c r="M302" s="1"/>
      <c r="N302" s="1"/>
      <c r="O302" s="1"/>
      <c r="P302" s="1"/>
      <c r="Q302" s="1"/>
    </row>
    <row r="303" ht="15.75" customHeight="1">
      <c r="A303" s="1"/>
      <c r="B303" s="1"/>
      <c r="C303" s="1"/>
      <c r="D303" s="1"/>
      <c r="E303" s="1"/>
      <c r="F303" s="1"/>
      <c r="G303" s="1"/>
      <c r="H303" s="1"/>
      <c r="I303" s="1"/>
      <c r="J303" s="1"/>
      <c r="K303" s="1"/>
      <c r="L303" s="1"/>
      <c r="M303" s="1"/>
      <c r="N303" s="1"/>
      <c r="O303" s="1"/>
      <c r="P303" s="1"/>
      <c r="Q303" s="1"/>
    </row>
    <row r="304" ht="15.75" customHeight="1">
      <c r="A304" s="1"/>
      <c r="B304" s="1"/>
      <c r="C304" s="1"/>
      <c r="D304" s="1"/>
      <c r="E304" s="1"/>
      <c r="F304" s="1"/>
      <c r="G304" s="1"/>
      <c r="H304" s="1"/>
      <c r="I304" s="1"/>
      <c r="J304" s="1"/>
      <c r="K304" s="1"/>
      <c r="L304" s="1"/>
      <c r="M304" s="1"/>
      <c r="N304" s="1"/>
      <c r="O304" s="1"/>
      <c r="P304" s="1"/>
      <c r="Q304" s="1"/>
    </row>
    <row r="305" ht="15.75" customHeight="1">
      <c r="A305" s="1"/>
      <c r="B305" s="1"/>
      <c r="C305" s="1"/>
      <c r="D305" s="1"/>
      <c r="E305" s="1"/>
      <c r="F305" s="1"/>
      <c r="G305" s="1"/>
      <c r="H305" s="1"/>
      <c r="I305" s="1"/>
      <c r="J305" s="1"/>
      <c r="K305" s="1"/>
      <c r="L305" s="1"/>
      <c r="M305" s="1"/>
      <c r="N305" s="1"/>
      <c r="O305" s="1"/>
      <c r="P305" s="1"/>
      <c r="Q305" s="1"/>
    </row>
    <row r="306" ht="15.75" customHeight="1">
      <c r="A306" s="1"/>
      <c r="B306" s="1"/>
      <c r="C306" s="1"/>
      <c r="D306" s="1"/>
      <c r="E306" s="1"/>
      <c r="F306" s="1"/>
      <c r="G306" s="1"/>
      <c r="H306" s="1"/>
      <c r="I306" s="1"/>
      <c r="J306" s="1"/>
      <c r="K306" s="1"/>
      <c r="L306" s="1"/>
      <c r="M306" s="1"/>
      <c r="N306" s="1"/>
      <c r="O306" s="1"/>
      <c r="P306" s="1"/>
      <c r="Q306" s="1"/>
    </row>
    <row r="307" ht="15.75" customHeight="1">
      <c r="A307" s="1"/>
      <c r="B307" s="1"/>
      <c r="C307" s="1"/>
      <c r="D307" s="1"/>
      <c r="E307" s="1"/>
      <c r="F307" s="1"/>
      <c r="G307" s="1"/>
      <c r="H307" s="1"/>
      <c r="I307" s="1"/>
      <c r="J307" s="1"/>
      <c r="K307" s="1"/>
      <c r="L307" s="1"/>
      <c r="M307" s="1"/>
      <c r="N307" s="1"/>
      <c r="O307" s="1"/>
      <c r="P307" s="1"/>
      <c r="Q307" s="1"/>
    </row>
    <row r="308" ht="15.75" customHeight="1">
      <c r="A308" s="1"/>
      <c r="B308" s="1"/>
      <c r="C308" s="1"/>
      <c r="D308" s="1"/>
      <c r="E308" s="1"/>
      <c r="F308" s="1"/>
      <c r="G308" s="1"/>
      <c r="H308" s="1"/>
      <c r="I308" s="1"/>
      <c r="J308" s="1"/>
      <c r="K308" s="1"/>
      <c r="L308" s="1"/>
      <c r="M308" s="1"/>
      <c r="N308" s="1"/>
      <c r="O308" s="1"/>
      <c r="P308" s="1"/>
      <c r="Q308" s="1"/>
    </row>
    <row r="309" ht="15.75" customHeight="1">
      <c r="A309" s="1"/>
      <c r="B309" s="1"/>
      <c r="C309" s="1"/>
      <c r="D309" s="1"/>
      <c r="E309" s="1"/>
      <c r="F309" s="1"/>
      <c r="G309" s="1"/>
      <c r="H309" s="1"/>
      <c r="I309" s="1"/>
      <c r="J309" s="1"/>
      <c r="K309" s="1"/>
      <c r="L309" s="1"/>
      <c r="M309" s="1"/>
      <c r="N309" s="1"/>
      <c r="O309" s="1"/>
      <c r="P309" s="1"/>
      <c r="Q309" s="1"/>
    </row>
    <row r="310" ht="15.75" customHeight="1">
      <c r="A310" s="1"/>
      <c r="B310" s="1"/>
      <c r="C310" s="1"/>
      <c r="D310" s="1"/>
      <c r="E310" s="1"/>
      <c r="F310" s="1"/>
      <c r="G310" s="1"/>
      <c r="H310" s="1"/>
      <c r="I310" s="1"/>
      <c r="J310" s="1"/>
      <c r="K310" s="1"/>
      <c r="L310" s="1"/>
      <c r="M310" s="1"/>
      <c r="N310" s="1"/>
      <c r="O310" s="1"/>
      <c r="P310" s="1"/>
      <c r="Q310" s="1"/>
    </row>
    <row r="311" ht="15.75" customHeight="1">
      <c r="A311" s="1"/>
      <c r="B311" s="1"/>
      <c r="C311" s="1"/>
      <c r="D311" s="1"/>
      <c r="E311" s="1"/>
      <c r="F311" s="1"/>
      <c r="G311" s="1"/>
      <c r="H311" s="1"/>
      <c r="I311" s="1"/>
      <c r="J311" s="1"/>
      <c r="K311" s="1"/>
      <c r="L311" s="1"/>
      <c r="M311" s="1"/>
      <c r="N311" s="1"/>
      <c r="O311" s="1"/>
      <c r="P311" s="1"/>
      <c r="Q311" s="1"/>
    </row>
    <row r="312" ht="15.75" customHeight="1">
      <c r="A312" s="1"/>
      <c r="B312" s="1"/>
      <c r="C312" s="1"/>
      <c r="D312" s="1"/>
      <c r="E312" s="1"/>
      <c r="F312" s="1"/>
      <c r="G312" s="1"/>
      <c r="H312" s="1"/>
      <c r="I312" s="1"/>
      <c r="J312" s="1"/>
      <c r="K312" s="1"/>
      <c r="L312" s="1"/>
      <c r="M312" s="1"/>
      <c r="N312" s="1"/>
      <c r="O312" s="1"/>
      <c r="P312" s="1"/>
      <c r="Q312" s="1"/>
    </row>
    <row r="313" ht="15.75" customHeight="1">
      <c r="A313" s="1"/>
      <c r="B313" s="1"/>
      <c r="C313" s="1"/>
      <c r="D313" s="1"/>
      <c r="E313" s="1"/>
      <c r="F313" s="1"/>
      <c r="G313" s="1"/>
      <c r="H313" s="1"/>
      <c r="I313" s="1"/>
      <c r="J313" s="1"/>
      <c r="K313" s="1"/>
      <c r="L313" s="1"/>
      <c r="M313" s="1"/>
      <c r="N313" s="1"/>
      <c r="O313" s="1"/>
      <c r="P313" s="1"/>
      <c r="Q313" s="1"/>
    </row>
    <row r="314" ht="15.75" customHeight="1">
      <c r="A314" s="1"/>
      <c r="B314" s="1"/>
      <c r="C314" s="1"/>
      <c r="D314" s="1"/>
      <c r="E314" s="1"/>
      <c r="F314" s="1"/>
      <c r="G314" s="1"/>
      <c r="H314" s="1"/>
      <c r="I314" s="1"/>
      <c r="J314" s="1"/>
      <c r="K314" s="1"/>
      <c r="L314" s="1"/>
      <c r="M314" s="1"/>
      <c r="N314" s="1"/>
      <c r="O314" s="1"/>
      <c r="P314" s="1"/>
      <c r="Q314" s="1"/>
    </row>
    <row r="315" ht="15.75" customHeight="1">
      <c r="A315" s="1"/>
      <c r="B315" s="1"/>
      <c r="C315" s="1"/>
      <c r="D315" s="1"/>
      <c r="E315" s="1"/>
      <c r="F315" s="1"/>
      <c r="G315" s="1"/>
      <c r="H315" s="1"/>
      <c r="I315" s="1"/>
      <c r="J315" s="1"/>
      <c r="K315" s="1"/>
      <c r="L315" s="1"/>
      <c r="M315" s="1"/>
      <c r="N315" s="1"/>
      <c r="O315" s="1"/>
      <c r="P315" s="1"/>
      <c r="Q315" s="1"/>
    </row>
    <row r="316" ht="15.75" customHeight="1">
      <c r="A316" s="1"/>
      <c r="B316" s="1"/>
      <c r="C316" s="1"/>
      <c r="D316" s="1"/>
      <c r="E316" s="1"/>
      <c r="F316" s="1"/>
      <c r="G316" s="1"/>
      <c r="H316" s="1"/>
      <c r="I316" s="1"/>
      <c r="J316" s="1"/>
      <c r="K316" s="1"/>
      <c r="L316" s="1"/>
      <c r="M316" s="1"/>
      <c r="N316" s="1"/>
      <c r="O316" s="1"/>
      <c r="P316" s="1"/>
      <c r="Q316" s="1"/>
    </row>
    <row r="317" ht="15.75" customHeight="1">
      <c r="A317" s="1"/>
      <c r="B317" s="1"/>
      <c r="C317" s="1"/>
      <c r="D317" s="1"/>
      <c r="E317" s="1"/>
      <c r="F317" s="1"/>
      <c r="G317" s="1"/>
      <c r="H317" s="1"/>
      <c r="I317" s="1"/>
      <c r="J317" s="1"/>
      <c r="K317" s="1"/>
      <c r="L317" s="1"/>
      <c r="M317" s="1"/>
      <c r="N317" s="1"/>
      <c r="O317" s="1"/>
      <c r="P317" s="1"/>
      <c r="Q317" s="1"/>
    </row>
    <row r="318" ht="15.75" customHeight="1">
      <c r="A318" s="1"/>
      <c r="B318" s="1"/>
      <c r="C318" s="1"/>
      <c r="D318" s="1"/>
      <c r="E318" s="1"/>
      <c r="F318" s="1"/>
      <c r="G318" s="1"/>
      <c r="H318" s="1"/>
      <c r="I318" s="1"/>
      <c r="J318" s="1"/>
      <c r="K318" s="1"/>
      <c r="L318" s="1"/>
      <c r="M318" s="1"/>
      <c r="N318" s="1"/>
      <c r="O318" s="1"/>
      <c r="P318" s="1"/>
      <c r="Q318" s="1"/>
    </row>
    <row r="319" ht="15.75" customHeight="1">
      <c r="A319" s="1"/>
      <c r="B319" s="1"/>
      <c r="C319" s="1"/>
      <c r="D319" s="1"/>
      <c r="E319" s="1"/>
      <c r="F319" s="1"/>
      <c r="G319" s="1"/>
      <c r="H319" s="1"/>
      <c r="I319" s="1"/>
      <c r="J319" s="1"/>
      <c r="K319" s="1"/>
      <c r="L319" s="1"/>
      <c r="M319" s="1"/>
      <c r="N319" s="1"/>
      <c r="O319" s="1"/>
      <c r="P319" s="1"/>
      <c r="Q319" s="1"/>
    </row>
    <row r="320" ht="15.75" customHeight="1">
      <c r="A320" s="1"/>
      <c r="B320" s="1"/>
      <c r="C320" s="1"/>
      <c r="D320" s="1"/>
      <c r="E320" s="1"/>
      <c r="F320" s="1"/>
      <c r="G320" s="1"/>
      <c r="H320" s="1"/>
      <c r="I320" s="1"/>
      <c r="J320" s="1"/>
      <c r="K320" s="1"/>
      <c r="L320" s="1"/>
      <c r="M320" s="1"/>
      <c r="N320" s="1"/>
      <c r="O320" s="1"/>
      <c r="P320" s="1"/>
      <c r="Q320" s="1"/>
    </row>
    <row r="321" ht="15.75" customHeight="1">
      <c r="A321" s="1"/>
      <c r="B321" s="1"/>
      <c r="C321" s="1"/>
      <c r="D321" s="1"/>
      <c r="E321" s="1"/>
      <c r="F321" s="1"/>
      <c r="G321" s="1"/>
      <c r="H321" s="1"/>
      <c r="I321" s="1"/>
      <c r="J321" s="1"/>
      <c r="K321" s="1"/>
      <c r="L321" s="1"/>
      <c r="M321" s="1"/>
      <c r="N321" s="1"/>
      <c r="O321" s="1"/>
      <c r="P321" s="1"/>
      <c r="Q321" s="1"/>
    </row>
    <row r="322" ht="15.75" customHeight="1">
      <c r="A322" s="1"/>
      <c r="B322" s="1"/>
      <c r="C322" s="1"/>
      <c r="D322" s="1"/>
      <c r="E322" s="1"/>
      <c r="F322" s="1"/>
      <c r="G322" s="1"/>
      <c r="H322" s="1"/>
      <c r="I322" s="1"/>
      <c r="J322" s="1"/>
      <c r="K322" s="1"/>
      <c r="L322" s="1"/>
      <c r="M322" s="1"/>
      <c r="N322" s="1"/>
      <c r="O322" s="1"/>
      <c r="P322" s="1"/>
      <c r="Q322" s="1"/>
    </row>
    <row r="323" ht="15.75" customHeight="1">
      <c r="A323" s="1"/>
      <c r="B323" s="1"/>
      <c r="C323" s="1"/>
      <c r="D323" s="1"/>
      <c r="E323" s="1"/>
      <c r="F323" s="1"/>
      <c r="G323" s="1"/>
      <c r="H323" s="1"/>
      <c r="I323" s="1"/>
      <c r="J323" s="1"/>
      <c r="K323" s="1"/>
      <c r="L323" s="1"/>
      <c r="M323" s="1"/>
      <c r="N323" s="1"/>
      <c r="O323" s="1"/>
      <c r="P323" s="1"/>
      <c r="Q323" s="1"/>
    </row>
    <row r="324" ht="15.75" customHeight="1">
      <c r="A324" s="1"/>
      <c r="B324" s="1"/>
      <c r="C324" s="1"/>
      <c r="D324" s="1"/>
      <c r="E324" s="1"/>
      <c r="F324" s="1"/>
      <c r="G324" s="1"/>
      <c r="H324" s="1"/>
      <c r="I324" s="1"/>
      <c r="J324" s="1"/>
      <c r="K324" s="1"/>
      <c r="L324" s="1"/>
      <c r="M324" s="1"/>
      <c r="N324" s="1"/>
      <c r="O324" s="1"/>
      <c r="P324" s="1"/>
      <c r="Q324" s="1"/>
    </row>
    <row r="325" ht="15.75" customHeight="1">
      <c r="A325" s="1"/>
      <c r="B325" s="1"/>
      <c r="C325" s="1"/>
      <c r="D325" s="1"/>
      <c r="E325" s="1"/>
      <c r="F325" s="1"/>
      <c r="G325" s="1"/>
      <c r="H325" s="1"/>
      <c r="I325" s="1"/>
      <c r="J325" s="1"/>
      <c r="K325" s="1"/>
      <c r="L325" s="1"/>
      <c r="M325" s="1"/>
      <c r="N325" s="1"/>
      <c r="O325" s="1"/>
      <c r="P325" s="1"/>
      <c r="Q325" s="1"/>
    </row>
    <row r="326" ht="15.75" customHeight="1">
      <c r="A326" s="1"/>
      <c r="B326" s="1"/>
      <c r="C326" s="1"/>
      <c r="D326" s="1"/>
      <c r="E326" s="1"/>
      <c r="F326" s="1"/>
      <c r="G326" s="1"/>
      <c r="H326" s="1"/>
      <c r="I326" s="1"/>
      <c r="J326" s="1"/>
      <c r="K326" s="1"/>
      <c r="L326" s="1"/>
      <c r="M326" s="1"/>
      <c r="N326" s="1"/>
      <c r="O326" s="1"/>
      <c r="P326" s="1"/>
      <c r="Q326" s="1"/>
    </row>
    <row r="327" ht="15.75" customHeight="1">
      <c r="A327" s="1"/>
      <c r="B327" s="1"/>
      <c r="C327" s="1"/>
      <c r="D327" s="1"/>
      <c r="E327" s="1"/>
      <c r="F327" s="1"/>
      <c r="G327" s="1"/>
      <c r="H327" s="1"/>
      <c r="I327" s="1"/>
      <c r="J327" s="1"/>
      <c r="K327" s="1"/>
      <c r="L327" s="1"/>
      <c r="M327" s="1"/>
      <c r="N327" s="1"/>
      <c r="O327" s="1"/>
      <c r="P327" s="1"/>
      <c r="Q327" s="1"/>
    </row>
    <row r="328" ht="15.75" customHeight="1">
      <c r="A328" s="1"/>
      <c r="B328" s="1"/>
      <c r="C328" s="1"/>
      <c r="D328" s="1"/>
      <c r="E328" s="1"/>
      <c r="F328" s="1"/>
      <c r="G328" s="1"/>
      <c r="H328" s="1"/>
      <c r="I328" s="1"/>
      <c r="J328" s="1"/>
      <c r="K328" s="1"/>
      <c r="L328" s="1"/>
      <c r="M328" s="1"/>
      <c r="N328" s="1"/>
      <c r="O328" s="1"/>
      <c r="P328" s="1"/>
      <c r="Q328" s="1"/>
    </row>
    <row r="329" ht="15.75" customHeight="1">
      <c r="A329" s="1"/>
      <c r="B329" s="1"/>
      <c r="C329" s="1"/>
      <c r="D329" s="1"/>
      <c r="E329" s="1"/>
      <c r="F329" s="1"/>
      <c r="G329" s="1"/>
      <c r="H329" s="1"/>
      <c r="I329" s="1"/>
      <c r="J329" s="1"/>
      <c r="K329" s="1"/>
      <c r="L329" s="1"/>
      <c r="M329" s="1"/>
      <c r="N329" s="1"/>
      <c r="O329" s="1"/>
      <c r="P329" s="1"/>
      <c r="Q329" s="1"/>
    </row>
    <row r="330" ht="15.75" customHeight="1">
      <c r="A330" s="1"/>
      <c r="B330" s="1"/>
      <c r="C330" s="1"/>
      <c r="D330" s="1"/>
      <c r="E330" s="1"/>
      <c r="F330" s="1"/>
      <c r="G330" s="1"/>
      <c r="H330" s="1"/>
      <c r="I330" s="1"/>
      <c r="J330" s="1"/>
      <c r="K330" s="1"/>
      <c r="L330" s="1"/>
      <c r="M330" s="1"/>
      <c r="N330" s="1"/>
      <c r="O330" s="1"/>
      <c r="P330" s="1"/>
      <c r="Q330" s="1"/>
    </row>
    <row r="331" ht="15.75" customHeight="1">
      <c r="A331" s="1"/>
      <c r="B331" s="1"/>
      <c r="C331" s="1"/>
      <c r="D331" s="1"/>
      <c r="E331" s="1"/>
      <c r="F331" s="1"/>
      <c r="G331" s="1"/>
      <c r="H331" s="1"/>
      <c r="I331" s="1"/>
      <c r="J331" s="1"/>
      <c r="K331" s="1"/>
      <c r="L331" s="1"/>
      <c r="M331" s="1"/>
      <c r="N331" s="1"/>
      <c r="O331" s="1"/>
      <c r="P331" s="1"/>
      <c r="Q331" s="1"/>
    </row>
    <row r="332" ht="15.75" customHeight="1">
      <c r="A332" s="1"/>
      <c r="B332" s="1"/>
      <c r="C332" s="1"/>
      <c r="D332" s="1"/>
      <c r="E332" s="1"/>
      <c r="F332" s="1"/>
      <c r="G332" s="1"/>
      <c r="H332" s="1"/>
      <c r="I332" s="1"/>
      <c r="J332" s="1"/>
      <c r="K332" s="1"/>
      <c r="L332" s="1"/>
      <c r="M332" s="1"/>
      <c r="N332" s="1"/>
      <c r="O332" s="1"/>
      <c r="P332" s="1"/>
      <c r="Q332" s="1"/>
    </row>
    <row r="333" ht="15.75" customHeight="1">
      <c r="A333" s="1"/>
      <c r="B333" s="1"/>
      <c r="C333" s="1"/>
      <c r="D333" s="1"/>
      <c r="E333" s="1"/>
      <c r="F333" s="1"/>
      <c r="G333" s="1"/>
      <c r="H333" s="1"/>
      <c r="I333" s="1"/>
      <c r="J333" s="1"/>
      <c r="K333" s="1"/>
      <c r="L333" s="1"/>
      <c r="M333" s="1"/>
      <c r="N333" s="1"/>
      <c r="O333" s="1"/>
      <c r="P333" s="1"/>
      <c r="Q333" s="1"/>
    </row>
    <row r="334" ht="15.75" customHeight="1">
      <c r="A334" s="1"/>
      <c r="B334" s="1"/>
      <c r="C334" s="1"/>
      <c r="D334" s="1"/>
      <c r="E334" s="1"/>
      <c r="F334" s="1"/>
      <c r="G334" s="1"/>
      <c r="H334" s="1"/>
      <c r="I334" s="1"/>
      <c r="J334" s="1"/>
      <c r="K334" s="1"/>
      <c r="L334" s="1"/>
      <c r="M334" s="1"/>
      <c r="N334" s="1"/>
      <c r="O334" s="1"/>
      <c r="P334" s="1"/>
      <c r="Q334" s="1"/>
    </row>
    <row r="335" ht="15.75" customHeight="1">
      <c r="A335" s="1"/>
      <c r="B335" s="1"/>
      <c r="C335" s="1"/>
      <c r="D335" s="1"/>
      <c r="E335" s="1"/>
      <c r="F335" s="1"/>
      <c r="G335" s="1"/>
      <c r="H335" s="1"/>
      <c r="I335" s="1"/>
      <c r="J335" s="1"/>
      <c r="K335" s="1"/>
      <c r="L335" s="1"/>
      <c r="M335" s="1"/>
      <c r="N335" s="1"/>
      <c r="O335" s="1"/>
      <c r="P335" s="1"/>
      <c r="Q335" s="1"/>
    </row>
    <row r="336" ht="15.75" customHeight="1">
      <c r="A336" s="1"/>
      <c r="B336" s="1"/>
      <c r="C336" s="1"/>
      <c r="D336" s="1"/>
      <c r="E336" s="1"/>
      <c r="F336" s="1"/>
      <c r="G336" s="1"/>
      <c r="H336" s="1"/>
      <c r="I336" s="1"/>
      <c r="J336" s="1"/>
      <c r="K336" s="1"/>
      <c r="L336" s="1"/>
      <c r="M336" s="1"/>
      <c r="N336" s="1"/>
      <c r="O336" s="1"/>
      <c r="P336" s="1"/>
      <c r="Q336" s="1"/>
    </row>
    <row r="337" ht="15.75" customHeight="1">
      <c r="A337" s="1"/>
      <c r="B337" s="1"/>
      <c r="C337" s="1"/>
      <c r="D337" s="1"/>
      <c r="E337" s="1"/>
      <c r="F337" s="1"/>
      <c r="G337" s="1"/>
      <c r="H337" s="1"/>
      <c r="I337" s="1"/>
      <c r="J337" s="1"/>
      <c r="K337" s="1"/>
      <c r="L337" s="1"/>
      <c r="M337" s="1"/>
      <c r="N337" s="1"/>
      <c r="O337" s="1"/>
      <c r="P337" s="1"/>
      <c r="Q337" s="1"/>
    </row>
    <row r="338" ht="15.75" customHeight="1">
      <c r="A338" s="1"/>
      <c r="B338" s="1"/>
      <c r="C338" s="1"/>
      <c r="D338" s="1"/>
      <c r="E338" s="1"/>
      <c r="F338" s="1"/>
      <c r="G338" s="1"/>
      <c r="H338" s="1"/>
      <c r="I338" s="1"/>
      <c r="J338" s="1"/>
      <c r="K338" s="1"/>
      <c r="L338" s="1"/>
      <c r="M338" s="1"/>
      <c r="N338" s="1"/>
      <c r="O338" s="1"/>
      <c r="P338" s="1"/>
      <c r="Q338" s="1"/>
    </row>
    <row r="339" ht="15.75" customHeight="1">
      <c r="A339" s="1"/>
      <c r="B339" s="1"/>
      <c r="C339" s="1"/>
      <c r="D339" s="1"/>
      <c r="E339" s="1"/>
      <c r="F339" s="1"/>
      <c r="G339" s="1"/>
      <c r="H339" s="1"/>
      <c r="I339" s="1"/>
      <c r="J339" s="1"/>
      <c r="K339" s="1"/>
      <c r="L339" s="1"/>
      <c r="M339" s="1"/>
      <c r="N339" s="1"/>
      <c r="O339" s="1"/>
      <c r="P339" s="1"/>
      <c r="Q339" s="1"/>
    </row>
    <row r="340" ht="15.75" customHeight="1">
      <c r="A340" s="1"/>
      <c r="B340" s="1"/>
      <c r="C340" s="1"/>
      <c r="D340" s="1"/>
      <c r="E340" s="1"/>
      <c r="F340" s="1"/>
      <c r="G340" s="1"/>
      <c r="H340" s="1"/>
      <c r="I340" s="1"/>
      <c r="J340" s="1"/>
      <c r="K340" s="1"/>
      <c r="L340" s="1"/>
      <c r="M340" s="1"/>
      <c r="N340" s="1"/>
      <c r="O340" s="1"/>
      <c r="P340" s="1"/>
      <c r="Q340" s="1"/>
    </row>
    <row r="341" ht="15.75" customHeight="1">
      <c r="A341" s="1"/>
      <c r="B341" s="1"/>
      <c r="C341" s="1"/>
      <c r="D341" s="1"/>
      <c r="E341" s="1"/>
      <c r="F341" s="1"/>
      <c r="G341" s="1"/>
      <c r="H341" s="1"/>
      <c r="I341" s="1"/>
      <c r="J341" s="1"/>
      <c r="K341" s="1"/>
      <c r="L341" s="1"/>
      <c r="M341" s="1"/>
      <c r="N341" s="1"/>
      <c r="O341" s="1"/>
      <c r="P341" s="1"/>
      <c r="Q341" s="1"/>
    </row>
    <row r="342" ht="15.75" customHeight="1">
      <c r="A342" s="1"/>
      <c r="B342" s="1"/>
      <c r="C342" s="1"/>
      <c r="D342" s="1"/>
      <c r="E342" s="1"/>
      <c r="F342" s="1"/>
      <c r="G342" s="1"/>
      <c r="H342" s="1"/>
      <c r="I342" s="1"/>
      <c r="J342" s="1"/>
      <c r="K342" s="1"/>
      <c r="L342" s="1"/>
      <c r="M342" s="1"/>
      <c r="N342" s="1"/>
      <c r="O342" s="1"/>
      <c r="P342" s="1"/>
      <c r="Q342" s="1"/>
    </row>
    <row r="343" ht="15.75" customHeight="1">
      <c r="A343" s="1"/>
      <c r="B343" s="1"/>
      <c r="C343" s="1"/>
      <c r="D343" s="1"/>
      <c r="E343" s="1"/>
      <c r="F343" s="1"/>
      <c r="G343" s="1"/>
      <c r="H343" s="1"/>
      <c r="I343" s="1"/>
      <c r="J343" s="1"/>
      <c r="K343" s="1"/>
      <c r="L343" s="1"/>
      <c r="M343" s="1"/>
      <c r="N343" s="1"/>
      <c r="O343" s="1"/>
      <c r="P343" s="1"/>
      <c r="Q343" s="1"/>
    </row>
    <row r="344" ht="15.75" customHeight="1">
      <c r="A344" s="1"/>
      <c r="B344" s="1"/>
      <c r="C344" s="1"/>
      <c r="D344" s="1"/>
      <c r="E344" s="1"/>
      <c r="F344" s="1"/>
      <c r="G344" s="1"/>
      <c r="H344" s="1"/>
      <c r="I344" s="1"/>
      <c r="J344" s="1"/>
      <c r="K344" s="1"/>
      <c r="L344" s="1"/>
      <c r="M344" s="1"/>
      <c r="N344" s="1"/>
      <c r="O344" s="1"/>
      <c r="P344" s="1"/>
      <c r="Q344" s="1"/>
    </row>
    <row r="345" ht="15.75" customHeight="1">
      <c r="A345" s="1"/>
      <c r="B345" s="1"/>
      <c r="C345" s="1"/>
      <c r="D345" s="1"/>
      <c r="E345" s="1"/>
      <c r="F345" s="1"/>
      <c r="G345" s="1"/>
      <c r="H345" s="1"/>
      <c r="I345" s="1"/>
      <c r="J345" s="1"/>
      <c r="K345" s="1"/>
      <c r="L345" s="1"/>
      <c r="M345" s="1"/>
      <c r="N345" s="1"/>
      <c r="O345" s="1"/>
      <c r="P345" s="1"/>
      <c r="Q345" s="1"/>
    </row>
    <row r="346" ht="15.75" customHeight="1">
      <c r="A346" s="1"/>
      <c r="B346" s="1"/>
      <c r="C346" s="1"/>
      <c r="D346" s="1"/>
      <c r="E346" s="1"/>
      <c r="F346" s="1"/>
      <c r="G346" s="1"/>
      <c r="H346" s="1"/>
      <c r="I346" s="1"/>
      <c r="J346" s="1"/>
      <c r="K346" s="1"/>
      <c r="L346" s="1"/>
      <c r="M346" s="1"/>
      <c r="N346" s="1"/>
      <c r="O346" s="1"/>
      <c r="P346" s="1"/>
      <c r="Q346" s="1"/>
    </row>
    <row r="347" ht="15.75" customHeight="1">
      <c r="A347" s="1"/>
      <c r="B347" s="1"/>
      <c r="C347" s="1"/>
      <c r="D347" s="1"/>
      <c r="E347" s="1"/>
      <c r="F347" s="1"/>
      <c r="G347" s="1"/>
      <c r="H347" s="1"/>
      <c r="I347" s="1"/>
      <c r="J347" s="1"/>
      <c r="K347" s="1"/>
      <c r="L347" s="1"/>
      <c r="M347" s="1"/>
      <c r="N347" s="1"/>
      <c r="O347" s="1"/>
      <c r="P347" s="1"/>
      <c r="Q347" s="1"/>
    </row>
    <row r="348" ht="15.75" customHeight="1">
      <c r="A348" s="1"/>
      <c r="B348" s="1"/>
      <c r="C348" s="1"/>
      <c r="D348" s="1"/>
      <c r="E348" s="1"/>
      <c r="F348" s="1"/>
      <c r="G348" s="1"/>
      <c r="H348" s="1"/>
      <c r="I348" s="1"/>
      <c r="J348" s="1"/>
      <c r="K348" s="1"/>
      <c r="L348" s="1"/>
      <c r="M348" s="1"/>
      <c r="N348" s="1"/>
      <c r="O348" s="1"/>
      <c r="P348" s="1"/>
      <c r="Q348" s="1"/>
    </row>
    <row r="349" ht="15.75" customHeight="1">
      <c r="A349" s="1"/>
      <c r="B349" s="1"/>
      <c r="C349" s="1"/>
      <c r="D349" s="1"/>
      <c r="E349" s="1"/>
      <c r="F349" s="1"/>
      <c r="G349" s="1"/>
      <c r="H349" s="1"/>
      <c r="I349" s="1"/>
      <c r="J349" s="1"/>
      <c r="K349" s="1"/>
      <c r="L349" s="1"/>
      <c r="M349" s="1"/>
      <c r="N349" s="1"/>
      <c r="O349" s="1"/>
      <c r="P349" s="1"/>
      <c r="Q349" s="1"/>
    </row>
    <row r="350" ht="15.75" customHeight="1">
      <c r="A350" s="1"/>
      <c r="B350" s="1"/>
      <c r="C350" s="1"/>
      <c r="D350" s="1"/>
      <c r="E350" s="1"/>
      <c r="F350" s="1"/>
      <c r="G350" s="1"/>
      <c r="H350" s="1"/>
      <c r="I350" s="1"/>
      <c r="J350" s="1"/>
      <c r="K350" s="1"/>
      <c r="L350" s="1"/>
      <c r="M350" s="1"/>
      <c r="N350" s="1"/>
      <c r="O350" s="1"/>
      <c r="P350" s="1"/>
      <c r="Q350" s="1"/>
    </row>
    <row r="351" ht="15.75" customHeight="1">
      <c r="A351" s="1"/>
      <c r="B351" s="1"/>
      <c r="C351" s="1"/>
      <c r="D351" s="1"/>
      <c r="E351" s="1"/>
      <c r="F351" s="1"/>
      <c r="G351" s="1"/>
      <c r="H351" s="1"/>
      <c r="I351" s="1"/>
      <c r="J351" s="1"/>
      <c r="K351" s="1"/>
      <c r="L351" s="1"/>
      <c r="M351" s="1"/>
      <c r="N351" s="1"/>
      <c r="O351" s="1"/>
      <c r="P351" s="1"/>
      <c r="Q351" s="1"/>
    </row>
    <row r="352" ht="15.75" customHeight="1">
      <c r="A352" s="1"/>
      <c r="B352" s="1"/>
      <c r="C352" s="1"/>
      <c r="D352" s="1"/>
      <c r="E352" s="1"/>
      <c r="F352" s="1"/>
      <c r="G352" s="1"/>
      <c r="H352" s="1"/>
      <c r="I352" s="1"/>
      <c r="J352" s="1"/>
      <c r="K352" s="1"/>
      <c r="L352" s="1"/>
      <c r="M352" s="1"/>
      <c r="N352" s="1"/>
      <c r="O352" s="1"/>
      <c r="P352" s="1"/>
      <c r="Q352" s="1"/>
    </row>
    <row r="353" ht="15.75" customHeight="1">
      <c r="A353" s="1"/>
      <c r="B353" s="1"/>
      <c r="C353" s="1"/>
      <c r="D353" s="1"/>
      <c r="E353" s="1"/>
      <c r="F353" s="1"/>
      <c r="G353" s="1"/>
      <c r="H353" s="1"/>
      <c r="I353" s="1"/>
      <c r="J353" s="1"/>
      <c r="K353" s="1"/>
      <c r="L353" s="1"/>
      <c r="M353" s="1"/>
      <c r="N353" s="1"/>
      <c r="O353" s="1"/>
      <c r="P353" s="1"/>
      <c r="Q353" s="1"/>
    </row>
    <row r="354" ht="15.75" customHeight="1">
      <c r="A354" s="1"/>
      <c r="B354" s="1"/>
      <c r="C354" s="1"/>
      <c r="D354" s="1"/>
      <c r="E354" s="1"/>
      <c r="F354" s="1"/>
      <c r="G354" s="1"/>
      <c r="H354" s="1"/>
      <c r="I354" s="1"/>
      <c r="J354" s="1"/>
      <c r="K354" s="1"/>
      <c r="L354" s="1"/>
      <c r="M354" s="1"/>
      <c r="N354" s="1"/>
      <c r="O354" s="1"/>
      <c r="P354" s="1"/>
      <c r="Q354" s="1"/>
    </row>
    <row r="355" ht="15.75" customHeight="1">
      <c r="A355" s="1"/>
      <c r="B355" s="1"/>
      <c r="C355" s="1"/>
      <c r="D355" s="1"/>
      <c r="E355" s="1"/>
      <c r="F355" s="1"/>
      <c r="G355" s="1"/>
      <c r="H355" s="1"/>
      <c r="I355" s="1"/>
      <c r="J355" s="1"/>
      <c r="K355" s="1"/>
      <c r="L355" s="1"/>
      <c r="M355" s="1"/>
      <c r="N355" s="1"/>
      <c r="O355" s="1"/>
      <c r="P355" s="1"/>
      <c r="Q355" s="1"/>
    </row>
    <row r="356" ht="15.75" customHeight="1">
      <c r="A356" s="1"/>
      <c r="B356" s="1"/>
      <c r="C356" s="1"/>
      <c r="D356" s="1"/>
      <c r="E356" s="1"/>
      <c r="F356" s="1"/>
      <c r="G356" s="1"/>
      <c r="H356" s="1"/>
      <c r="I356" s="1"/>
      <c r="J356" s="1"/>
      <c r="K356" s="1"/>
      <c r="L356" s="1"/>
      <c r="M356" s="1"/>
      <c r="N356" s="1"/>
      <c r="O356" s="1"/>
      <c r="P356" s="1"/>
      <c r="Q356" s="1"/>
    </row>
    <row r="357" ht="15.75" customHeight="1">
      <c r="A357" s="1"/>
      <c r="B357" s="1"/>
      <c r="C357" s="1"/>
      <c r="D357" s="1"/>
      <c r="E357" s="1"/>
      <c r="F357" s="1"/>
      <c r="G357" s="1"/>
      <c r="H357" s="1"/>
      <c r="I357" s="1"/>
      <c r="J357" s="1"/>
      <c r="K357" s="1"/>
      <c r="L357" s="1"/>
      <c r="M357" s="1"/>
      <c r="N357" s="1"/>
      <c r="O357" s="1"/>
      <c r="P357" s="1"/>
      <c r="Q357" s="1"/>
    </row>
    <row r="358" ht="15.75" customHeight="1">
      <c r="A358" s="1"/>
      <c r="B358" s="1"/>
      <c r="C358" s="1"/>
      <c r="D358" s="1"/>
      <c r="E358" s="1"/>
      <c r="F358" s="1"/>
      <c r="G358" s="1"/>
      <c r="H358" s="1"/>
      <c r="I358" s="1"/>
      <c r="J358" s="1"/>
      <c r="K358" s="1"/>
      <c r="L358" s="1"/>
      <c r="M358" s="1"/>
      <c r="N358" s="1"/>
      <c r="O358" s="1"/>
      <c r="P358" s="1"/>
      <c r="Q358" s="1"/>
    </row>
    <row r="359" ht="15.75" customHeight="1">
      <c r="A359" s="1"/>
      <c r="B359" s="1"/>
      <c r="C359" s="1"/>
      <c r="D359" s="1"/>
      <c r="E359" s="1"/>
      <c r="F359" s="1"/>
      <c r="G359" s="1"/>
      <c r="H359" s="1"/>
      <c r="I359" s="1"/>
      <c r="J359" s="1"/>
      <c r="K359" s="1"/>
      <c r="L359" s="1"/>
      <c r="M359" s="1"/>
      <c r="N359" s="1"/>
      <c r="O359" s="1"/>
      <c r="P359" s="1"/>
      <c r="Q359" s="1"/>
    </row>
    <row r="360" ht="15.75" customHeight="1">
      <c r="A360" s="1"/>
      <c r="B360" s="1"/>
      <c r="C360" s="1"/>
      <c r="D360" s="1"/>
      <c r="E360" s="1"/>
      <c r="F360" s="1"/>
      <c r="G360" s="1"/>
      <c r="H360" s="1"/>
      <c r="I360" s="1"/>
      <c r="J360" s="1"/>
      <c r="K360" s="1"/>
      <c r="L360" s="1"/>
      <c r="M360" s="1"/>
      <c r="N360" s="1"/>
      <c r="O360" s="1"/>
      <c r="P360" s="1"/>
      <c r="Q360" s="1"/>
    </row>
    <row r="361" ht="15.75" customHeight="1">
      <c r="A361" s="1"/>
      <c r="B361" s="1"/>
      <c r="C361" s="1"/>
      <c r="D361" s="1"/>
      <c r="E361" s="1"/>
      <c r="F361" s="1"/>
      <c r="G361" s="1"/>
      <c r="H361" s="1"/>
      <c r="I361" s="1"/>
      <c r="J361" s="1"/>
      <c r="K361" s="1"/>
      <c r="L361" s="1"/>
      <c r="M361" s="1"/>
      <c r="N361" s="1"/>
      <c r="O361" s="1"/>
      <c r="P361" s="1"/>
      <c r="Q361" s="1"/>
    </row>
    <row r="362" ht="15.75" customHeight="1">
      <c r="A362" s="1"/>
      <c r="B362" s="1"/>
      <c r="C362" s="1"/>
      <c r="D362" s="1"/>
      <c r="E362" s="1"/>
      <c r="F362" s="1"/>
      <c r="G362" s="1"/>
      <c r="H362" s="1"/>
      <c r="I362" s="1"/>
      <c r="J362" s="1"/>
      <c r="K362" s="1"/>
      <c r="L362" s="1"/>
      <c r="M362" s="1"/>
      <c r="N362" s="1"/>
      <c r="O362" s="1"/>
      <c r="P362" s="1"/>
      <c r="Q362" s="1"/>
    </row>
    <row r="363" ht="15.75" customHeight="1">
      <c r="A363" s="1"/>
      <c r="B363" s="1"/>
      <c r="C363" s="1"/>
      <c r="D363" s="1"/>
      <c r="E363" s="1"/>
      <c r="F363" s="1"/>
      <c r="G363" s="1"/>
      <c r="H363" s="1"/>
      <c r="I363" s="1"/>
      <c r="J363" s="1"/>
      <c r="K363" s="1"/>
      <c r="L363" s="1"/>
      <c r="M363" s="1"/>
      <c r="N363" s="1"/>
      <c r="O363" s="1"/>
      <c r="P363" s="1"/>
      <c r="Q363" s="1"/>
    </row>
    <row r="364" ht="15.75" customHeight="1">
      <c r="A364" s="1"/>
      <c r="B364" s="1"/>
      <c r="C364" s="1"/>
      <c r="D364" s="1"/>
      <c r="E364" s="1"/>
      <c r="F364" s="1"/>
      <c r="G364" s="1"/>
      <c r="H364" s="1"/>
      <c r="I364" s="1"/>
      <c r="J364" s="1"/>
      <c r="K364" s="1"/>
      <c r="L364" s="1"/>
      <c r="M364" s="1"/>
      <c r="N364" s="1"/>
      <c r="O364" s="1"/>
      <c r="P364" s="1"/>
      <c r="Q364" s="1"/>
    </row>
    <row r="365" ht="15.75" customHeight="1">
      <c r="A365" s="1"/>
      <c r="B365" s="1"/>
      <c r="C365" s="1"/>
      <c r="D365" s="1"/>
      <c r="E365" s="1"/>
      <c r="F365" s="1"/>
      <c r="G365" s="1"/>
      <c r="H365" s="1"/>
      <c r="I365" s="1"/>
      <c r="J365" s="1"/>
      <c r="K365" s="1"/>
      <c r="L365" s="1"/>
      <c r="M365" s="1"/>
      <c r="N365" s="1"/>
      <c r="O365" s="1"/>
      <c r="P365" s="1"/>
      <c r="Q365" s="1"/>
    </row>
    <row r="366" ht="15.75" customHeight="1">
      <c r="A366" s="1"/>
      <c r="B366" s="1"/>
      <c r="C366" s="1"/>
      <c r="D366" s="1"/>
      <c r="E366" s="1"/>
      <c r="F366" s="1"/>
      <c r="G366" s="1"/>
      <c r="H366" s="1"/>
      <c r="I366" s="1"/>
      <c r="J366" s="1"/>
      <c r="K366" s="1"/>
      <c r="L366" s="1"/>
      <c r="M366" s="1"/>
      <c r="N366" s="1"/>
      <c r="O366" s="1"/>
      <c r="P366" s="1"/>
      <c r="Q366" s="1"/>
    </row>
    <row r="367" ht="15.75" customHeight="1">
      <c r="A367" s="1"/>
      <c r="B367" s="1"/>
      <c r="C367" s="1"/>
      <c r="D367" s="1"/>
      <c r="E367" s="1"/>
      <c r="F367" s="1"/>
      <c r="G367" s="1"/>
      <c r="H367" s="1"/>
      <c r="I367" s="1"/>
      <c r="J367" s="1"/>
      <c r="K367" s="1"/>
      <c r="L367" s="1"/>
      <c r="M367" s="1"/>
      <c r="N367" s="1"/>
      <c r="O367" s="1"/>
      <c r="P367" s="1"/>
      <c r="Q367" s="1"/>
    </row>
    <row r="368" ht="15.75" customHeight="1">
      <c r="A368" s="1"/>
      <c r="B368" s="1"/>
      <c r="C368" s="1"/>
      <c r="D368" s="1"/>
      <c r="E368" s="1"/>
      <c r="F368" s="1"/>
      <c r="G368" s="1"/>
      <c r="H368" s="1"/>
      <c r="I368" s="1"/>
      <c r="J368" s="1"/>
      <c r="K368" s="1"/>
      <c r="L368" s="1"/>
      <c r="M368" s="1"/>
      <c r="N368" s="1"/>
      <c r="O368" s="1"/>
      <c r="P368" s="1"/>
      <c r="Q368" s="1"/>
    </row>
    <row r="369" ht="15.75" customHeight="1">
      <c r="A369" s="1"/>
      <c r="B369" s="1"/>
      <c r="C369" s="1"/>
      <c r="D369" s="1"/>
      <c r="E369" s="1"/>
      <c r="F369" s="1"/>
      <c r="G369" s="1"/>
      <c r="H369" s="1"/>
      <c r="I369" s="1"/>
      <c r="J369" s="1"/>
      <c r="K369" s="1"/>
      <c r="L369" s="1"/>
      <c r="M369" s="1"/>
      <c r="N369" s="1"/>
      <c r="O369" s="1"/>
      <c r="P369" s="1"/>
      <c r="Q369" s="1"/>
    </row>
    <row r="370" ht="15.75" customHeight="1">
      <c r="A370" s="1"/>
      <c r="B370" s="1"/>
      <c r="C370" s="1"/>
      <c r="D370" s="1"/>
      <c r="E370" s="1"/>
      <c r="F370" s="1"/>
      <c r="G370" s="1"/>
      <c r="H370" s="1"/>
      <c r="I370" s="1"/>
      <c r="J370" s="1"/>
      <c r="K370" s="1"/>
      <c r="L370" s="1"/>
      <c r="M370" s="1"/>
      <c r="N370" s="1"/>
      <c r="O370" s="1"/>
      <c r="P370" s="1"/>
      <c r="Q370" s="1"/>
    </row>
    <row r="371" ht="15.75" customHeight="1">
      <c r="A371" s="1"/>
      <c r="B371" s="1"/>
      <c r="C371" s="1"/>
      <c r="D371" s="1"/>
      <c r="E371" s="1"/>
      <c r="F371" s="1"/>
      <c r="G371" s="1"/>
      <c r="H371" s="1"/>
      <c r="I371" s="1"/>
      <c r="J371" s="1"/>
      <c r="K371" s="1"/>
      <c r="L371" s="1"/>
      <c r="M371" s="1"/>
      <c r="N371" s="1"/>
      <c r="O371" s="1"/>
      <c r="P371" s="1"/>
      <c r="Q371" s="1"/>
    </row>
    <row r="372" ht="15.75" customHeight="1">
      <c r="A372" s="1"/>
      <c r="B372" s="1"/>
      <c r="C372" s="1"/>
      <c r="D372" s="1"/>
      <c r="E372" s="1"/>
      <c r="F372" s="1"/>
      <c r="G372" s="1"/>
      <c r="H372" s="1"/>
      <c r="I372" s="1"/>
      <c r="J372" s="1"/>
      <c r="K372" s="1"/>
      <c r="L372" s="1"/>
      <c r="M372" s="1"/>
      <c r="N372" s="1"/>
      <c r="O372" s="1"/>
      <c r="P372" s="1"/>
      <c r="Q372" s="1"/>
    </row>
    <row r="373" ht="15.75" customHeight="1">
      <c r="A373" s="1"/>
      <c r="B373" s="1"/>
      <c r="C373" s="1"/>
      <c r="D373" s="1"/>
      <c r="E373" s="1"/>
      <c r="F373" s="1"/>
      <c r="G373" s="1"/>
      <c r="H373" s="1"/>
      <c r="I373" s="1"/>
      <c r="J373" s="1"/>
      <c r="K373" s="1"/>
      <c r="L373" s="1"/>
      <c r="M373" s="1"/>
      <c r="N373" s="1"/>
      <c r="O373" s="1"/>
      <c r="P373" s="1"/>
      <c r="Q373" s="1"/>
    </row>
    <row r="374" ht="15.75" customHeight="1">
      <c r="A374" s="1"/>
      <c r="B374" s="1"/>
      <c r="C374" s="1"/>
      <c r="D374" s="1"/>
      <c r="E374" s="1"/>
      <c r="F374" s="1"/>
      <c r="G374" s="1"/>
      <c r="H374" s="1"/>
      <c r="I374" s="1"/>
      <c r="J374" s="1"/>
      <c r="K374" s="1"/>
      <c r="L374" s="1"/>
      <c r="M374" s="1"/>
      <c r="N374" s="1"/>
      <c r="O374" s="1"/>
      <c r="P374" s="1"/>
      <c r="Q374" s="1"/>
    </row>
    <row r="375" ht="15.75" customHeight="1">
      <c r="A375" s="1"/>
      <c r="B375" s="1"/>
      <c r="C375" s="1"/>
      <c r="D375" s="1"/>
      <c r="E375" s="1"/>
      <c r="F375" s="1"/>
      <c r="G375" s="1"/>
      <c r="H375" s="1"/>
      <c r="I375" s="1"/>
      <c r="J375" s="1"/>
      <c r="K375" s="1"/>
      <c r="L375" s="1"/>
      <c r="M375" s="1"/>
      <c r="N375" s="1"/>
      <c r="O375" s="1"/>
      <c r="P375" s="1"/>
      <c r="Q375" s="1"/>
    </row>
    <row r="376" ht="15.75" customHeight="1">
      <c r="A376" s="1"/>
      <c r="B376" s="1"/>
      <c r="C376" s="1"/>
      <c r="D376" s="1"/>
      <c r="E376" s="1"/>
      <c r="F376" s="1"/>
      <c r="G376" s="1"/>
      <c r="H376" s="1"/>
      <c r="I376" s="1"/>
      <c r="J376" s="1"/>
      <c r="K376" s="1"/>
      <c r="L376" s="1"/>
      <c r="M376" s="1"/>
      <c r="N376" s="1"/>
      <c r="O376" s="1"/>
      <c r="P376" s="1"/>
      <c r="Q376" s="1"/>
    </row>
    <row r="377" ht="15.75" customHeight="1">
      <c r="A377" s="1"/>
      <c r="B377" s="1"/>
      <c r="C377" s="1"/>
      <c r="D377" s="1"/>
      <c r="E377" s="1"/>
      <c r="F377" s="1"/>
      <c r="G377" s="1"/>
      <c r="H377" s="1"/>
      <c r="I377" s="1"/>
      <c r="J377" s="1"/>
      <c r="K377" s="1"/>
      <c r="L377" s="1"/>
      <c r="M377" s="1"/>
      <c r="N377" s="1"/>
      <c r="O377" s="1"/>
      <c r="P377" s="1"/>
      <c r="Q377" s="1"/>
    </row>
    <row r="378" ht="15.75" customHeight="1">
      <c r="A378" s="1"/>
      <c r="B378" s="1"/>
      <c r="C378" s="1"/>
      <c r="D378" s="1"/>
      <c r="E378" s="1"/>
      <c r="F378" s="1"/>
      <c r="G378" s="1"/>
      <c r="H378" s="1"/>
      <c r="I378" s="1"/>
      <c r="J378" s="1"/>
      <c r="K378" s="1"/>
      <c r="L378" s="1"/>
      <c r="M378" s="1"/>
      <c r="N378" s="1"/>
      <c r="O378" s="1"/>
      <c r="P378" s="1"/>
      <c r="Q378" s="1"/>
    </row>
    <row r="379" ht="15.75" customHeight="1">
      <c r="A379" s="1"/>
      <c r="B379" s="1"/>
      <c r="C379" s="1"/>
      <c r="D379" s="1"/>
      <c r="E379" s="1"/>
      <c r="F379" s="1"/>
      <c r="G379" s="1"/>
      <c r="H379" s="1"/>
      <c r="I379" s="1"/>
      <c r="J379" s="1"/>
      <c r="K379" s="1"/>
      <c r="L379" s="1"/>
      <c r="M379" s="1"/>
      <c r="N379" s="1"/>
      <c r="O379" s="1"/>
      <c r="P379" s="1"/>
      <c r="Q379" s="1"/>
    </row>
    <row r="380" ht="15.75" customHeight="1">
      <c r="A380" s="1"/>
      <c r="B380" s="1"/>
      <c r="C380" s="1"/>
      <c r="D380" s="1"/>
      <c r="E380" s="1"/>
      <c r="F380" s="1"/>
      <c r="G380" s="1"/>
      <c r="H380" s="1"/>
      <c r="I380" s="1"/>
      <c r="J380" s="1"/>
      <c r="K380" s="1"/>
      <c r="L380" s="1"/>
      <c r="M380" s="1"/>
      <c r="N380" s="1"/>
      <c r="O380" s="1"/>
      <c r="P380" s="1"/>
      <c r="Q380" s="1"/>
    </row>
    <row r="381" ht="15.75" customHeight="1">
      <c r="A381" s="1"/>
      <c r="B381" s="1"/>
      <c r="C381" s="1"/>
      <c r="D381" s="1"/>
      <c r="E381" s="1"/>
      <c r="F381" s="1"/>
      <c r="G381" s="1"/>
      <c r="H381" s="1"/>
      <c r="I381" s="1"/>
      <c r="J381" s="1"/>
      <c r="K381" s="1"/>
      <c r="L381" s="1"/>
      <c r="M381" s="1"/>
      <c r="N381" s="1"/>
      <c r="O381" s="1"/>
      <c r="P381" s="1"/>
      <c r="Q381" s="1"/>
    </row>
    <row r="382" ht="15.75" customHeight="1">
      <c r="A382" s="1"/>
      <c r="B382" s="1"/>
      <c r="C382" s="1"/>
      <c r="D382" s="1"/>
      <c r="E382" s="1"/>
      <c r="F382" s="1"/>
      <c r="G382" s="1"/>
      <c r="H382" s="1"/>
      <c r="I382" s="1"/>
      <c r="J382" s="1"/>
      <c r="K382" s="1"/>
      <c r="L382" s="1"/>
      <c r="M382" s="1"/>
      <c r="N382" s="1"/>
      <c r="O382" s="1"/>
      <c r="P382" s="1"/>
      <c r="Q382" s="1"/>
    </row>
    <row r="383" ht="15.75" customHeight="1">
      <c r="A383" s="1"/>
      <c r="B383" s="1"/>
      <c r="C383" s="1"/>
      <c r="D383" s="1"/>
      <c r="E383" s="1"/>
      <c r="F383" s="1"/>
      <c r="G383" s="1"/>
      <c r="H383" s="1"/>
      <c r="I383" s="1"/>
      <c r="J383" s="1"/>
      <c r="K383" s="1"/>
      <c r="L383" s="1"/>
      <c r="M383" s="1"/>
      <c r="N383" s="1"/>
      <c r="O383" s="1"/>
      <c r="P383" s="1"/>
      <c r="Q383" s="1"/>
    </row>
    <row r="384" ht="15.75" customHeight="1">
      <c r="A384" s="1"/>
      <c r="B384" s="1"/>
      <c r="C384" s="1"/>
      <c r="D384" s="1"/>
      <c r="E384" s="1"/>
      <c r="F384" s="1"/>
      <c r="G384" s="1"/>
      <c r="H384" s="1"/>
      <c r="I384" s="1"/>
      <c r="J384" s="1"/>
      <c r="K384" s="1"/>
      <c r="L384" s="1"/>
      <c r="M384" s="1"/>
      <c r="N384" s="1"/>
      <c r="O384" s="1"/>
      <c r="P384" s="1"/>
      <c r="Q384" s="1"/>
    </row>
    <row r="385" ht="15.75" customHeight="1">
      <c r="A385" s="1"/>
      <c r="B385" s="1"/>
      <c r="C385" s="1"/>
      <c r="D385" s="1"/>
      <c r="E385" s="1"/>
      <c r="F385" s="1"/>
      <c r="G385" s="1"/>
      <c r="H385" s="1"/>
      <c r="I385" s="1"/>
      <c r="J385" s="1"/>
      <c r="K385" s="1"/>
      <c r="L385" s="1"/>
      <c r="M385" s="1"/>
      <c r="N385" s="1"/>
      <c r="O385" s="1"/>
      <c r="P385" s="1"/>
      <c r="Q385" s="1"/>
    </row>
    <row r="386" ht="15.75" customHeight="1">
      <c r="A386" s="1"/>
      <c r="B386" s="1"/>
      <c r="C386" s="1"/>
      <c r="D386" s="1"/>
      <c r="E386" s="1"/>
      <c r="F386" s="1"/>
      <c r="G386" s="1"/>
      <c r="H386" s="1"/>
      <c r="I386" s="1"/>
      <c r="J386" s="1"/>
      <c r="K386" s="1"/>
      <c r="L386" s="1"/>
      <c r="M386" s="1"/>
      <c r="N386" s="1"/>
      <c r="O386" s="1"/>
      <c r="P386" s="1"/>
      <c r="Q386" s="1"/>
    </row>
    <row r="387" ht="15.75" customHeight="1">
      <c r="A387" s="1"/>
      <c r="B387" s="1"/>
      <c r="C387" s="1"/>
      <c r="D387" s="1"/>
      <c r="E387" s="1"/>
      <c r="F387" s="1"/>
      <c r="G387" s="1"/>
      <c r="H387" s="1"/>
      <c r="I387" s="1"/>
      <c r="J387" s="1"/>
      <c r="K387" s="1"/>
      <c r="L387" s="1"/>
      <c r="M387" s="1"/>
      <c r="N387" s="1"/>
      <c r="O387" s="1"/>
      <c r="P387" s="1"/>
      <c r="Q387" s="1"/>
    </row>
    <row r="388" ht="15.75" customHeight="1">
      <c r="A388" s="1"/>
      <c r="B388" s="1"/>
      <c r="C388" s="1"/>
      <c r="D388" s="1"/>
      <c r="E388" s="1"/>
      <c r="F388" s="1"/>
      <c r="G388" s="1"/>
      <c r="H388" s="1"/>
      <c r="I388" s="1"/>
      <c r="J388" s="1"/>
      <c r="K388" s="1"/>
      <c r="L388" s="1"/>
      <c r="M388" s="1"/>
      <c r="N388" s="1"/>
      <c r="O388" s="1"/>
      <c r="P388" s="1"/>
      <c r="Q388" s="1"/>
    </row>
    <row r="389" ht="15.75" customHeight="1">
      <c r="A389" s="1"/>
      <c r="B389" s="1"/>
      <c r="C389" s="1"/>
      <c r="D389" s="1"/>
      <c r="E389" s="1"/>
      <c r="F389" s="1"/>
      <c r="G389" s="1"/>
      <c r="H389" s="1"/>
      <c r="I389" s="1"/>
      <c r="J389" s="1"/>
      <c r="K389" s="1"/>
      <c r="L389" s="1"/>
      <c r="M389" s="1"/>
      <c r="N389" s="1"/>
      <c r="O389" s="1"/>
      <c r="P389" s="1"/>
      <c r="Q389" s="1"/>
    </row>
    <row r="390" ht="15.75" customHeight="1">
      <c r="A390" s="1"/>
      <c r="B390" s="1"/>
      <c r="C390" s="1"/>
      <c r="D390" s="1"/>
      <c r="E390" s="1"/>
      <c r="F390" s="1"/>
      <c r="G390" s="1"/>
      <c r="H390" s="1"/>
      <c r="I390" s="1"/>
      <c r="J390" s="1"/>
      <c r="K390" s="1"/>
      <c r="L390" s="1"/>
      <c r="M390" s="1"/>
      <c r="N390" s="1"/>
      <c r="O390" s="1"/>
      <c r="P390" s="1"/>
      <c r="Q390" s="1"/>
    </row>
    <row r="391" ht="15.75" customHeight="1">
      <c r="A391" s="1"/>
      <c r="B391" s="1"/>
      <c r="C391" s="1"/>
      <c r="D391" s="1"/>
      <c r="E391" s="1"/>
      <c r="F391" s="1"/>
      <c r="G391" s="1"/>
      <c r="H391" s="1"/>
      <c r="I391" s="1"/>
      <c r="J391" s="1"/>
      <c r="K391" s="1"/>
      <c r="L391" s="1"/>
      <c r="M391" s="1"/>
      <c r="N391" s="1"/>
      <c r="O391" s="1"/>
      <c r="P391" s="1"/>
      <c r="Q391" s="1"/>
    </row>
    <row r="392" ht="15.75" customHeight="1">
      <c r="A392" s="1"/>
      <c r="B392" s="1"/>
      <c r="C392" s="1"/>
      <c r="D392" s="1"/>
      <c r="E392" s="1"/>
      <c r="F392" s="1"/>
      <c r="G392" s="1"/>
      <c r="H392" s="1"/>
      <c r="I392" s="1"/>
      <c r="J392" s="1"/>
      <c r="K392" s="1"/>
      <c r="L392" s="1"/>
      <c r="M392" s="1"/>
      <c r="N392" s="1"/>
      <c r="O392" s="1"/>
      <c r="P392" s="1"/>
      <c r="Q392" s="1"/>
    </row>
    <row r="393" ht="15.75" customHeight="1">
      <c r="A393" s="1"/>
      <c r="B393" s="1"/>
      <c r="C393" s="1"/>
      <c r="D393" s="1"/>
      <c r="E393" s="1"/>
      <c r="F393" s="1"/>
      <c r="G393" s="1"/>
      <c r="H393" s="1"/>
      <c r="I393" s="1"/>
      <c r="J393" s="1"/>
      <c r="K393" s="1"/>
      <c r="L393" s="1"/>
      <c r="M393" s="1"/>
      <c r="N393" s="1"/>
      <c r="O393" s="1"/>
      <c r="P393" s="1"/>
      <c r="Q393" s="1"/>
    </row>
    <row r="394" ht="15.75" customHeight="1">
      <c r="A394" s="1"/>
      <c r="B394" s="1"/>
      <c r="C394" s="1"/>
      <c r="D394" s="1"/>
      <c r="E394" s="1"/>
      <c r="F394" s="1"/>
      <c r="G394" s="1"/>
      <c r="H394" s="1"/>
      <c r="I394" s="1"/>
      <c r="J394" s="1"/>
      <c r="K394" s="1"/>
      <c r="L394" s="1"/>
      <c r="M394" s="1"/>
      <c r="N394" s="1"/>
      <c r="O394" s="1"/>
      <c r="P394" s="1"/>
      <c r="Q394" s="1"/>
    </row>
    <row r="395" ht="15.75" customHeight="1">
      <c r="A395" s="1"/>
      <c r="B395" s="1"/>
      <c r="C395" s="1"/>
      <c r="D395" s="1"/>
      <c r="E395" s="1"/>
      <c r="F395" s="1"/>
      <c r="G395" s="1"/>
      <c r="H395" s="1"/>
      <c r="I395" s="1"/>
      <c r="J395" s="1"/>
      <c r="K395" s="1"/>
      <c r="L395" s="1"/>
      <c r="M395" s="1"/>
      <c r="N395" s="1"/>
      <c r="O395" s="1"/>
      <c r="P395" s="1"/>
      <c r="Q395" s="1"/>
    </row>
    <row r="396" ht="15.75" customHeight="1">
      <c r="A396" s="1"/>
      <c r="B396" s="1"/>
      <c r="C396" s="1"/>
      <c r="D396" s="1"/>
      <c r="E396" s="1"/>
      <c r="F396" s="1"/>
      <c r="G396" s="1"/>
      <c r="H396" s="1"/>
      <c r="I396" s="1"/>
      <c r="J396" s="1"/>
      <c r="K396" s="1"/>
      <c r="L396" s="1"/>
      <c r="M396" s="1"/>
      <c r="N396" s="1"/>
      <c r="O396" s="1"/>
      <c r="P396" s="1"/>
      <c r="Q396" s="1"/>
    </row>
    <row r="397" ht="15.75" customHeight="1">
      <c r="A397" s="1"/>
      <c r="B397" s="1"/>
      <c r="C397" s="1"/>
      <c r="D397" s="1"/>
      <c r="E397" s="1"/>
      <c r="F397" s="1"/>
      <c r="G397" s="1"/>
      <c r="H397" s="1"/>
      <c r="I397" s="1"/>
      <c r="J397" s="1"/>
      <c r="K397" s="1"/>
      <c r="L397" s="1"/>
      <c r="M397" s="1"/>
      <c r="N397" s="1"/>
      <c r="O397" s="1"/>
      <c r="P397" s="1"/>
      <c r="Q397" s="1"/>
    </row>
    <row r="398" ht="15.75" customHeight="1">
      <c r="A398" s="1"/>
      <c r="B398" s="1"/>
      <c r="C398" s="1"/>
      <c r="D398" s="1"/>
      <c r="E398" s="1"/>
      <c r="F398" s="1"/>
      <c r="G398" s="1"/>
      <c r="H398" s="1"/>
      <c r="I398" s="1"/>
      <c r="J398" s="1"/>
      <c r="K398" s="1"/>
      <c r="L398" s="1"/>
      <c r="M398" s="1"/>
      <c r="N398" s="1"/>
      <c r="O398" s="1"/>
      <c r="P398" s="1"/>
      <c r="Q398" s="1"/>
    </row>
    <row r="399" ht="15.75" customHeight="1">
      <c r="A399" s="1"/>
      <c r="B399" s="1"/>
      <c r="C399" s="1"/>
      <c r="D399" s="1"/>
      <c r="E399" s="1"/>
      <c r="F399" s="1"/>
      <c r="G399" s="1"/>
      <c r="H399" s="1"/>
      <c r="I399" s="1"/>
      <c r="J399" s="1"/>
      <c r="K399" s="1"/>
      <c r="L399" s="1"/>
      <c r="M399" s="1"/>
      <c r="N399" s="1"/>
      <c r="O399" s="1"/>
      <c r="P399" s="1"/>
      <c r="Q399" s="1"/>
    </row>
    <row r="400" ht="15.75" customHeight="1">
      <c r="A400" s="1"/>
      <c r="B400" s="1"/>
      <c r="C400" s="1"/>
      <c r="D400" s="1"/>
      <c r="E400" s="1"/>
      <c r="F400" s="1"/>
      <c r="G400" s="1"/>
      <c r="H400" s="1"/>
      <c r="I400" s="1"/>
      <c r="J400" s="1"/>
      <c r="K400" s="1"/>
      <c r="L400" s="1"/>
      <c r="M400" s="1"/>
      <c r="N400" s="1"/>
      <c r="O400" s="1"/>
      <c r="P400" s="1"/>
      <c r="Q400" s="1"/>
    </row>
    <row r="401" ht="15.75" customHeight="1">
      <c r="A401" s="1"/>
      <c r="B401" s="1"/>
      <c r="C401" s="1"/>
      <c r="D401" s="1"/>
      <c r="E401" s="1"/>
      <c r="F401" s="1"/>
      <c r="G401" s="1"/>
      <c r="H401" s="1"/>
      <c r="I401" s="1"/>
      <c r="J401" s="1"/>
      <c r="K401" s="1"/>
      <c r="L401" s="1"/>
      <c r="M401" s="1"/>
      <c r="N401" s="1"/>
      <c r="O401" s="1"/>
      <c r="P401" s="1"/>
      <c r="Q401" s="1"/>
    </row>
    <row r="402" ht="15.75" customHeight="1">
      <c r="A402" s="1"/>
      <c r="B402" s="1"/>
      <c r="C402" s="1"/>
      <c r="D402" s="1"/>
      <c r="E402" s="1"/>
      <c r="F402" s="1"/>
      <c r="G402" s="1"/>
      <c r="H402" s="1"/>
      <c r="I402" s="1"/>
      <c r="J402" s="1"/>
      <c r="K402" s="1"/>
      <c r="L402" s="1"/>
      <c r="M402" s="1"/>
      <c r="N402" s="1"/>
      <c r="O402" s="1"/>
      <c r="P402" s="1"/>
      <c r="Q402" s="1"/>
    </row>
    <row r="403" ht="15.75" customHeight="1">
      <c r="A403" s="1"/>
      <c r="B403" s="1"/>
      <c r="C403" s="1"/>
      <c r="D403" s="1"/>
      <c r="E403" s="1"/>
      <c r="F403" s="1"/>
      <c r="G403" s="1"/>
      <c r="H403" s="1"/>
      <c r="I403" s="1"/>
      <c r="J403" s="1"/>
      <c r="K403" s="1"/>
      <c r="L403" s="1"/>
      <c r="M403" s="1"/>
      <c r="N403" s="1"/>
      <c r="O403" s="1"/>
      <c r="P403" s="1"/>
      <c r="Q403" s="1"/>
    </row>
    <row r="404" ht="15.75" customHeight="1">
      <c r="A404" s="1"/>
      <c r="B404" s="1"/>
      <c r="C404" s="1"/>
      <c r="D404" s="1"/>
      <c r="E404" s="1"/>
      <c r="F404" s="1"/>
      <c r="G404" s="1"/>
      <c r="H404" s="1"/>
      <c r="I404" s="1"/>
      <c r="J404" s="1"/>
      <c r="K404" s="1"/>
      <c r="L404" s="1"/>
      <c r="M404" s="1"/>
      <c r="N404" s="1"/>
      <c r="O404" s="1"/>
      <c r="P404" s="1"/>
      <c r="Q404" s="1"/>
    </row>
    <row r="405" ht="15.75" customHeight="1">
      <c r="A405" s="1"/>
      <c r="B405" s="1"/>
      <c r="C405" s="1"/>
      <c r="D405" s="1"/>
      <c r="E405" s="1"/>
      <c r="F405" s="1"/>
      <c r="G405" s="1"/>
      <c r="H405" s="1"/>
      <c r="I405" s="1"/>
      <c r="J405" s="1"/>
      <c r="K405" s="1"/>
      <c r="L405" s="1"/>
      <c r="M405" s="1"/>
      <c r="N405" s="1"/>
      <c r="O405" s="1"/>
      <c r="P405" s="1"/>
      <c r="Q405" s="1"/>
    </row>
    <row r="406" ht="15.75" customHeight="1">
      <c r="A406" s="1"/>
      <c r="B406" s="1"/>
      <c r="C406" s="1"/>
      <c r="D406" s="1"/>
      <c r="E406" s="1"/>
      <c r="F406" s="1"/>
      <c r="G406" s="1"/>
      <c r="H406" s="1"/>
      <c r="I406" s="1"/>
      <c r="J406" s="1"/>
      <c r="K406" s="1"/>
      <c r="L406" s="1"/>
      <c r="M406" s="1"/>
      <c r="N406" s="1"/>
      <c r="O406" s="1"/>
      <c r="P406" s="1"/>
      <c r="Q406" s="1"/>
    </row>
    <row r="407" ht="15.75" customHeight="1">
      <c r="A407" s="1"/>
      <c r="B407" s="1"/>
      <c r="C407" s="1"/>
      <c r="D407" s="1"/>
      <c r="E407" s="1"/>
      <c r="F407" s="1"/>
      <c r="G407" s="1"/>
      <c r="H407" s="1"/>
      <c r="I407" s="1"/>
      <c r="J407" s="1"/>
      <c r="K407" s="1"/>
      <c r="L407" s="1"/>
      <c r="M407" s="1"/>
      <c r="N407" s="1"/>
      <c r="O407" s="1"/>
      <c r="P407" s="1"/>
      <c r="Q407" s="1"/>
    </row>
    <row r="408" ht="15.75" customHeight="1">
      <c r="A408" s="1"/>
      <c r="B408" s="1"/>
      <c r="C408" s="1"/>
      <c r="D408" s="1"/>
      <c r="E408" s="1"/>
      <c r="F408" s="1"/>
      <c r="G408" s="1"/>
      <c r="H408" s="1"/>
      <c r="I408" s="1"/>
      <c r="J408" s="1"/>
      <c r="K408" s="1"/>
      <c r="L408" s="1"/>
      <c r="M408" s="1"/>
      <c r="N408" s="1"/>
      <c r="O408" s="1"/>
      <c r="P408" s="1"/>
      <c r="Q408" s="1"/>
    </row>
    <row r="409" ht="15.75" customHeight="1">
      <c r="A409" s="1"/>
      <c r="B409" s="1"/>
      <c r="C409" s="1"/>
      <c r="D409" s="1"/>
      <c r="E409" s="1"/>
      <c r="F409" s="1"/>
      <c r="G409" s="1"/>
      <c r="H409" s="1"/>
      <c r="I409" s="1"/>
      <c r="J409" s="1"/>
      <c r="K409" s="1"/>
      <c r="L409" s="1"/>
      <c r="M409" s="1"/>
      <c r="N409" s="1"/>
      <c r="O409" s="1"/>
      <c r="P409" s="1"/>
      <c r="Q409" s="1"/>
    </row>
    <row r="410" ht="15.75" customHeight="1">
      <c r="A410" s="1"/>
      <c r="B410" s="1"/>
      <c r="C410" s="1"/>
      <c r="D410" s="1"/>
      <c r="E410" s="1"/>
      <c r="F410" s="1"/>
      <c r="G410" s="1"/>
      <c r="H410" s="1"/>
      <c r="I410" s="1"/>
      <c r="J410" s="1"/>
      <c r="K410" s="1"/>
      <c r="L410" s="1"/>
      <c r="M410" s="1"/>
      <c r="N410" s="1"/>
      <c r="O410" s="1"/>
      <c r="P410" s="1"/>
      <c r="Q410" s="1"/>
    </row>
    <row r="411" ht="15.75" customHeight="1">
      <c r="A411" s="1"/>
      <c r="B411" s="1"/>
      <c r="C411" s="1"/>
      <c r="D411" s="1"/>
      <c r="E411" s="1"/>
      <c r="F411" s="1"/>
      <c r="G411" s="1"/>
      <c r="H411" s="1"/>
      <c r="I411" s="1"/>
      <c r="J411" s="1"/>
      <c r="K411" s="1"/>
      <c r="L411" s="1"/>
      <c r="M411" s="1"/>
      <c r="N411" s="1"/>
      <c r="O411" s="1"/>
      <c r="P411" s="1"/>
      <c r="Q411" s="1"/>
    </row>
    <row r="412" ht="15.75" customHeight="1">
      <c r="A412" s="1"/>
      <c r="B412" s="1"/>
      <c r="C412" s="1"/>
      <c r="D412" s="1"/>
      <c r="E412" s="1"/>
      <c r="F412" s="1"/>
      <c r="G412" s="1"/>
      <c r="H412" s="1"/>
      <c r="I412" s="1"/>
      <c r="J412" s="1"/>
      <c r="K412" s="1"/>
      <c r="L412" s="1"/>
      <c r="M412" s="1"/>
      <c r="N412" s="1"/>
      <c r="O412" s="1"/>
      <c r="P412" s="1"/>
      <c r="Q412" s="1"/>
    </row>
    <row r="413" ht="15.75" customHeight="1">
      <c r="A413" s="1"/>
      <c r="B413" s="1"/>
      <c r="C413" s="1"/>
      <c r="D413" s="1"/>
      <c r="E413" s="1"/>
      <c r="F413" s="1"/>
      <c r="G413" s="1"/>
      <c r="H413" s="1"/>
      <c r="I413" s="1"/>
      <c r="J413" s="1"/>
      <c r="K413" s="1"/>
      <c r="L413" s="1"/>
      <c r="M413" s="1"/>
      <c r="N413" s="1"/>
      <c r="O413" s="1"/>
      <c r="P413" s="1"/>
      <c r="Q413" s="1"/>
    </row>
    <row r="414" ht="15.75" customHeight="1">
      <c r="A414" s="1"/>
      <c r="B414" s="1"/>
      <c r="C414" s="1"/>
      <c r="D414" s="1"/>
      <c r="E414" s="1"/>
      <c r="F414" s="1"/>
      <c r="G414" s="1"/>
      <c r="H414" s="1"/>
      <c r="I414" s="1"/>
      <c r="J414" s="1"/>
      <c r="K414" s="1"/>
      <c r="L414" s="1"/>
      <c r="M414" s="1"/>
      <c r="N414" s="1"/>
      <c r="O414" s="1"/>
      <c r="P414" s="1"/>
      <c r="Q414" s="1"/>
    </row>
    <row r="415" ht="15.75" customHeight="1">
      <c r="A415" s="1"/>
      <c r="B415" s="1"/>
      <c r="C415" s="1"/>
      <c r="D415" s="1"/>
      <c r="E415" s="1"/>
      <c r="F415" s="1"/>
      <c r="G415" s="1"/>
      <c r="H415" s="1"/>
      <c r="I415" s="1"/>
      <c r="J415" s="1"/>
      <c r="K415" s="1"/>
      <c r="L415" s="1"/>
      <c r="M415" s="1"/>
      <c r="N415" s="1"/>
      <c r="O415" s="1"/>
      <c r="P415" s="1"/>
      <c r="Q415" s="1"/>
    </row>
    <row r="416" ht="15.75" customHeight="1">
      <c r="A416" s="1"/>
      <c r="B416" s="1"/>
      <c r="C416" s="1"/>
      <c r="D416" s="1"/>
      <c r="E416" s="1"/>
      <c r="F416" s="1"/>
      <c r="G416" s="1"/>
      <c r="H416" s="1"/>
      <c r="I416" s="1"/>
      <c r="J416" s="1"/>
      <c r="K416" s="1"/>
      <c r="L416" s="1"/>
      <c r="M416" s="1"/>
      <c r="N416" s="1"/>
      <c r="O416" s="1"/>
      <c r="P416" s="1"/>
      <c r="Q416" s="1"/>
    </row>
    <row r="417" ht="15.75" customHeight="1">
      <c r="A417" s="1"/>
      <c r="B417" s="1"/>
      <c r="C417" s="1"/>
      <c r="D417" s="1"/>
      <c r="E417" s="1"/>
      <c r="F417" s="1"/>
      <c r="G417" s="1"/>
      <c r="H417" s="1"/>
      <c r="I417" s="1"/>
      <c r="J417" s="1"/>
      <c r="K417" s="1"/>
      <c r="L417" s="1"/>
      <c r="M417" s="1"/>
      <c r="N417" s="1"/>
      <c r="O417" s="1"/>
      <c r="P417" s="1"/>
      <c r="Q417" s="1"/>
    </row>
    <row r="418" ht="15.75" customHeight="1">
      <c r="A418" s="1"/>
      <c r="B418" s="1"/>
      <c r="C418" s="1"/>
      <c r="D418" s="1"/>
      <c r="E418" s="1"/>
      <c r="F418" s="1"/>
      <c r="G418" s="1"/>
      <c r="H418" s="1"/>
      <c r="I418" s="1"/>
      <c r="J418" s="1"/>
      <c r="K418" s="1"/>
      <c r="L418" s="1"/>
      <c r="M418" s="1"/>
      <c r="N418" s="1"/>
      <c r="O418" s="1"/>
      <c r="P418" s="1"/>
      <c r="Q418" s="1"/>
    </row>
    <row r="419" ht="15.75" customHeight="1">
      <c r="A419" s="1"/>
      <c r="B419" s="1"/>
      <c r="C419" s="1"/>
      <c r="D419" s="1"/>
      <c r="E419" s="1"/>
      <c r="F419" s="1"/>
      <c r="G419" s="1"/>
      <c r="H419" s="1"/>
      <c r="I419" s="1"/>
      <c r="J419" s="1"/>
      <c r="K419" s="1"/>
      <c r="L419" s="1"/>
      <c r="M419" s="1"/>
      <c r="N419" s="1"/>
      <c r="O419" s="1"/>
      <c r="P419" s="1"/>
      <c r="Q419" s="1"/>
    </row>
    <row r="420" ht="15.75" customHeight="1">
      <c r="A420" s="1"/>
      <c r="B420" s="1"/>
      <c r="C420" s="1"/>
      <c r="D420" s="1"/>
      <c r="E420" s="1"/>
      <c r="F420" s="1"/>
      <c r="G420" s="1"/>
      <c r="H420" s="1"/>
      <c r="I420" s="1"/>
      <c r="J420" s="1"/>
      <c r="K420" s="1"/>
      <c r="L420" s="1"/>
      <c r="M420" s="1"/>
      <c r="N420" s="1"/>
      <c r="O420" s="1"/>
      <c r="P420" s="1"/>
      <c r="Q420" s="1"/>
    </row>
    <row r="421" ht="15.75" customHeight="1">
      <c r="A421" s="1"/>
      <c r="B421" s="1"/>
      <c r="C421" s="1"/>
      <c r="D421" s="1"/>
      <c r="E421" s="1"/>
      <c r="F421" s="1"/>
      <c r="G421" s="1"/>
      <c r="H421" s="1"/>
      <c r="I421" s="1"/>
      <c r="J421" s="1"/>
      <c r="K421" s="1"/>
      <c r="L421" s="1"/>
      <c r="M421" s="1"/>
      <c r="N421" s="1"/>
      <c r="O421" s="1"/>
      <c r="P421" s="1"/>
      <c r="Q421" s="1"/>
    </row>
    <row r="422" ht="15.75" customHeight="1">
      <c r="A422" s="1"/>
      <c r="B422" s="1"/>
      <c r="C422" s="1"/>
      <c r="D422" s="1"/>
      <c r="E422" s="1"/>
      <c r="F422" s="1"/>
      <c r="G422" s="1"/>
      <c r="H422" s="1"/>
      <c r="I422" s="1"/>
      <c r="J422" s="1"/>
      <c r="K422" s="1"/>
      <c r="L422" s="1"/>
      <c r="M422" s="1"/>
      <c r="N422" s="1"/>
      <c r="O422" s="1"/>
      <c r="P422" s="1"/>
      <c r="Q422" s="1"/>
    </row>
    <row r="423" ht="15.75" customHeight="1">
      <c r="A423" s="1"/>
      <c r="B423" s="1"/>
      <c r="C423" s="1"/>
      <c r="D423" s="1"/>
      <c r="E423" s="1"/>
      <c r="F423" s="1"/>
      <c r="G423" s="1"/>
      <c r="H423" s="1"/>
      <c r="I423" s="1"/>
      <c r="J423" s="1"/>
      <c r="K423" s="1"/>
      <c r="L423" s="1"/>
      <c r="M423" s="1"/>
      <c r="N423" s="1"/>
      <c r="O423" s="1"/>
      <c r="P423" s="1"/>
      <c r="Q423" s="1"/>
    </row>
    <row r="424" ht="15.75" customHeight="1">
      <c r="A424" s="1"/>
      <c r="B424" s="1"/>
      <c r="C424" s="1"/>
      <c r="D424" s="1"/>
      <c r="E424" s="1"/>
      <c r="F424" s="1"/>
      <c r="G424" s="1"/>
      <c r="H424" s="1"/>
      <c r="I424" s="1"/>
      <c r="J424" s="1"/>
      <c r="K424" s="1"/>
      <c r="L424" s="1"/>
      <c r="M424" s="1"/>
      <c r="N424" s="1"/>
      <c r="O424" s="1"/>
      <c r="P424" s="1"/>
      <c r="Q424" s="1"/>
    </row>
    <row r="425" ht="15.75" customHeight="1">
      <c r="A425" s="1"/>
      <c r="B425" s="1"/>
      <c r="C425" s="1"/>
      <c r="D425" s="1"/>
      <c r="E425" s="1"/>
      <c r="F425" s="1"/>
      <c r="G425" s="1"/>
      <c r="H425" s="1"/>
      <c r="I425" s="1"/>
      <c r="J425" s="1"/>
      <c r="K425" s="1"/>
      <c r="L425" s="1"/>
      <c r="M425" s="1"/>
      <c r="N425" s="1"/>
      <c r="O425" s="1"/>
      <c r="P425" s="1"/>
      <c r="Q425" s="1"/>
    </row>
    <row r="426" ht="15.75" customHeight="1">
      <c r="A426" s="1"/>
      <c r="B426" s="1"/>
      <c r="C426" s="1"/>
      <c r="D426" s="1"/>
      <c r="E426" s="1"/>
      <c r="F426" s="1"/>
      <c r="G426" s="1"/>
      <c r="H426" s="1"/>
      <c r="I426" s="1"/>
      <c r="J426" s="1"/>
      <c r="K426" s="1"/>
      <c r="L426" s="1"/>
      <c r="M426" s="1"/>
      <c r="N426" s="1"/>
      <c r="O426" s="1"/>
      <c r="P426" s="1"/>
      <c r="Q426" s="1"/>
    </row>
    <row r="427" ht="15.75" customHeight="1">
      <c r="A427" s="1"/>
      <c r="B427" s="1"/>
      <c r="C427" s="1"/>
      <c r="D427" s="1"/>
      <c r="E427" s="1"/>
      <c r="F427" s="1"/>
      <c r="G427" s="1"/>
      <c r="H427" s="1"/>
      <c r="I427" s="1"/>
      <c r="J427" s="1"/>
      <c r="K427" s="1"/>
      <c r="L427" s="1"/>
      <c r="M427" s="1"/>
      <c r="N427" s="1"/>
      <c r="O427" s="1"/>
      <c r="P427" s="1"/>
      <c r="Q427" s="1"/>
    </row>
    <row r="428" ht="15.75" customHeight="1">
      <c r="A428" s="1"/>
      <c r="B428" s="1"/>
      <c r="C428" s="1"/>
      <c r="D428" s="1"/>
      <c r="E428" s="1"/>
      <c r="F428" s="1"/>
      <c r="G428" s="1"/>
      <c r="H428" s="1"/>
      <c r="I428" s="1"/>
      <c r="J428" s="1"/>
      <c r="K428" s="1"/>
      <c r="L428" s="1"/>
      <c r="M428" s="1"/>
      <c r="N428" s="1"/>
      <c r="O428" s="1"/>
      <c r="P428" s="1"/>
      <c r="Q428" s="1"/>
    </row>
    <row r="429" ht="15.75" customHeight="1">
      <c r="A429" s="1"/>
      <c r="B429" s="1"/>
      <c r="C429" s="1"/>
      <c r="D429" s="1"/>
      <c r="E429" s="1"/>
      <c r="F429" s="1"/>
      <c r="G429" s="1"/>
      <c r="H429" s="1"/>
      <c r="I429" s="1"/>
      <c r="J429" s="1"/>
      <c r="K429" s="1"/>
      <c r="L429" s="1"/>
      <c r="M429" s="1"/>
      <c r="N429" s="1"/>
      <c r="O429" s="1"/>
      <c r="P429" s="1"/>
      <c r="Q429" s="1"/>
    </row>
    <row r="430" ht="15.75" customHeight="1">
      <c r="A430" s="1"/>
      <c r="B430" s="1"/>
      <c r="C430" s="1"/>
      <c r="D430" s="1"/>
      <c r="E430" s="1"/>
      <c r="F430" s="1"/>
      <c r="G430" s="1"/>
      <c r="H430" s="1"/>
      <c r="I430" s="1"/>
      <c r="J430" s="1"/>
      <c r="K430" s="1"/>
      <c r="L430" s="1"/>
      <c r="M430" s="1"/>
      <c r="N430" s="1"/>
      <c r="O430" s="1"/>
      <c r="P430" s="1"/>
      <c r="Q430" s="1"/>
    </row>
    <row r="431" ht="15.75" customHeight="1">
      <c r="A431" s="1"/>
      <c r="B431" s="1"/>
      <c r="C431" s="1"/>
      <c r="D431" s="1"/>
      <c r="E431" s="1"/>
      <c r="F431" s="1"/>
      <c r="G431" s="1"/>
      <c r="H431" s="1"/>
      <c r="I431" s="1"/>
      <c r="J431" s="1"/>
      <c r="K431" s="1"/>
      <c r="L431" s="1"/>
      <c r="M431" s="1"/>
      <c r="N431" s="1"/>
      <c r="O431" s="1"/>
      <c r="P431" s="1"/>
      <c r="Q431" s="1"/>
    </row>
    <row r="432" ht="15.75" customHeight="1">
      <c r="A432" s="1"/>
      <c r="B432" s="1"/>
      <c r="C432" s="1"/>
      <c r="D432" s="1"/>
      <c r="E432" s="1"/>
      <c r="F432" s="1"/>
      <c r="G432" s="1"/>
      <c r="H432" s="1"/>
      <c r="I432" s="1"/>
      <c r="J432" s="1"/>
      <c r="K432" s="1"/>
      <c r="L432" s="1"/>
      <c r="M432" s="1"/>
      <c r="N432" s="1"/>
      <c r="O432" s="1"/>
      <c r="P432" s="1"/>
      <c r="Q432" s="1"/>
    </row>
    <row r="433" ht="15.75" customHeight="1">
      <c r="A433" s="1"/>
      <c r="B433" s="1"/>
      <c r="C433" s="1"/>
      <c r="D433" s="1"/>
      <c r="E433" s="1"/>
      <c r="F433" s="1"/>
      <c r="G433" s="1"/>
      <c r="H433" s="1"/>
      <c r="I433" s="1"/>
      <c r="J433" s="1"/>
      <c r="K433" s="1"/>
      <c r="L433" s="1"/>
      <c r="M433" s="1"/>
      <c r="N433" s="1"/>
      <c r="O433" s="1"/>
      <c r="P433" s="1"/>
      <c r="Q433" s="1"/>
    </row>
    <row r="434" ht="15.75" customHeight="1">
      <c r="A434" s="1"/>
      <c r="B434" s="1"/>
      <c r="C434" s="1"/>
      <c r="D434" s="1"/>
      <c r="E434" s="1"/>
      <c r="F434" s="1"/>
      <c r="G434" s="1"/>
      <c r="H434" s="1"/>
      <c r="I434" s="1"/>
      <c r="J434" s="1"/>
      <c r="K434" s="1"/>
      <c r="L434" s="1"/>
      <c r="M434" s="1"/>
      <c r="N434" s="1"/>
      <c r="O434" s="1"/>
      <c r="P434" s="1"/>
      <c r="Q434" s="1"/>
    </row>
    <row r="435" ht="15.75" customHeight="1">
      <c r="A435" s="1"/>
      <c r="B435" s="1"/>
      <c r="C435" s="1"/>
      <c r="D435" s="1"/>
      <c r="E435" s="1"/>
      <c r="F435" s="1"/>
      <c r="G435" s="1"/>
      <c r="H435" s="1"/>
      <c r="I435" s="1"/>
      <c r="J435" s="1"/>
      <c r="K435" s="1"/>
      <c r="L435" s="1"/>
      <c r="M435" s="1"/>
      <c r="N435" s="1"/>
      <c r="O435" s="1"/>
      <c r="P435" s="1"/>
      <c r="Q435" s="1"/>
    </row>
    <row r="436" ht="15.75" customHeight="1">
      <c r="A436" s="1"/>
      <c r="B436" s="1"/>
      <c r="C436" s="1"/>
      <c r="D436" s="1"/>
      <c r="E436" s="1"/>
      <c r="F436" s="1"/>
      <c r="G436" s="1"/>
      <c r="H436" s="1"/>
      <c r="I436" s="1"/>
      <c r="J436" s="1"/>
      <c r="K436" s="1"/>
      <c r="L436" s="1"/>
      <c r="M436" s="1"/>
      <c r="N436" s="1"/>
      <c r="O436" s="1"/>
      <c r="P436" s="1"/>
      <c r="Q436" s="1"/>
    </row>
    <row r="437" ht="15.75" customHeight="1">
      <c r="A437" s="1"/>
      <c r="B437" s="1"/>
      <c r="C437" s="1"/>
      <c r="D437" s="1"/>
      <c r="E437" s="1"/>
      <c r="F437" s="1"/>
      <c r="G437" s="1"/>
      <c r="H437" s="1"/>
      <c r="I437" s="1"/>
      <c r="J437" s="1"/>
      <c r="K437" s="1"/>
      <c r="L437" s="1"/>
      <c r="M437" s="1"/>
      <c r="N437" s="1"/>
      <c r="O437" s="1"/>
      <c r="P437" s="1"/>
      <c r="Q437" s="1"/>
    </row>
    <row r="438" ht="15.75" customHeight="1">
      <c r="A438" s="1"/>
      <c r="B438" s="1"/>
      <c r="C438" s="1"/>
      <c r="D438" s="1"/>
      <c r="E438" s="1"/>
      <c r="F438" s="1"/>
      <c r="G438" s="1"/>
      <c r="H438" s="1"/>
      <c r="I438" s="1"/>
      <c r="J438" s="1"/>
      <c r="K438" s="1"/>
      <c r="L438" s="1"/>
      <c r="M438" s="1"/>
      <c r="N438" s="1"/>
      <c r="O438" s="1"/>
      <c r="P438" s="1"/>
      <c r="Q438" s="1"/>
    </row>
    <row r="439" ht="15.75" customHeight="1">
      <c r="A439" s="1"/>
      <c r="B439" s="1"/>
      <c r="C439" s="1"/>
      <c r="D439" s="1"/>
      <c r="E439" s="1"/>
      <c r="F439" s="1"/>
      <c r="G439" s="1"/>
      <c r="H439" s="1"/>
      <c r="I439" s="1"/>
      <c r="J439" s="1"/>
      <c r="K439" s="1"/>
      <c r="L439" s="1"/>
      <c r="M439" s="1"/>
      <c r="N439" s="1"/>
      <c r="O439" s="1"/>
      <c r="P439" s="1"/>
      <c r="Q439" s="1"/>
    </row>
    <row r="440" ht="15.75" customHeight="1">
      <c r="A440" s="1"/>
      <c r="B440" s="1"/>
      <c r="C440" s="1"/>
      <c r="D440" s="1"/>
      <c r="E440" s="1"/>
      <c r="F440" s="1"/>
      <c r="G440" s="1"/>
      <c r="H440" s="1"/>
      <c r="I440" s="1"/>
      <c r="J440" s="1"/>
      <c r="K440" s="1"/>
      <c r="L440" s="1"/>
      <c r="M440" s="1"/>
      <c r="N440" s="1"/>
      <c r="O440" s="1"/>
      <c r="P440" s="1"/>
      <c r="Q440" s="1"/>
    </row>
    <row r="441" ht="15.75" customHeight="1">
      <c r="A441" s="1"/>
      <c r="B441" s="1"/>
      <c r="C441" s="1"/>
      <c r="D441" s="1"/>
      <c r="E441" s="1"/>
      <c r="F441" s="1"/>
      <c r="G441" s="1"/>
      <c r="H441" s="1"/>
      <c r="I441" s="1"/>
      <c r="J441" s="1"/>
      <c r="K441" s="1"/>
      <c r="L441" s="1"/>
      <c r="M441" s="1"/>
      <c r="N441" s="1"/>
      <c r="O441" s="1"/>
      <c r="P441" s="1"/>
      <c r="Q441" s="1"/>
    </row>
    <row r="442" ht="15.75" customHeight="1">
      <c r="A442" s="1"/>
      <c r="B442" s="1"/>
      <c r="C442" s="1"/>
      <c r="D442" s="1"/>
      <c r="E442" s="1"/>
      <c r="F442" s="1"/>
      <c r="G442" s="1"/>
      <c r="H442" s="1"/>
      <c r="I442" s="1"/>
      <c r="J442" s="1"/>
      <c r="K442" s="1"/>
      <c r="L442" s="1"/>
      <c r="M442" s="1"/>
      <c r="N442" s="1"/>
      <c r="O442" s="1"/>
      <c r="P442" s="1"/>
      <c r="Q442" s="1"/>
    </row>
    <row r="443" ht="15.75" customHeight="1">
      <c r="A443" s="1"/>
      <c r="B443" s="1"/>
      <c r="C443" s="1"/>
      <c r="D443" s="1"/>
      <c r="E443" s="1"/>
      <c r="F443" s="1"/>
      <c r="G443" s="1"/>
      <c r="H443" s="1"/>
      <c r="I443" s="1"/>
      <c r="J443" s="1"/>
      <c r="K443" s="1"/>
      <c r="L443" s="1"/>
      <c r="M443" s="1"/>
      <c r="N443" s="1"/>
      <c r="O443" s="1"/>
      <c r="P443" s="1"/>
      <c r="Q443" s="1"/>
    </row>
    <row r="444" ht="15.75" customHeight="1">
      <c r="A444" s="1"/>
      <c r="B444" s="1"/>
      <c r="C444" s="1"/>
      <c r="D444" s="1"/>
      <c r="E444" s="1"/>
      <c r="F444" s="1"/>
      <c r="G444" s="1"/>
      <c r="H444" s="1"/>
      <c r="I444" s="1"/>
      <c r="J444" s="1"/>
      <c r="K444" s="1"/>
      <c r="L444" s="1"/>
      <c r="M444" s="1"/>
      <c r="N444" s="1"/>
      <c r="O444" s="1"/>
      <c r="P444" s="1"/>
      <c r="Q444" s="1"/>
    </row>
    <row r="445" ht="15.75" customHeight="1">
      <c r="A445" s="1"/>
      <c r="B445" s="1"/>
      <c r="C445" s="1"/>
      <c r="D445" s="1"/>
      <c r="E445" s="1"/>
      <c r="F445" s="1"/>
      <c r="G445" s="1"/>
      <c r="H445" s="1"/>
      <c r="I445" s="1"/>
      <c r="J445" s="1"/>
      <c r="K445" s="1"/>
      <c r="L445" s="1"/>
      <c r="M445" s="1"/>
      <c r="N445" s="1"/>
      <c r="O445" s="1"/>
      <c r="P445" s="1"/>
      <c r="Q445" s="1"/>
    </row>
    <row r="446" ht="15.75" customHeight="1">
      <c r="A446" s="1"/>
      <c r="B446" s="1"/>
      <c r="C446" s="1"/>
      <c r="D446" s="1"/>
      <c r="E446" s="1"/>
      <c r="F446" s="1"/>
      <c r="G446" s="1"/>
      <c r="H446" s="1"/>
      <c r="I446" s="1"/>
      <c r="J446" s="1"/>
      <c r="K446" s="1"/>
      <c r="L446" s="1"/>
      <c r="M446" s="1"/>
      <c r="N446" s="1"/>
      <c r="O446" s="1"/>
      <c r="P446" s="1"/>
      <c r="Q446" s="1"/>
    </row>
    <row r="447" ht="15.75" customHeight="1">
      <c r="A447" s="1"/>
      <c r="B447" s="1"/>
      <c r="C447" s="1"/>
      <c r="D447" s="1"/>
      <c r="E447" s="1"/>
      <c r="F447" s="1"/>
      <c r="G447" s="1"/>
      <c r="H447" s="1"/>
      <c r="I447" s="1"/>
      <c r="J447" s="1"/>
      <c r="K447" s="1"/>
      <c r="L447" s="1"/>
      <c r="M447" s="1"/>
      <c r="N447" s="1"/>
      <c r="O447" s="1"/>
      <c r="P447" s="1"/>
      <c r="Q447" s="1"/>
    </row>
    <row r="448" ht="15.75" customHeight="1">
      <c r="A448" s="1"/>
      <c r="B448" s="1"/>
      <c r="C448" s="1"/>
      <c r="D448" s="1"/>
      <c r="E448" s="1"/>
      <c r="F448" s="1"/>
      <c r="G448" s="1"/>
      <c r="H448" s="1"/>
      <c r="I448" s="1"/>
      <c r="J448" s="1"/>
      <c r="K448" s="1"/>
      <c r="L448" s="1"/>
      <c r="M448" s="1"/>
      <c r="N448" s="1"/>
      <c r="O448" s="1"/>
      <c r="P448" s="1"/>
      <c r="Q448" s="1"/>
    </row>
    <row r="449" ht="15.75" customHeight="1">
      <c r="A449" s="1"/>
      <c r="B449" s="1"/>
      <c r="C449" s="1"/>
      <c r="D449" s="1"/>
      <c r="E449" s="1"/>
      <c r="F449" s="1"/>
      <c r="G449" s="1"/>
      <c r="H449" s="1"/>
      <c r="I449" s="1"/>
      <c r="J449" s="1"/>
      <c r="K449" s="1"/>
      <c r="L449" s="1"/>
      <c r="M449" s="1"/>
      <c r="N449" s="1"/>
      <c r="O449" s="1"/>
      <c r="P449" s="1"/>
      <c r="Q449" s="1"/>
    </row>
    <row r="450" ht="15.75" customHeight="1">
      <c r="A450" s="1"/>
      <c r="B450" s="1"/>
      <c r="C450" s="1"/>
      <c r="D450" s="1"/>
      <c r="E450" s="1"/>
      <c r="F450" s="1"/>
      <c r="G450" s="1"/>
      <c r="H450" s="1"/>
      <c r="I450" s="1"/>
      <c r="J450" s="1"/>
      <c r="K450" s="1"/>
      <c r="L450" s="1"/>
      <c r="M450" s="1"/>
      <c r="N450" s="1"/>
      <c r="O450" s="1"/>
      <c r="P450" s="1"/>
      <c r="Q450" s="1"/>
    </row>
    <row r="451" ht="15.75" customHeight="1">
      <c r="A451" s="1"/>
      <c r="B451" s="1"/>
      <c r="C451" s="1"/>
      <c r="D451" s="1"/>
      <c r="E451" s="1"/>
      <c r="F451" s="1"/>
      <c r="G451" s="1"/>
      <c r="H451" s="1"/>
      <c r="I451" s="1"/>
      <c r="J451" s="1"/>
      <c r="K451" s="1"/>
      <c r="L451" s="1"/>
      <c r="M451" s="1"/>
      <c r="N451" s="1"/>
      <c r="O451" s="1"/>
      <c r="P451" s="1"/>
      <c r="Q451" s="1"/>
    </row>
    <row r="452" ht="15.75" customHeight="1">
      <c r="A452" s="1"/>
      <c r="B452" s="1"/>
      <c r="C452" s="1"/>
      <c r="D452" s="1"/>
      <c r="E452" s="1"/>
      <c r="F452" s="1"/>
      <c r="G452" s="1"/>
      <c r="H452" s="1"/>
      <c r="I452" s="1"/>
      <c r="J452" s="1"/>
      <c r="K452" s="1"/>
      <c r="L452" s="1"/>
      <c r="M452" s="1"/>
      <c r="N452" s="1"/>
      <c r="O452" s="1"/>
      <c r="P452" s="1"/>
      <c r="Q452" s="1"/>
    </row>
    <row r="453" ht="15.75" customHeight="1">
      <c r="A453" s="1"/>
      <c r="B453" s="1"/>
      <c r="C453" s="1"/>
      <c r="D453" s="1"/>
      <c r="E453" s="1"/>
      <c r="F453" s="1"/>
      <c r="G453" s="1"/>
      <c r="H453" s="1"/>
      <c r="I453" s="1"/>
      <c r="J453" s="1"/>
      <c r="K453" s="1"/>
      <c r="L453" s="1"/>
      <c r="M453" s="1"/>
      <c r="N453" s="1"/>
      <c r="O453" s="1"/>
      <c r="P453" s="1"/>
      <c r="Q453" s="1"/>
    </row>
    <row r="454" ht="15.75" customHeight="1">
      <c r="A454" s="1"/>
      <c r="B454" s="1"/>
      <c r="C454" s="1"/>
      <c r="D454" s="1"/>
      <c r="E454" s="1"/>
      <c r="F454" s="1"/>
      <c r="G454" s="1"/>
      <c r="H454" s="1"/>
      <c r="I454" s="1"/>
      <c r="J454" s="1"/>
      <c r="K454" s="1"/>
      <c r="L454" s="1"/>
      <c r="M454" s="1"/>
      <c r="N454" s="1"/>
      <c r="O454" s="1"/>
      <c r="P454" s="1"/>
      <c r="Q454" s="1"/>
    </row>
    <row r="455" ht="15.75" customHeight="1">
      <c r="A455" s="1"/>
      <c r="B455" s="1"/>
      <c r="C455" s="1"/>
      <c r="D455" s="1"/>
      <c r="E455" s="1"/>
      <c r="F455" s="1"/>
      <c r="G455" s="1"/>
      <c r="H455" s="1"/>
      <c r="I455" s="1"/>
      <c r="J455" s="1"/>
      <c r="K455" s="1"/>
      <c r="L455" s="1"/>
      <c r="M455" s="1"/>
      <c r="N455" s="1"/>
      <c r="O455" s="1"/>
      <c r="P455" s="1"/>
      <c r="Q455" s="1"/>
    </row>
    <row r="456" ht="15.75" customHeight="1">
      <c r="A456" s="1"/>
      <c r="B456" s="1"/>
      <c r="C456" s="1"/>
      <c r="D456" s="1"/>
      <c r="E456" s="1"/>
      <c r="F456" s="1"/>
      <c r="G456" s="1"/>
      <c r="H456" s="1"/>
      <c r="I456" s="1"/>
      <c r="J456" s="1"/>
      <c r="K456" s="1"/>
      <c r="L456" s="1"/>
      <c r="M456" s="1"/>
      <c r="N456" s="1"/>
      <c r="O456" s="1"/>
      <c r="P456" s="1"/>
      <c r="Q456" s="1"/>
    </row>
    <row r="457" ht="15.75" customHeight="1">
      <c r="A457" s="1"/>
      <c r="B457" s="1"/>
      <c r="C457" s="1"/>
      <c r="D457" s="1"/>
      <c r="E457" s="1"/>
      <c r="F457" s="1"/>
      <c r="G457" s="1"/>
      <c r="H457" s="1"/>
      <c r="I457" s="1"/>
      <c r="J457" s="1"/>
      <c r="K457" s="1"/>
      <c r="L457" s="1"/>
      <c r="M457" s="1"/>
      <c r="N457" s="1"/>
      <c r="O457" s="1"/>
      <c r="P457" s="1"/>
      <c r="Q457" s="1"/>
    </row>
    <row r="458" ht="15.75" customHeight="1">
      <c r="A458" s="1"/>
      <c r="B458" s="1"/>
      <c r="C458" s="1"/>
      <c r="D458" s="1"/>
      <c r="E458" s="1"/>
      <c r="F458" s="1"/>
      <c r="G458" s="1"/>
      <c r="H458" s="1"/>
      <c r="I458" s="1"/>
      <c r="J458" s="1"/>
      <c r="K458" s="1"/>
      <c r="L458" s="1"/>
      <c r="M458" s="1"/>
      <c r="N458" s="1"/>
      <c r="O458" s="1"/>
      <c r="P458" s="1"/>
      <c r="Q458" s="1"/>
    </row>
    <row r="459" ht="15.75" customHeight="1">
      <c r="A459" s="1"/>
      <c r="B459" s="1"/>
      <c r="C459" s="1"/>
      <c r="D459" s="1"/>
      <c r="E459" s="1"/>
      <c r="F459" s="1"/>
      <c r="G459" s="1"/>
      <c r="H459" s="1"/>
      <c r="I459" s="1"/>
      <c r="J459" s="1"/>
      <c r="K459" s="1"/>
      <c r="L459" s="1"/>
      <c r="M459" s="1"/>
      <c r="N459" s="1"/>
      <c r="O459" s="1"/>
      <c r="P459" s="1"/>
      <c r="Q459" s="1"/>
    </row>
    <row r="460" ht="15.75" customHeight="1">
      <c r="A460" s="1"/>
      <c r="B460" s="1"/>
      <c r="C460" s="1"/>
      <c r="D460" s="1"/>
      <c r="E460" s="1"/>
      <c r="F460" s="1"/>
      <c r="G460" s="1"/>
      <c r="H460" s="1"/>
      <c r="I460" s="1"/>
      <c r="J460" s="1"/>
      <c r="K460" s="1"/>
      <c r="L460" s="1"/>
      <c r="M460" s="1"/>
      <c r="N460" s="1"/>
      <c r="O460" s="1"/>
      <c r="P460" s="1"/>
      <c r="Q460" s="1"/>
    </row>
    <row r="461" ht="15.75" customHeight="1">
      <c r="A461" s="1"/>
      <c r="B461" s="1"/>
      <c r="C461" s="1"/>
      <c r="D461" s="1"/>
      <c r="E461" s="1"/>
      <c r="F461" s="1"/>
      <c r="G461" s="1"/>
      <c r="H461" s="1"/>
      <c r="I461" s="1"/>
      <c r="J461" s="1"/>
      <c r="K461" s="1"/>
      <c r="L461" s="1"/>
      <c r="M461" s="1"/>
      <c r="N461" s="1"/>
      <c r="O461" s="1"/>
      <c r="P461" s="1"/>
      <c r="Q461" s="1"/>
    </row>
    <row r="462" ht="15.75" customHeight="1">
      <c r="A462" s="1"/>
      <c r="B462" s="1"/>
      <c r="C462" s="1"/>
      <c r="D462" s="1"/>
      <c r="E462" s="1"/>
      <c r="F462" s="1"/>
      <c r="G462" s="1"/>
      <c r="H462" s="1"/>
      <c r="I462" s="1"/>
      <c r="J462" s="1"/>
      <c r="K462" s="1"/>
      <c r="L462" s="1"/>
      <c r="M462" s="1"/>
      <c r="N462" s="1"/>
      <c r="O462" s="1"/>
      <c r="P462" s="1"/>
      <c r="Q462" s="1"/>
    </row>
    <row r="463" ht="15.75" customHeight="1">
      <c r="A463" s="1"/>
      <c r="B463" s="1"/>
      <c r="C463" s="1"/>
      <c r="D463" s="1"/>
      <c r="E463" s="1"/>
      <c r="F463" s="1"/>
      <c r="G463" s="1"/>
      <c r="H463" s="1"/>
      <c r="I463" s="1"/>
      <c r="J463" s="1"/>
      <c r="K463" s="1"/>
      <c r="L463" s="1"/>
      <c r="M463" s="1"/>
      <c r="N463" s="1"/>
      <c r="O463" s="1"/>
      <c r="P463" s="1"/>
      <c r="Q463" s="1"/>
    </row>
    <row r="464" ht="15.75" customHeight="1">
      <c r="A464" s="1"/>
      <c r="B464" s="1"/>
      <c r="C464" s="1"/>
      <c r="D464" s="1"/>
      <c r="E464" s="1"/>
      <c r="F464" s="1"/>
      <c r="G464" s="1"/>
      <c r="H464" s="1"/>
      <c r="I464" s="1"/>
      <c r="J464" s="1"/>
      <c r="K464" s="1"/>
      <c r="L464" s="1"/>
      <c r="M464" s="1"/>
      <c r="N464" s="1"/>
      <c r="O464" s="1"/>
      <c r="P464" s="1"/>
      <c r="Q464" s="1"/>
    </row>
    <row r="465" ht="15.75" customHeight="1">
      <c r="A465" s="1"/>
      <c r="B465" s="1"/>
      <c r="C465" s="1"/>
      <c r="D465" s="1"/>
      <c r="E465" s="1"/>
      <c r="F465" s="1"/>
      <c r="G465" s="1"/>
      <c r="H465" s="1"/>
      <c r="I465" s="1"/>
      <c r="J465" s="1"/>
      <c r="K465" s="1"/>
      <c r="L465" s="1"/>
      <c r="M465" s="1"/>
      <c r="N465" s="1"/>
      <c r="O465" s="1"/>
      <c r="P465" s="1"/>
      <c r="Q465" s="1"/>
    </row>
    <row r="466" ht="15.75" customHeight="1">
      <c r="A466" s="1"/>
      <c r="B466" s="1"/>
      <c r="C466" s="1"/>
      <c r="D466" s="1"/>
      <c r="E466" s="1"/>
      <c r="F466" s="1"/>
      <c r="G466" s="1"/>
      <c r="H466" s="1"/>
      <c r="I466" s="1"/>
      <c r="J466" s="1"/>
      <c r="K466" s="1"/>
      <c r="L466" s="1"/>
      <c r="M466" s="1"/>
      <c r="N466" s="1"/>
      <c r="O466" s="1"/>
      <c r="P466" s="1"/>
      <c r="Q466" s="1"/>
    </row>
    <row r="467" ht="15.75" customHeight="1">
      <c r="A467" s="1"/>
      <c r="B467" s="1"/>
      <c r="C467" s="1"/>
      <c r="D467" s="1"/>
      <c r="E467" s="1"/>
      <c r="F467" s="1"/>
      <c r="G467" s="1"/>
      <c r="H467" s="1"/>
      <c r="I467" s="1"/>
      <c r="J467" s="1"/>
      <c r="K467" s="1"/>
      <c r="L467" s="1"/>
      <c r="M467" s="1"/>
      <c r="N467" s="1"/>
      <c r="O467" s="1"/>
      <c r="P467" s="1"/>
      <c r="Q467" s="1"/>
    </row>
    <row r="468" ht="15.75" customHeight="1">
      <c r="A468" s="1"/>
      <c r="B468" s="1"/>
      <c r="C468" s="1"/>
      <c r="D468" s="1"/>
      <c r="E468" s="1"/>
      <c r="F468" s="1"/>
      <c r="G468" s="1"/>
      <c r="H468" s="1"/>
      <c r="I468" s="1"/>
      <c r="J468" s="1"/>
      <c r="K468" s="1"/>
      <c r="L468" s="1"/>
      <c r="M468" s="1"/>
      <c r="N468" s="1"/>
      <c r="O468" s="1"/>
      <c r="P468" s="1"/>
      <c r="Q468" s="1"/>
    </row>
    <row r="469" ht="15.75" customHeight="1">
      <c r="A469" s="1"/>
      <c r="B469" s="1"/>
      <c r="C469" s="1"/>
      <c r="D469" s="1"/>
      <c r="E469" s="1"/>
      <c r="F469" s="1"/>
      <c r="G469" s="1"/>
      <c r="H469" s="1"/>
      <c r="I469" s="1"/>
      <c r="J469" s="1"/>
      <c r="K469" s="1"/>
      <c r="L469" s="1"/>
      <c r="M469" s="1"/>
      <c r="N469" s="1"/>
      <c r="O469" s="1"/>
      <c r="P469" s="1"/>
      <c r="Q469" s="1"/>
    </row>
    <row r="470" ht="15.75" customHeight="1">
      <c r="A470" s="1"/>
      <c r="B470" s="1"/>
      <c r="C470" s="1"/>
      <c r="D470" s="1"/>
      <c r="E470" s="1"/>
      <c r="F470" s="1"/>
      <c r="G470" s="1"/>
      <c r="H470" s="1"/>
      <c r="I470" s="1"/>
      <c r="J470" s="1"/>
      <c r="K470" s="1"/>
      <c r="L470" s="1"/>
      <c r="M470" s="1"/>
      <c r="N470" s="1"/>
      <c r="O470" s="1"/>
      <c r="P470" s="1"/>
      <c r="Q470" s="1"/>
    </row>
    <row r="471" ht="15.75" customHeight="1">
      <c r="A471" s="1"/>
      <c r="B471" s="1"/>
      <c r="C471" s="1"/>
      <c r="D471" s="1"/>
      <c r="E471" s="1"/>
      <c r="F471" s="1"/>
      <c r="G471" s="1"/>
      <c r="H471" s="1"/>
      <c r="I471" s="1"/>
      <c r="J471" s="1"/>
      <c r="K471" s="1"/>
      <c r="L471" s="1"/>
      <c r="M471" s="1"/>
      <c r="N471" s="1"/>
      <c r="O471" s="1"/>
      <c r="P471" s="1"/>
      <c r="Q471" s="1"/>
    </row>
    <row r="472" ht="15.75" customHeight="1">
      <c r="A472" s="1"/>
      <c r="B472" s="1"/>
      <c r="C472" s="1"/>
      <c r="D472" s="1"/>
      <c r="E472" s="1"/>
      <c r="F472" s="1"/>
      <c r="G472" s="1"/>
      <c r="H472" s="1"/>
      <c r="I472" s="1"/>
      <c r="J472" s="1"/>
      <c r="K472" s="1"/>
      <c r="L472" s="1"/>
      <c r="M472" s="1"/>
      <c r="N472" s="1"/>
      <c r="O472" s="1"/>
      <c r="P472" s="1"/>
      <c r="Q472" s="1"/>
    </row>
    <row r="473" ht="15.75" customHeight="1">
      <c r="A473" s="1"/>
      <c r="B473" s="1"/>
      <c r="C473" s="1"/>
      <c r="D473" s="1"/>
      <c r="E473" s="1"/>
      <c r="F473" s="1"/>
      <c r="G473" s="1"/>
      <c r="H473" s="1"/>
      <c r="I473" s="1"/>
      <c r="J473" s="1"/>
      <c r="K473" s="1"/>
      <c r="L473" s="1"/>
      <c r="M473" s="1"/>
      <c r="N473" s="1"/>
      <c r="O473" s="1"/>
      <c r="P473" s="1"/>
      <c r="Q473" s="1"/>
    </row>
    <row r="474" ht="15.75" customHeight="1">
      <c r="A474" s="1"/>
      <c r="B474" s="1"/>
      <c r="C474" s="1"/>
      <c r="D474" s="1"/>
      <c r="E474" s="1"/>
      <c r="F474" s="1"/>
      <c r="G474" s="1"/>
      <c r="H474" s="1"/>
      <c r="I474" s="1"/>
      <c r="J474" s="1"/>
      <c r="K474" s="1"/>
      <c r="L474" s="1"/>
      <c r="M474" s="1"/>
      <c r="N474" s="1"/>
      <c r="O474" s="1"/>
      <c r="P474" s="1"/>
      <c r="Q474" s="1"/>
    </row>
    <row r="475" ht="15.75" customHeight="1">
      <c r="A475" s="1"/>
      <c r="B475" s="1"/>
      <c r="C475" s="1"/>
      <c r="D475" s="1"/>
      <c r="E475" s="1"/>
      <c r="F475" s="1"/>
      <c r="G475" s="1"/>
      <c r="H475" s="1"/>
      <c r="I475" s="1"/>
      <c r="J475" s="1"/>
      <c r="K475" s="1"/>
      <c r="L475" s="1"/>
      <c r="M475" s="1"/>
      <c r="N475" s="1"/>
      <c r="O475" s="1"/>
      <c r="P475" s="1"/>
      <c r="Q475" s="1"/>
    </row>
    <row r="476" ht="15.75" customHeight="1">
      <c r="A476" s="1"/>
      <c r="B476" s="1"/>
      <c r="C476" s="1"/>
      <c r="D476" s="1"/>
      <c r="E476" s="1"/>
      <c r="F476" s="1"/>
      <c r="G476" s="1"/>
      <c r="H476" s="1"/>
      <c r="I476" s="1"/>
      <c r="J476" s="1"/>
      <c r="K476" s="1"/>
      <c r="L476" s="1"/>
      <c r="M476" s="1"/>
      <c r="N476" s="1"/>
      <c r="O476" s="1"/>
      <c r="P476" s="1"/>
      <c r="Q476" s="1"/>
    </row>
    <row r="477" ht="15.75" customHeight="1">
      <c r="A477" s="1"/>
      <c r="B477" s="1"/>
      <c r="C477" s="1"/>
      <c r="D477" s="1"/>
      <c r="E477" s="1"/>
      <c r="F477" s="1"/>
      <c r="G477" s="1"/>
      <c r="H477" s="1"/>
      <c r="I477" s="1"/>
      <c r="J477" s="1"/>
      <c r="K477" s="1"/>
      <c r="L477" s="1"/>
      <c r="M477" s="1"/>
      <c r="N477" s="1"/>
      <c r="O477" s="1"/>
      <c r="P477" s="1"/>
      <c r="Q477" s="1"/>
    </row>
    <row r="478" ht="15.75" customHeight="1">
      <c r="A478" s="1"/>
      <c r="B478" s="1"/>
      <c r="C478" s="1"/>
      <c r="D478" s="1"/>
      <c r="E478" s="1"/>
      <c r="F478" s="1"/>
      <c r="G478" s="1"/>
      <c r="H478" s="1"/>
      <c r="I478" s="1"/>
      <c r="J478" s="1"/>
      <c r="K478" s="1"/>
      <c r="L478" s="1"/>
      <c r="M478" s="1"/>
      <c r="N478" s="1"/>
      <c r="O478" s="1"/>
      <c r="P478" s="1"/>
      <c r="Q478" s="1"/>
    </row>
    <row r="479" ht="15.75" customHeight="1">
      <c r="A479" s="1"/>
      <c r="B479" s="1"/>
      <c r="C479" s="1"/>
      <c r="D479" s="1"/>
      <c r="E479" s="1"/>
      <c r="F479" s="1"/>
      <c r="G479" s="1"/>
      <c r="H479" s="1"/>
      <c r="I479" s="1"/>
      <c r="J479" s="1"/>
      <c r="K479" s="1"/>
      <c r="L479" s="1"/>
      <c r="M479" s="1"/>
      <c r="N479" s="1"/>
      <c r="O479" s="1"/>
      <c r="P479" s="1"/>
      <c r="Q479" s="1"/>
    </row>
    <row r="480" ht="15.75" customHeight="1">
      <c r="A480" s="1"/>
      <c r="B480" s="1"/>
      <c r="C480" s="1"/>
      <c r="D480" s="1"/>
      <c r="E480" s="1"/>
      <c r="F480" s="1"/>
      <c r="G480" s="1"/>
      <c r="H480" s="1"/>
      <c r="I480" s="1"/>
      <c r="J480" s="1"/>
      <c r="K480" s="1"/>
      <c r="L480" s="1"/>
      <c r="M480" s="1"/>
      <c r="N480" s="1"/>
      <c r="O480" s="1"/>
      <c r="P480" s="1"/>
      <c r="Q480" s="1"/>
    </row>
    <row r="481" ht="15.75" customHeight="1">
      <c r="A481" s="1"/>
      <c r="B481" s="1"/>
      <c r="C481" s="1"/>
      <c r="D481" s="1"/>
      <c r="E481" s="1"/>
      <c r="F481" s="1"/>
      <c r="G481" s="1"/>
      <c r="H481" s="1"/>
      <c r="I481" s="1"/>
      <c r="J481" s="1"/>
      <c r="K481" s="1"/>
      <c r="L481" s="1"/>
      <c r="M481" s="1"/>
      <c r="N481" s="1"/>
      <c r="O481" s="1"/>
      <c r="P481" s="1"/>
      <c r="Q481" s="1"/>
    </row>
    <row r="482" ht="15.75" customHeight="1">
      <c r="A482" s="1"/>
      <c r="B482" s="1"/>
      <c r="C482" s="1"/>
      <c r="D482" s="1"/>
      <c r="E482" s="1"/>
      <c r="F482" s="1"/>
      <c r="G482" s="1"/>
      <c r="H482" s="1"/>
      <c r="I482" s="1"/>
      <c r="J482" s="1"/>
      <c r="K482" s="1"/>
      <c r="L482" s="1"/>
      <c r="M482" s="1"/>
      <c r="N482" s="1"/>
      <c r="O482" s="1"/>
      <c r="P482" s="1"/>
      <c r="Q482" s="1"/>
    </row>
    <row r="483" ht="15.75" customHeight="1">
      <c r="A483" s="1"/>
      <c r="B483" s="1"/>
      <c r="C483" s="1"/>
      <c r="D483" s="1"/>
      <c r="E483" s="1"/>
      <c r="F483" s="1"/>
      <c r="G483" s="1"/>
      <c r="H483" s="1"/>
      <c r="I483" s="1"/>
      <c r="J483" s="1"/>
      <c r="K483" s="1"/>
      <c r="L483" s="1"/>
      <c r="M483" s="1"/>
      <c r="N483" s="1"/>
      <c r="O483" s="1"/>
      <c r="P483" s="1"/>
      <c r="Q483" s="1"/>
    </row>
    <row r="484" ht="15.75" customHeight="1">
      <c r="A484" s="1"/>
      <c r="B484" s="1"/>
      <c r="C484" s="1"/>
      <c r="D484" s="1"/>
      <c r="E484" s="1"/>
      <c r="F484" s="1"/>
      <c r="G484" s="1"/>
      <c r="H484" s="1"/>
      <c r="I484" s="1"/>
      <c r="J484" s="1"/>
      <c r="K484" s="1"/>
      <c r="L484" s="1"/>
      <c r="M484" s="1"/>
      <c r="N484" s="1"/>
      <c r="O484" s="1"/>
      <c r="P484" s="1"/>
      <c r="Q484" s="1"/>
    </row>
    <row r="485" ht="15.75" customHeight="1">
      <c r="A485" s="1"/>
      <c r="B485" s="1"/>
      <c r="C485" s="1"/>
      <c r="D485" s="1"/>
      <c r="E485" s="1"/>
      <c r="F485" s="1"/>
      <c r="G485" s="1"/>
      <c r="H485" s="1"/>
      <c r="I485" s="1"/>
      <c r="J485" s="1"/>
      <c r="K485" s="1"/>
      <c r="L485" s="1"/>
      <c r="M485" s="1"/>
      <c r="N485" s="1"/>
      <c r="O485" s="1"/>
      <c r="P485" s="1"/>
      <c r="Q485" s="1"/>
    </row>
    <row r="486" ht="15.75" customHeight="1">
      <c r="A486" s="1"/>
      <c r="B486" s="1"/>
      <c r="C486" s="1"/>
      <c r="D486" s="1"/>
      <c r="E486" s="1"/>
      <c r="F486" s="1"/>
      <c r="G486" s="1"/>
      <c r="H486" s="1"/>
      <c r="I486" s="1"/>
      <c r="J486" s="1"/>
      <c r="K486" s="1"/>
      <c r="L486" s="1"/>
      <c r="M486" s="1"/>
      <c r="N486" s="1"/>
      <c r="O486" s="1"/>
      <c r="P486" s="1"/>
      <c r="Q486" s="1"/>
    </row>
    <row r="487" ht="15.75" customHeight="1">
      <c r="A487" s="1"/>
      <c r="B487" s="1"/>
      <c r="C487" s="1"/>
      <c r="D487" s="1"/>
      <c r="E487" s="1"/>
      <c r="F487" s="1"/>
      <c r="G487" s="1"/>
      <c r="H487" s="1"/>
      <c r="I487" s="1"/>
      <c r="J487" s="1"/>
      <c r="K487" s="1"/>
      <c r="L487" s="1"/>
      <c r="M487" s="1"/>
      <c r="N487" s="1"/>
      <c r="O487" s="1"/>
      <c r="P487" s="1"/>
      <c r="Q487" s="1"/>
    </row>
    <row r="488" ht="15.75" customHeight="1">
      <c r="A488" s="1"/>
      <c r="B488" s="1"/>
      <c r="C488" s="1"/>
      <c r="D488" s="1"/>
      <c r="E488" s="1"/>
      <c r="F488" s="1"/>
      <c r="G488" s="1"/>
      <c r="H488" s="1"/>
      <c r="I488" s="1"/>
      <c r="J488" s="1"/>
      <c r="K488" s="1"/>
      <c r="L488" s="1"/>
      <c r="M488" s="1"/>
      <c r="N488" s="1"/>
      <c r="O488" s="1"/>
      <c r="P488" s="1"/>
      <c r="Q488" s="1"/>
    </row>
    <row r="489" ht="15.75" customHeight="1">
      <c r="A489" s="1"/>
      <c r="B489" s="1"/>
      <c r="C489" s="1"/>
      <c r="D489" s="1"/>
      <c r="E489" s="1"/>
      <c r="F489" s="1"/>
      <c r="G489" s="1"/>
      <c r="H489" s="1"/>
      <c r="I489" s="1"/>
      <c r="J489" s="1"/>
      <c r="K489" s="1"/>
      <c r="L489" s="1"/>
      <c r="M489" s="1"/>
      <c r="N489" s="1"/>
      <c r="O489" s="1"/>
      <c r="P489" s="1"/>
      <c r="Q489" s="1"/>
    </row>
    <row r="490" ht="15.75" customHeight="1">
      <c r="A490" s="1"/>
      <c r="B490" s="1"/>
      <c r="C490" s="1"/>
      <c r="D490" s="1"/>
      <c r="E490" s="1"/>
      <c r="F490" s="1"/>
      <c r="G490" s="1"/>
      <c r="H490" s="1"/>
      <c r="I490" s="1"/>
      <c r="J490" s="1"/>
      <c r="K490" s="1"/>
      <c r="L490" s="1"/>
      <c r="M490" s="1"/>
      <c r="N490" s="1"/>
      <c r="O490" s="1"/>
      <c r="P490" s="1"/>
      <c r="Q490" s="1"/>
    </row>
    <row r="491" ht="15.75" customHeight="1">
      <c r="A491" s="1"/>
      <c r="B491" s="1"/>
      <c r="C491" s="1"/>
      <c r="D491" s="1"/>
      <c r="E491" s="1"/>
      <c r="F491" s="1"/>
      <c r="G491" s="1"/>
      <c r="H491" s="1"/>
      <c r="I491" s="1"/>
      <c r="J491" s="1"/>
      <c r="K491" s="1"/>
      <c r="L491" s="1"/>
      <c r="M491" s="1"/>
      <c r="N491" s="1"/>
      <c r="O491" s="1"/>
      <c r="P491" s="1"/>
      <c r="Q491" s="1"/>
    </row>
    <row r="492" ht="15.75" customHeight="1">
      <c r="A492" s="1"/>
      <c r="B492" s="1"/>
      <c r="C492" s="1"/>
      <c r="D492" s="1"/>
      <c r="E492" s="1"/>
      <c r="F492" s="1"/>
      <c r="G492" s="1"/>
      <c r="H492" s="1"/>
      <c r="I492" s="1"/>
      <c r="J492" s="1"/>
      <c r="K492" s="1"/>
      <c r="L492" s="1"/>
      <c r="M492" s="1"/>
      <c r="N492" s="1"/>
      <c r="O492" s="1"/>
      <c r="P492" s="1"/>
      <c r="Q492" s="1"/>
    </row>
    <row r="493" ht="15.75" customHeight="1">
      <c r="A493" s="1"/>
      <c r="B493" s="1"/>
      <c r="C493" s="1"/>
      <c r="D493" s="1"/>
      <c r="E493" s="1"/>
      <c r="F493" s="1"/>
      <c r="G493" s="1"/>
      <c r="H493" s="1"/>
      <c r="I493" s="1"/>
      <c r="J493" s="1"/>
      <c r="K493" s="1"/>
      <c r="L493" s="1"/>
      <c r="M493" s="1"/>
      <c r="N493" s="1"/>
      <c r="O493" s="1"/>
      <c r="P493" s="1"/>
      <c r="Q493" s="1"/>
    </row>
    <row r="494" ht="15.75" customHeight="1">
      <c r="A494" s="1"/>
      <c r="B494" s="1"/>
      <c r="C494" s="1"/>
      <c r="D494" s="1"/>
      <c r="E494" s="1"/>
      <c r="F494" s="1"/>
      <c r="G494" s="1"/>
      <c r="H494" s="1"/>
      <c r="I494" s="1"/>
      <c r="J494" s="1"/>
      <c r="K494" s="1"/>
      <c r="L494" s="1"/>
      <c r="M494" s="1"/>
      <c r="N494" s="1"/>
      <c r="O494" s="1"/>
      <c r="P494" s="1"/>
      <c r="Q494" s="1"/>
    </row>
    <row r="495" ht="15.75" customHeight="1">
      <c r="A495" s="1"/>
      <c r="B495" s="1"/>
      <c r="C495" s="1"/>
      <c r="D495" s="1"/>
      <c r="E495" s="1"/>
      <c r="F495" s="1"/>
      <c r="G495" s="1"/>
      <c r="H495" s="1"/>
      <c r="I495" s="1"/>
      <c r="J495" s="1"/>
      <c r="K495" s="1"/>
      <c r="L495" s="1"/>
      <c r="M495" s="1"/>
      <c r="N495" s="1"/>
      <c r="O495" s="1"/>
      <c r="P495" s="1"/>
      <c r="Q495" s="1"/>
    </row>
    <row r="496" ht="15.75" customHeight="1">
      <c r="A496" s="1"/>
      <c r="B496" s="1"/>
      <c r="C496" s="1"/>
      <c r="D496" s="1"/>
      <c r="E496" s="1"/>
      <c r="F496" s="1"/>
      <c r="G496" s="1"/>
      <c r="H496" s="1"/>
      <c r="I496" s="1"/>
      <c r="J496" s="1"/>
      <c r="K496" s="1"/>
      <c r="L496" s="1"/>
      <c r="M496" s="1"/>
      <c r="N496" s="1"/>
      <c r="O496" s="1"/>
      <c r="P496" s="1"/>
      <c r="Q496" s="1"/>
    </row>
    <row r="497" ht="15.75" customHeight="1">
      <c r="A497" s="1"/>
      <c r="B497" s="1"/>
      <c r="C497" s="1"/>
      <c r="D497" s="1"/>
      <c r="E497" s="1"/>
      <c r="F497" s="1"/>
      <c r="G497" s="1"/>
      <c r="H497" s="1"/>
      <c r="I497" s="1"/>
      <c r="J497" s="1"/>
      <c r="K497" s="1"/>
      <c r="L497" s="1"/>
      <c r="M497" s="1"/>
      <c r="N497" s="1"/>
      <c r="O497" s="1"/>
      <c r="P497" s="1"/>
      <c r="Q497" s="1"/>
    </row>
    <row r="498" ht="15.75" customHeight="1">
      <c r="A498" s="1"/>
      <c r="B498" s="1"/>
      <c r="C498" s="1"/>
      <c r="D498" s="1"/>
      <c r="E498" s="1"/>
      <c r="F498" s="1"/>
      <c r="G498" s="1"/>
      <c r="H498" s="1"/>
      <c r="I498" s="1"/>
      <c r="J498" s="1"/>
      <c r="K498" s="1"/>
      <c r="L498" s="1"/>
      <c r="M498" s="1"/>
      <c r="N498" s="1"/>
      <c r="O498" s="1"/>
      <c r="P498" s="1"/>
      <c r="Q498" s="1"/>
    </row>
    <row r="499" ht="15.75" customHeight="1">
      <c r="A499" s="1"/>
      <c r="B499" s="1"/>
      <c r="C499" s="1"/>
      <c r="D499" s="1"/>
      <c r="E499" s="1"/>
      <c r="F499" s="1"/>
      <c r="G499" s="1"/>
      <c r="H499" s="1"/>
      <c r="I499" s="1"/>
      <c r="J499" s="1"/>
      <c r="K499" s="1"/>
      <c r="L499" s="1"/>
      <c r="M499" s="1"/>
      <c r="N499" s="1"/>
      <c r="O499" s="1"/>
      <c r="P499" s="1"/>
      <c r="Q499" s="1"/>
    </row>
    <row r="500" ht="15.75" customHeight="1">
      <c r="A500" s="1"/>
      <c r="B500" s="1"/>
      <c r="C500" s="1"/>
      <c r="D500" s="1"/>
      <c r="E500" s="1"/>
      <c r="F500" s="1"/>
      <c r="G500" s="1"/>
      <c r="H500" s="1"/>
      <c r="I500" s="1"/>
      <c r="J500" s="1"/>
      <c r="K500" s="1"/>
      <c r="L500" s="1"/>
      <c r="M500" s="1"/>
      <c r="N500" s="1"/>
      <c r="O500" s="1"/>
      <c r="P500" s="1"/>
      <c r="Q500" s="1"/>
    </row>
    <row r="501" ht="15.75" customHeight="1">
      <c r="A501" s="1"/>
      <c r="B501" s="1"/>
      <c r="C501" s="1"/>
      <c r="D501" s="1"/>
      <c r="E501" s="1"/>
      <c r="F501" s="1"/>
      <c r="G501" s="1"/>
      <c r="H501" s="1"/>
      <c r="I501" s="1"/>
      <c r="J501" s="1"/>
      <c r="K501" s="1"/>
      <c r="L501" s="1"/>
      <c r="M501" s="1"/>
      <c r="N501" s="1"/>
      <c r="O501" s="1"/>
      <c r="P501" s="1"/>
      <c r="Q501" s="1"/>
    </row>
    <row r="502" ht="15.75" customHeight="1">
      <c r="A502" s="1"/>
      <c r="B502" s="1"/>
      <c r="C502" s="1"/>
      <c r="D502" s="1"/>
      <c r="E502" s="1"/>
      <c r="F502" s="1"/>
      <c r="G502" s="1"/>
      <c r="H502" s="1"/>
      <c r="I502" s="1"/>
      <c r="J502" s="1"/>
      <c r="K502" s="1"/>
      <c r="L502" s="1"/>
      <c r="M502" s="1"/>
      <c r="N502" s="1"/>
      <c r="O502" s="1"/>
      <c r="P502" s="1"/>
      <c r="Q502" s="1"/>
    </row>
    <row r="503" ht="15.75" customHeight="1">
      <c r="A503" s="1"/>
      <c r="B503" s="1"/>
      <c r="C503" s="1"/>
      <c r="D503" s="1"/>
      <c r="E503" s="1"/>
      <c r="F503" s="1"/>
      <c r="G503" s="1"/>
      <c r="H503" s="1"/>
      <c r="I503" s="1"/>
      <c r="J503" s="1"/>
      <c r="K503" s="1"/>
      <c r="L503" s="1"/>
      <c r="M503" s="1"/>
      <c r="N503" s="1"/>
      <c r="O503" s="1"/>
      <c r="P503" s="1"/>
      <c r="Q503" s="1"/>
    </row>
    <row r="504" ht="15.75" customHeight="1">
      <c r="A504" s="1"/>
      <c r="B504" s="1"/>
      <c r="C504" s="1"/>
      <c r="D504" s="1"/>
      <c r="E504" s="1"/>
      <c r="F504" s="1"/>
      <c r="G504" s="1"/>
      <c r="H504" s="1"/>
      <c r="I504" s="1"/>
      <c r="J504" s="1"/>
      <c r="K504" s="1"/>
      <c r="L504" s="1"/>
      <c r="M504" s="1"/>
      <c r="N504" s="1"/>
      <c r="O504" s="1"/>
      <c r="P504" s="1"/>
      <c r="Q504" s="1"/>
    </row>
    <row r="505" ht="15.75" customHeight="1">
      <c r="A505" s="1"/>
      <c r="B505" s="1"/>
      <c r="C505" s="1"/>
      <c r="D505" s="1"/>
      <c r="E505" s="1"/>
      <c r="F505" s="1"/>
      <c r="G505" s="1"/>
      <c r="H505" s="1"/>
      <c r="I505" s="1"/>
      <c r="J505" s="1"/>
      <c r="K505" s="1"/>
      <c r="L505" s="1"/>
      <c r="M505" s="1"/>
      <c r="N505" s="1"/>
      <c r="O505" s="1"/>
      <c r="P505" s="1"/>
      <c r="Q505" s="1"/>
    </row>
    <row r="506" ht="15.75" customHeight="1">
      <c r="A506" s="1"/>
      <c r="B506" s="1"/>
      <c r="C506" s="1"/>
      <c r="D506" s="1"/>
      <c r="E506" s="1"/>
      <c r="F506" s="1"/>
      <c r="G506" s="1"/>
      <c r="H506" s="1"/>
      <c r="I506" s="1"/>
      <c r="J506" s="1"/>
      <c r="K506" s="1"/>
      <c r="L506" s="1"/>
      <c r="M506" s="1"/>
      <c r="N506" s="1"/>
      <c r="O506" s="1"/>
      <c r="P506" s="1"/>
      <c r="Q506" s="1"/>
    </row>
    <row r="507" ht="15.75" customHeight="1">
      <c r="A507" s="1"/>
      <c r="B507" s="1"/>
      <c r="C507" s="1"/>
      <c r="D507" s="1"/>
      <c r="E507" s="1"/>
      <c r="F507" s="1"/>
      <c r="G507" s="1"/>
      <c r="H507" s="1"/>
      <c r="I507" s="1"/>
      <c r="J507" s="1"/>
      <c r="K507" s="1"/>
      <c r="L507" s="1"/>
      <c r="M507" s="1"/>
      <c r="N507" s="1"/>
      <c r="O507" s="1"/>
      <c r="P507" s="1"/>
      <c r="Q507" s="1"/>
    </row>
    <row r="508" ht="15.75" customHeight="1">
      <c r="A508" s="1"/>
      <c r="B508" s="1"/>
      <c r="C508" s="1"/>
      <c r="D508" s="1"/>
      <c r="E508" s="1"/>
      <c r="F508" s="1"/>
      <c r="G508" s="1"/>
      <c r="H508" s="1"/>
      <c r="I508" s="1"/>
      <c r="J508" s="1"/>
      <c r="K508" s="1"/>
      <c r="L508" s="1"/>
      <c r="M508" s="1"/>
      <c r="N508" s="1"/>
      <c r="O508" s="1"/>
      <c r="P508" s="1"/>
      <c r="Q508" s="1"/>
    </row>
    <row r="509" ht="15.75" customHeight="1">
      <c r="A509" s="1"/>
      <c r="B509" s="1"/>
      <c r="C509" s="1"/>
      <c r="D509" s="1"/>
      <c r="E509" s="1"/>
      <c r="F509" s="1"/>
      <c r="G509" s="1"/>
      <c r="H509" s="1"/>
      <c r="I509" s="1"/>
      <c r="J509" s="1"/>
      <c r="K509" s="1"/>
      <c r="L509" s="1"/>
      <c r="M509" s="1"/>
      <c r="N509" s="1"/>
      <c r="O509" s="1"/>
      <c r="P509" s="1"/>
      <c r="Q509" s="1"/>
    </row>
    <row r="510" ht="15.75" customHeight="1">
      <c r="A510" s="1"/>
      <c r="B510" s="1"/>
      <c r="C510" s="1"/>
      <c r="D510" s="1"/>
      <c r="E510" s="1"/>
      <c r="F510" s="1"/>
      <c r="G510" s="1"/>
      <c r="H510" s="1"/>
      <c r="I510" s="1"/>
      <c r="J510" s="1"/>
      <c r="K510" s="1"/>
      <c r="L510" s="1"/>
      <c r="M510" s="1"/>
      <c r="N510" s="1"/>
      <c r="O510" s="1"/>
      <c r="P510" s="1"/>
      <c r="Q510" s="1"/>
    </row>
    <row r="511" ht="15.75" customHeight="1">
      <c r="A511" s="1"/>
      <c r="B511" s="1"/>
      <c r="C511" s="1"/>
      <c r="D511" s="1"/>
      <c r="E511" s="1"/>
      <c r="F511" s="1"/>
      <c r="G511" s="1"/>
      <c r="H511" s="1"/>
      <c r="I511" s="1"/>
      <c r="J511" s="1"/>
      <c r="K511" s="1"/>
      <c r="L511" s="1"/>
      <c r="M511" s="1"/>
      <c r="N511" s="1"/>
      <c r="O511" s="1"/>
      <c r="P511" s="1"/>
      <c r="Q511" s="1"/>
    </row>
    <row r="512" ht="15.75" customHeight="1">
      <c r="A512" s="1"/>
      <c r="B512" s="1"/>
      <c r="C512" s="1"/>
      <c r="D512" s="1"/>
      <c r="E512" s="1"/>
      <c r="F512" s="1"/>
      <c r="G512" s="1"/>
      <c r="H512" s="1"/>
      <c r="I512" s="1"/>
      <c r="J512" s="1"/>
      <c r="K512" s="1"/>
      <c r="L512" s="1"/>
      <c r="M512" s="1"/>
      <c r="N512" s="1"/>
      <c r="O512" s="1"/>
      <c r="P512" s="1"/>
      <c r="Q512" s="1"/>
    </row>
    <row r="513" ht="15.75" customHeight="1">
      <c r="A513" s="1"/>
      <c r="B513" s="1"/>
      <c r="C513" s="1"/>
      <c r="D513" s="1"/>
      <c r="E513" s="1"/>
      <c r="F513" s="1"/>
      <c r="G513" s="1"/>
      <c r="H513" s="1"/>
      <c r="I513" s="1"/>
      <c r="J513" s="1"/>
      <c r="K513" s="1"/>
      <c r="L513" s="1"/>
      <c r="M513" s="1"/>
      <c r="N513" s="1"/>
      <c r="O513" s="1"/>
      <c r="P513" s="1"/>
      <c r="Q513" s="1"/>
    </row>
    <row r="514" ht="15.75" customHeight="1">
      <c r="A514" s="1"/>
      <c r="B514" s="1"/>
      <c r="C514" s="1"/>
      <c r="D514" s="1"/>
      <c r="E514" s="1"/>
      <c r="F514" s="1"/>
      <c r="G514" s="1"/>
      <c r="H514" s="1"/>
      <c r="I514" s="1"/>
      <c r="J514" s="1"/>
      <c r="K514" s="1"/>
      <c r="L514" s="1"/>
      <c r="M514" s="1"/>
      <c r="N514" s="1"/>
      <c r="O514" s="1"/>
      <c r="P514" s="1"/>
      <c r="Q514" s="1"/>
    </row>
    <row r="515" ht="15.75" customHeight="1">
      <c r="A515" s="1"/>
      <c r="B515" s="1"/>
      <c r="C515" s="1"/>
      <c r="D515" s="1"/>
      <c r="E515" s="1"/>
      <c r="F515" s="1"/>
      <c r="G515" s="1"/>
      <c r="H515" s="1"/>
      <c r="I515" s="1"/>
      <c r="J515" s="1"/>
      <c r="K515" s="1"/>
      <c r="L515" s="1"/>
      <c r="M515" s="1"/>
      <c r="N515" s="1"/>
      <c r="O515" s="1"/>
      <c r="P515" s="1"/>
      <c r="Q515" s="1"/>
    </row>
    <row r="516" ht="15.75" customHeight="1">
      <c r="A516" s="1"/>
      <c r="B516" s="1"/>
      <c r="C516" s="1"/>
      <c r="D516" s="1"/>
      <c r="E516" s="1"/>
      <c r="F516" s="1"/>
      <c r="G516" s="1"/>
      <c r="H516" s="1"/>
      <c r="I516" s="1"/>
      <c r="J516" s="1"/>
      <c r="K516" s="1"/>
      <c r="L516" s="1"/>
      <c r="M516" s="1"/>
      <c r="N516" s="1"/>
      <c r="O516" s="1"/>
      <c r="P516" s="1"/>
      <c r="Q516" s="1"/>
    </row>
    <row r="517" ht="15.75" customHeight="1">
      <c r="A517" s="1"/>
      <c r="B517" s="1"/>
      <c r="C517" s="1"/>
      <c r="D517" s="1"/>
      <c r="E517" s="1"/>
      <c r="F517" s="1"/>
      <c r="G517" s="1"/>
      <c r="H517" s="1"/>
      <c r="I517" s="1"/>
      <c r="J517" s="1"/>
      <c r="K517" s="1"/>
      <c r="L517" s="1"/>
      <c r="M517" s="1"/>
      <c r="N517" s="1"/>
      <c r="O517" s="1"/>
      <c r="P517" s="1"/>
      <c r="Q517" s="1"/>
    </row>
    <row r="518" ht="15.75" customHeight="1">
      <c r="A518" s="1"/>
      <c r="B518" s="1"/>
      <c r="C518" s="1"/>
      <c r="D518" s="1"/>
      <c r="E518" s="1"/>
      <c r="F518" s="1"/>
      <c r="G518" s="1"/>
      <c r="H518" s="1"/>
      <c r="I518" s="1"/>
      <c r="J518" s="1"/>
      <c r="K518" s="1"/>
      <c r="L518" s="1"/>
      <c r="M518" s="1"/>
      <c r="N518" s="1"/>
      <c r="O518" s="1"/>
      <c r="P518" s="1"/>
      <c r="Q518" s="1"/>
    </row>
    <row r="519" ht="15.75" customHeight="1">
      <c r="A519" s="1"/>
      <c r="B519" s="1"/>
      <c r="C519" s="1"/>
      <c r="D519" s="1"/>
      <c r="E519" s="1"/>
      <c r="F519" s="1"/>
      <c r="G519" s="1"/>
      <c r="H519" s="1"/>
      <c r="I519" s="1"/>
      <c r="J519" s="1"/>
      <c r="K519" s="1"/>
      <c r="L519" s="1"/>
      <c r="M519" s="1"/>
      <c r="N519" s="1"/>
      <c r="O519" s="1"/>
      <c r="P519" s="1"/>
      <c r="Q519" s="1"/>
    </row>
    <row r="520" ht="15.75" customHeight="1">
      <c r="A520" s="1"/>
      <c r="B520" s="1"/>
      <c r="C520" s="1"/>
      <c r="D520" s="1"/>
      <c r="E520" s="1"/>
      <c r="F520" s="1"/>
      <c r="G520" s="1"/>
      <c r="H520" s="1"/>
      <c r="I520" s="1"/>
      <c r="J520" s="1"/>
      <c r="K520" s="1"/>
      <c r="L520" s="1"/>
      <c r="M520" s="1"/>
      <c r="N520" s="1"/>
      <c r="O520" s="1"/>
      <c r="P520" s="1"/>
      <c r="Q520" s="1"/>
    </row>
    <row r="521" ht="15.75" customHeight="1">
      <c r="A521" s="1"/>
      <c r="B521" s="1"/>
      <c r="C521" s="1"/>
      <c r="D521" s="1"/>
      <c r="E521" s="1"/>
      <c r="F521" s="1"/>
      <c r="G521" s="1"/>
      <c r="H521" s="1"/>
      <c r="I521" s="1"/>
      <c r="J521" s="1"/>
      <c r="K521" s="1"/>
      <c r="L521" s="1"/>
      <c r="M521" s="1"/>
      <c r="N521" s="1"/>
      <c r="O521" s="1"/>
      <c r="P521" s="1"/>
      <c r="Q521" s="1"/>
    </row>
    <row r="522" ht="15.75" customHeight="1">
      <c r="A522" s="1"/>
      <c r="B522" s="1"/>
      <c r="C522" s="1"/>
      <c r="D522" s="1"/>
      <c r="E522" s="1"/>
      <c r="F522" s="1"/>
      <c r="G522" s="1"/>
      <c r="H522" s="1"/>
      <c r="I522" s="1"/>
      <c r="J522" s="1"/>
      <c r="K522" s="1"/>
      <c r="L522" s="1"/>
      <c r="M522" s="1"/>
      <c r="N522" s="1"/>
      <c r="O522" s="1"/>
      <c r="P522" s="1"/>
      <c r="Q522" s="1"/>
    </row>
    <row r="523" ht="15.75" customHeight="1">
      <c r="A523" s="1"/>
      <c r="B523" s="1"/>
      <c r="C523" s="1"/>
      <c r="D523" s="1"/>
      <c r="E523" s="1"/>
      <c r="F523" s="1"/>
      <c r="G523" s="1"/>
      <c r="H523" s="1"/>
      <c r="I523" s="1"/>
      <c r="J523" s="1"/>
      <c r="K523" s="1"/>
      <c r="L523" s="1"/>
      <c r="M523" s="1"/>
      <c r="N523" s="1"/>
      <c r="O523" s="1"/>
      <c r="P523" s="1"/>
      <c r="Q523" s="1"/>
    </row>
    <row r="524" ht="15.75" customHeight="1">
      <c r="A524" s="1"/>
      <c r="B524" s="1"/>
      <c r="C524" s="1"/>
      <c r="D524" s="1"/>
      <c r="E524" s="1"/>
      <c r="F524" s="1"/>
      <c r="G524" s="1"/>
      <c r="H524" s="1"/>
      <c r="I524" s="1"/>
      <c r="J524" s="1"/>
      <c r="K524" s="1"/>
      <c r="L524" s="1"/>
      <c r="M524" s="1"/>
      <c r="N524" s="1"/>
      <c r="O524" s="1"/>
      <c r="P524" s="1"/>
      <c r="Q524" s="1"/>
    </row>
    <row r="525" ht="15.75" customHeight="1">
      <c r="A525" s="1"/>
      <c r="B525" s="1"/>
      <c r="C525" s="1"/>
      <c r="D525" s="1"/>
      <c r="E525" s="1"/>
      <c r="F525" s="1"/>
      <c r="G525" s="1"/>
      <c r="H525" s="1"/>
      <c r="I525" s="1"/>
      <c r="J525" s="1"/>
      <c r="K525" s="1"/>
      <c r="L525" s="1"/>
      <c r="M525" s="1"/>
      <c r="N525" s="1"/>
      <c r="O525" s="1"/>
      <c r="P525" s="1"/>
      <c r="Q525" s="1"/>
    </row>
    <row r="526" ht="15.75" customHeight="1">
      <c r="A526" s="1"/>
      <c r="B526" s="1"/>
      <c r="C526" s="1"/>
      <c r="D526" s="1"/>
      <c r="E526" s="1"/>
      <c r="F526" s="1"/>
      <c r="G526" s="1"/>
      <c r="H526" s="1"/>
      <c r="I526" s="1"/>
      <c r="J526" s="1"/>
      <c r="K526" s="1"/>
      <c r="L526" s="1"/>
      <c r="M526" s="1"/>
      <c r="N526" s="1"/>
      <c r="O526" s="1"/>
      <c r="P526" s="1"/>
      <c r="Q526" s="1"/>
    </row>
    <row r="527" ht="15.75" customHeight="1">
      <c r="A527" s="1"/>
      <c r="B527" s="1"/>
      <c r="C527" s="1"/>
      <c r="D527" s="1"/>
      <c r="E527" s="1"/>
      <c r="F527" s="1"/>
      <c r="G527" s="1"/>
      <c r="H527" s="1"/>
      <c r="I527" s="1"/>
      <c r="J527" s="1"/>
      <c r="K527" s="1"/>
      <c r="L527" s="1"/>
      <c r="M527" s="1"/>
      <c r="N527" s="1"/>
      <c r="O527" s="1"/>
      <c r="P527" s="1"/>
      <c r="Q527" s="1"/>
    </row>
    <row r="528" ht="15.75" customHeight="1">
      <c r="A528" s="1"/>
      <c r="B528" s="1"/>
      <c r="C528" s="1"/>
      <c r="D528" s="1"/>
      <c r="E528" s="1"/>
      <c r="F528" s="1"/>
      <c r="G528" s="1"/>
      <c r="H528" s="1"/>
      <c r="I528" s="1"/>
      <c r="J528" s="1"/>
      <c r="K528" s="1"/>
      <c r="L528" s="1"/>
      <c r="M528" s="1"/>
      <c r="N528" s="1"/>
      <c r="O528" s="1"/>
      <c r="P528" s="1"/>
      <c r="Q528" s="1"/>
    </row>
    <row r="529" ht="15.75" customHeight="1">
      <c r="A529" s="1"/>
      <c r="B529" s="1"/>
      <c r="C529" s="1"/>
      <c r="D529" s="1"/>
      <c r="E529" s="1"/>
      <c r="F529" s="1"/>
      <c r="G529" s="1"/>
      <c r="H529" s="1"/>
      <c r="I529" s="1"/>
      <c r="J529" s="1"/>
      <c r="K529" s="1"/>
      <c r="L529" s="1"/>
      <c r="M529" s="1"/>
      <c r="N529" s="1"/>
      <c r="O529" s="1"/>
      <c r="P529" s="1"/>
      <c r="Q529" s="1"/>
    </row>
    <row r="530" ht="15.75" customHeight="1">
      <c r="A530" s="1"/>
      <c r="B530" s="1"/>
      <c r="C530" s="1"/>
      <c r="D530" s="1"/>
      <c r="E530" s="1"/>
      <c r="F530" s="1"/>
      <c r="G530" s="1"/>
      <c r="H530" s="1"/>
      <c r="I530" s="1"/>
      <c r="J530" s="1"/>
      <c r="K530" s="1"/>
      <c r="L530" s="1"/>
      <c r="M530" s="1"/>
      <c r="N530" s="1"/>
      <c r="O530" s="1"/>
      <c r="P530" s="1"/>
      <c r="Q530" s="1"/>
    </row>
    <row r="531" ht="15.75" customHeight="1">
      <c r="A531" s="1"/>
      <c r="B531" s="1"/>
      <c r="C531" s="1"/>
      <c r="D531" s="1"/>
      <c r="E531" s="1"/>
      <c r="F531" s="1"/>
      <c r="G531" s="1"/>
      <c r="H531" s="1"/>
      <c r="I531" s="1"/>
      <c r="J531" s="1"/>
      <c r="K531" s="1"/>
      <c r="L531" s="1"/>
      <c r="M531" s="1"/>
      <c r="N531" s="1"/>
      <c r="O531" s="1"/>
      <c r="P531" s="1"/>
      <c r="Q531" s="1"/>
    </row>
    <row r="532" ht="15.75" customHeight="1">
      <c r="A532" s="1"/>
      <c r="B532" s="1"/>
      <c r="C532" s="1"/>
      <c r="D532" s="1"/>
      <c r="E532" s="1"/>
      <c r="F532" s="1"/>
      <c r="G532" s="1"/>
      <c r="H532" s="1"/>
      <c r="I532" s="1"/>
      <c r="J532" s="1"/>
      <c r="K532" s="1"/>
      <c r="L532" s="1"/>
      <c r="M532" s="1"/>
      <c r="N532" s="1"/>
      <c r="O532" s="1"/>
      <c r="P532" s="1"/>
      <c r="Q532" s="1"/>
    </row>
    <row r="533" ht="15.75" customHeight="1">
      <c r="A533" s="1"/>
      <c r="B533" s="1"/>
      <c r="C533" s="1"/>
      <c r="D533" s="1"/>
      <c r="E533" s="1"/>
      <c r="F533" s="1"/>
      <c r="G533" s="1"/>
      <c r="H533" s="1"/>
      <c r="I533" s="1"/>
      <c r="J533" s="1"/>
      <c r="K533" s="1"/>
      <c r="L533" s="1"/>
      <c r="M533" s="1"/>
      <c r="N533" s="1"/>
      <c r="O533" s="1"/>
      <c r="P533" s="1"/>
      <c r="Q533" s="1"/>
    </row>
    <row r="534" ht="15.75" customHeight="1">
      <c r="A534" s="1"/>
      <c r="B534" s="1"/>
      <c r="C534" s="1"/>
      <c r="D534" s="1"/>
      <c r="E534" s="1"/>
      <c r="F534" s="1"/>
      <c r="G534" s="1"/>
      <c r="H534" s="1"/>
      <c r="I534" s="1"/>
      <c r="J534" s="1"/>
      <c r="K534" s="1"/>
      <c r="L534" s="1"/>
      <c r="M534" s="1"/>
      <c r="N534" s="1"/>
      <c r="O534" s="1"/>
      <c r="P534" s="1"/>
      <c r="Q534" s="1"/>
    </row>
    <row r="535" ht="15.75" customHeight="1">
      <c r="A535" s="1"/>
      <c r="B535" s="1"/>
      <c r="C535" s="1"/>
      <c r="D535" s="1"/>
      <c r="E535" s="1"/>
      <c r="F535" s="1"/>
      <c r="G535" s="1"/>
      <c r="H535" s="1"/>
      <c r="I535" s="1"/>
      <c r="J535" s="1"/>
      <c r="K535" s="1"/>
      <c r="L535" s="1"/>
      <c r="M535" s="1"/>
      <c r="N535" s="1"/>
      <c r="O535" s="1"/>
      <c r="P535" s="1"/>
      <c r="Q535" s="1"/>
    </row>
    <row r="536" ht="15.75" customHeight="1">
      <c r="A536" s="1"/>
      <c r="B536" s="1"/>
      <c r="C536" s="1"/>
      <c r="D536" s="1"/>
      <c r="E536" s="1"/>
      <c r="F536" s="1"/>
      <c r="G536" s="1"/>
      <c r="H536" s="1"/>
      <c r="I536" s="1"/>
      <c r="J536" s="1"/>
      <c r="K536" s="1"/>
      <c r="L536" s="1"/>
      <c r="M536" s="1"/>
      <c r="N536" s="1"/>
      <c r="O536" s="1"/>
      <c r="P536" s="1"/>
      <c r="Q536" s="1"/>
    </row>
    <row r="537" ht="15.75" customHeight="1">
      <c r="A537" s="1"/>
      <c r="B537" s="1"/>
      <c r="C537" s="1"/>
      <c r="D537" s="1"/>
      <c r="E537" s="1"/>
      <c r="F537" s="1"/>
      <c r="G537" s="1"/>
      <c r="H537" s="1"/>
      <c r="I537" s="1"/>
      <c r="J537" s="1"/>
      <c r="K537" s="1"/>
      <c r="L537" s="1"/>
      <c r="M537" s="1"/>
      <c r="N537" s="1"/>
      <c r="O537" s="1"/>
      <c r="P537" s="1"/>
      <c r="Q537" s="1"/>
    </row>
    <row r="538" ht="15.75" customHeight="1">
      <c r="A538" s="1"/>
      <c r="B538" s="1"/>
      <c r="C538" s="1"/>
      <c r="D538" s="1"/>
      <c r="E538" s="1"/>
      <c r="F538" s="1"/>
      <c r="G538" s="1"/>
      <c r="H538" s="1"/>
      <c r="I538" s="1"/>
      <c r="J538" s="1"/>
      <c r="K538" s="1"/>
      <c r="L538" s="1"/>
      <c r="M538" s="1"/>
      <c r="N538" s="1"/>
      <c r="O538" s="1"/>
      <c r="P538" s="1"/>
      <c r="Q538" s="1"/>
    </row>
    <row r="539" ht="15.75" customHeight="1">
      <c r="A539" s="1"/>
      <c r="B539" s="1"/>
      <c r="C539" s="1"/>
      <c r="D539" s="1"/>
      <c r="E539" s="1"/>
      <c r="F539" s="1"/>
      <c r="G539" s="1"/>
      <c r="H539" s="1"/>
      <c r="I539" s="1"/>
      <c r="J539" s="1"/>
      <c r="K539" s="1"/>
      <c r="L539" s="1"/>
      <c r="M539" s="1"/>
      <c r="N539" s="1"/>
      <c r="O539" s="1"/>
      <c r="P539" s="1"/>
      <c r="Q539" s="1"/>
    </row>
    <row r="540" ht="15.75" customHeight="1">
      <c r="A540" s="1"/>
      <c r="B540" s="1"/>
      <c r="C540" s="1"/>
      <c r="D540" s="1"/>
      <c r="E540" s="1"/>
      <c r="F540" s="1"/>
      <c r="G540" s="1"/>
      <c r="H540" s="1"/>
      <c r="I540" s="1"/>
      <c r="J540" s="1"/>
      <c r="K540" s="1"/>
      <c r="L540" s="1"/>
      <c r="M540" s="1"/>
      <c r="N540" s="1"/>
      <c r="O540" s="1"/>
      <c r="P540" s="1"/>
      <c r="Q540" s="1"/>
    </row>
    <row r="541" ht="15.75" customHeight="1">
      <c r="A541" s="1"/>
      <c r="B541" s="1"/>
      <c r="C541" s="1"/>
      <c r="D541" s="1"/>
      <c r="E541" s="1"/>
      <c r="F541" s="1"/>
      <c r="G541" s="1"/>
      <c r="H541" s="1"/>
      <c r="I541" s="1"/>
      <c r="J541" s="1"/>
      <c r="K541" s="1"/>
      <c r="L541" s="1"/>
      <c r="M541" s="1"/>
      <c r="N541" s="1"/>
      <c r="O541" s="1"/>
      <c r="P541" s="1"/>
      <c r="Q541" s="1"/>
    </row>
    <row r="542" ht="15.75" customHeight="1">
      <c r="A542" s="1"/>
      <c r="B542" s="1"/>
      <c r="C542" s="1"/>
      <c r="D542" s="1"/>
      <c r="E542" s="1"/>
      <c r="F542" s="1"/>
      <c r="G542" s="1"/>
      <c r="H542" s="1"/>
      <c r="I542" s="1"/>
      <c r="J542" s="1"/>
      <c r="K542" s="1"/>
      <c r="L542" s="1"/>
      <c r="M542" s="1"/>
      <c r="N542" s="1"/>
      <c r="O542" s="1"/>
      <c r="P542" s="1"/>
      <c r="Q542" s="1"/>
    </row>
    <row r="543" ht="15.75" customHeight="1">
      <c r="A543" s="1"/>
      <c r="B543" s="1"/>
      <c r="C543" s="1"/>
      <c r="D543" s="1"/>
      <c r="E543" s="1"/>
      <c r="F543" s="1"/>
      <c r="G543" s="1"/>
      <c r="H543" s="1"/>
      <c r="I543" s="1"/>
      <c r="J543" s="1"/>
      <c r="K543" s="1"/>
      <c r="L543" s="1"/>
      <c r="M543" s="1"/>
      <c r="N543" s="1"/>
      <c r="O543" s="1"/>
      <c r="P543" s="1"/>
      <c r="Q543" s="1"/>
    </row>
    <row r="544" ht="15.75" customHeight="1">
      <c r="A544" s="1"/>
      <c r="B544" s="1"/>
      <c r="C544" s="1"/>
      <c r="D544" s="1"/>
      <c r="E544" s="1"/>
      <c r="F544" s="1"/>
      <c r="G544" s="1"/>
      <c r="H544" s="1"/>
      <c r="I544" s="1"/>
      <c r="J544" s="1"/>
      <c r="K544" s="1"/>
      <c r="L544" s="1"/>
      <c r="M544" s="1"/>
      <c r="N544" s="1"/>
      <c r="O544" s="1"/>
      <c r="P544" s="1"/>
      <c r="Q544" s="1"/>
    </row>
    <row r="545" ht="15.75" customHeight="1">
      <c r="A545" s="1"/>
      <c r="B545" s="1"/>
      <c r="C545" s="1"/>
      <c r="D545" s="1"/>
      <c r="E545" s="1"/>
      <c r="F545" s="1"/>
      <c r="G545" s="1"/>
      <c r="H545" s="1"/>
      <c r="I545" s="1"/>
      <c r="J545" s="1"/>
      <c r="K545" s="1"/>
      <c r="L545" s="1"/>
      <c r="M545" s="1"/>
      <c r="N545" s="1"/>
      <c r="O545" s="1"/>
      <c r="P545" s="1"/>
      <c r="Q545" s="1"/>
    </row>
    <row r="546" ht="15.75" customHeight="1">
      <c r="A546" s="1"/>
      <c r="B546" s="1"/>
      <c r="C546" s="1"/>
      <c r="D546" s="1"/>
      <c r="E546" s="1"/>
      <c r="F546" s="1"/>
      <c r="G546" s="1"/>
      <c r="H546" s="1"/>
      <c r="I546" s="1"/>
      <c r="J546" s="1"/>
      <c r="K546" s="1"/>
      <c r="L546" s="1"/>
      <c r="M546" s="1"/>
      <c r="N546" s="1"/>
      <c r="O546" s="1"/>
      <c r="P546" s="1"/>
      <c r="Q546" s="1"/>
    </row>
    <row r="547" ht="15.75" customHeight="1">
      <c r="A547" s="1"/>
      <c r="B547" s="1"/>
      <c r="C547" s="1"/>
      <c r="D547" s="1"/>
      <c r="E547" s="1"/>
      <c r="F547" s="1"/>
      <c r="G547" s="1"/>
      <c r="H547" s="1"/>
      <c r="I547" s="1"/>
      <c r="J547" s="1"/>
      <c r="K547" s="1"/>
      <c r="L547" s="1"/>
      <c r="M547" s="1"/>
      <c r="N547" s="1"/>
      <c r="O547" s="1"/>
      <c r="P547" s="1"/>
      <c r="Q547" s="1"/>
    </row>
    <row r="548" ht="15.75" customHeight="1">
      <c r="A548" s="1"/>
      <c r="B548" s="1"/>
      <c r="C548" s="1"/>
      <c r="D548" s="1"/>
      <c r="E548" s="1"/>
      <c r="F548" s="1"/>
      <c r="G548" s="1"/>
      <c r="H548" s="1"/>
      <c r="I548" s="1"/>
      <c r="J548" s="1"/>
      <c r="K548" s="1"/>
      <c r="L548" s="1"/>
      <c r="M548" s="1"/>
      <c r="N548" s="1"/>
      <c r="O548" s="1"/>
      <c r="P548" s="1"/>
      <c r="Q548" s="1"/>
    </row>
    <row r="549" ht="15.75" customHeight="1">
      <c r="A549" s="1"/>
      <c r="B549" s="1"/>
      <c r="C549" s="1"/>
      <c r="D549" s="1"/>
      <c r="E549" s="1"/>
      <c r="F549" s="1"/>
      <c r="G549" s="1"/>
      <c r="H549" s="1"/>
      <c r="I549" s="1"/>
      <c r="J549" s="1"/>
      <c r="K549" s="1"/>
      <c r="L549" s="1"/>
      <c r="M549" s="1"/>
      <c r="N549" s="1"/>
      <c r="O549" s="1"/>
      <c r="P549" s="1"/>
      <c r="Q549" s="1"/>
    </row>
    <row r="550" ht="15.75" customHeight="1">
      <c r="A550" s="1"/>
      <c r="B550" s="1"/>
      <c r="C550" s="1"/>
      <c r="D550" s="1"/>
      <c r="E550" s="1"/>
      <c r="F550" s="1"/>
      <c r="G550" s="1"/>
      <c r="H550" s="1"/>
      <c r="I550" s="1"/>
      <c r="J550" s="1"/>
      <c r="K550" s="1"/>
      <c r="L550" s="1"/>
      <c r="M550" s="1"/>
      <c r="N550" s="1"/>
      <c r="O550" s="1"/>
      <c r="P550" s="1"/>
      <c r="Q550" s="1"/>
    </row>
    <row r="551" ht="15.75" customHeight="1">
      <c r="A551" s="1"/>
      <c r="B551" s="1"/>
      <c r="C551" s="1"/>
      <c r="D551" s="1"/>
      <c r="E551" s="1"/>
      <c r="F551" s="1"/>
      <c r="G551" s="1"/>
      <c r="H551" s="1"/>
      <c r="I551" s="1"/>
      <c r="J551" s="1"/>
      <c r="K551" s="1"/>
      <c r="L551" s="1"/>
      <c r="M551" s="1"/>
      <c r="N551" s="1"/>
      <c r="O551" s="1"/>
      <c r="P551" s="1"/>
      <c r="Q551" s="1"/>
    </row>
    <row r="552" ht="15.75" customHeight="1">
      <c r="A552" s="1"/>
      <c r="B552" s="1"/>
      <c r="C552" s="1"/>
      <c r="D552" s="1"/>
      <c r="E552" s="1"/>
      <c r="F552" s="1"/>
      <c r="G552" s="1"/>
      <c r="H552" s="1"/>
      <c r="I552" s="1"/>
      <c r="J552" s="1"/>
      <c r="K552" s="1"/>
      <c r="L552" s="1"/>
      <c r="M552" s="1"/>
      <c r="N552" s="1"/>
      <c r="O552" s="1"/>
      <c r="P552" s="1"/>
      <c r="Q552" s="1"/>
    </row>
    <row r="553" ht="15.75" customHeight="1">
      <c r="A553" s="1"/>
      <c r="B553" s="1"/>
      <c r="C553" s="1"/>
      <c r="D553" s="1"/>
      <c r="E553" s="1"/>
      <c r="F553" s="1"/>
      <c r="G553" s="1"/>
      <c r="H553" s="1"/>
      <c r="I553" s="1"/>
      <c r="J553" s="1"/>
      <c r="K553" s="1"/>
      <c r="L553" s="1"/>
      <c r="M553" s="1"/>
      <c r="N553" s="1"/>
      <c r="O553" s="1"/>
      <c r="P553" s="1"/>
      <c r="Q553" s="1"/>
    </row>
    <row r="554" ht="15.75" customHeight="1">
      <c r="A554" s="1"/>
      <c r="B554" s="1"/>
      <c r="C554" s="1"/>
      <c r="D554" s="1"/>
      <c r="E554" s="1"/>
      <c r="F554" s="1"/>
      <c r="G554" s="1"/>
      <c r="H554" s="1"/>
      <c r="I554" s="1"/>
      <c r="J554" s="1"/>
      <c r="K554" s="1"/>
      <c r="L554" s="1"/>
      <c r="M554" s="1"/>
      <c r="N554" s="1"/>
      <c r="O554" s="1"/>
      <c r="P554" s="1"/>
      <c r="Q554" s="1"/>
    </row>
    <row r="555" ht="15.75" customHeight="1">
      <c r="A555" s="1"/>
      <c r="B555" s="1"/>
      <c r="C555" s="1"/>
      <c r="D555" s="1"/>
      <c r="E555" s="1"/>
      <c r="F555" s="1"/>
      <c r="G555" s="1"/>
      <c r="H555" s="1"/>
      <c r="I555" s="1"/>
      <c r="J555" s="1"/>
      <c r="K555" s="1"/>
      <c r="L555" s="1"/>
      <c r="M555" s="1"/>
      <c r="N555" s="1"/>
      <c r="O555" s="1"/>
      <c r="P555" s="1"/>
      <c r="Q555" s="1"/>
    </row>
    <row r="556" ht="15.75" customHeight="1">
      <c r="A556" s="1"/>
      <c r="B556" s="1"/>
      <c r="C556" s="1"/>
      <c r="D556" s="1"/>
      <c r="E556" s="1"/>
      <c r="F556" s="1"/>
      <c r="G556" s="1"/>
      <c r="H556" s="1"/>
      <c r="I556" s="1"/>
      <c r="J556" s="1"/>
      <c r="K556" s="1"/>
      <c r="L556" s="1"/>
      <c r="M556" s="1"/>
      <c r="N556" s="1"/>
      <c r="O556" s="1"/>
      <c r="P556" s="1"/>
      <c r="Q556" s="1"/>
    </row>
    <row r="557" ht="15.75" customHeight="1">
      <c r="A557" s="1"/>
      <c r="B557" s="1"/>
      <c r="C557" s="1"/>
      <c r="D557" s="1"/>
      <c r="E557" s="1"/>
      <c r="F557" s="1"/>
      <c r="G557" s="1"/>
      <c r="H557" s="1"/>
      <c r="I557" s="1"/>
      <c r="J557" s="1"/>
      <c r="K557" s="1"/>
      <c r="L557" s="1"/>
      <c r="M557" s="1"/>
      <c r="N557" s="1"/>
      <c r="O557" s="1"/>
      <c r="P557" s="1"/>
      <c r="Q557" s="1"/>
    </row>
    <row r="558" ht="15.75" customHeight="1">
      <c r="A558" s="1"/>
      <c r="B558" s="1"/>
      <c r="C558" s="1"/>
      <c r="D558" s="1"/>
      <c r="E558" s="1"/>
      <c r="F558" s="1"/>
      <c r="G558" s="1"/>
      <c r="H558" s="1"/>
      <c r="I558" s="1"/>
      <c r="J558" s="1"/>
      <c r="K558" s="1"/>
      <c r="L558" s="1"/>
      <c r="M558" s="1"/>
      <c r="N558" s="1"/>
      <c r="O558" s="1"/>
      <c r="P558" s="1"/>
      <c r="Q558" s="1"/>
    </row>
    <row r="559" ht="15.75" customHeight="1">
      <c r="A559" s="1"/>
      <c r="B559" s="1"/>
      <c r="C559" s="1"/>
      <c r="D559" s="1"/>
      <c r="E559" s="1"/>
      <c r="F559" s="1"/>
      <c r="G559" s="1"/>
      <c r="H559" s="1"/>
      <c r="I559" s="1"/>
      <c r="J559" s="1"/>
      <c r="K559" s="1"/>
      <c r="L559" s="1"/>
      <c r="M559" s="1"/>
      <c r="N559" s="1"/>
      <c r="O559" s="1"/>
      <c r="P559" s="1"/>
      <c r="Q559" s="1"/>
    </row>
    <row r="560" ht="15.75" customHeight="1">
      <c r="A560" s="1"/>
      <c r="B560" s="1"/>
      <c r="C560" s="1"/>
      <c r="D560" s="1"/>
      <c r="E560" s="1"/>
      <c r="F560" s="1"/>
      <c r="G560" s="1"/>
      <c r="H560" s="1"/>
      <c r="I560" s="1"/>
      <c r="J560" s="1"/>
      <c r="K560" s="1"/>
      <c r="L560" s="1"/>
      <c r="M560" s="1"/>
      <c r="N560" s="1"/>
      <c r="O560" s="1"/>
      <c r="P560" s="1"/>
      <c r="Q560" s="1"/>
    </row>
    <row r="561" ht="15.75" customHeight="1">
      <c r="A561" s="1"/>
      <c r="B561" s="1"/>
      <c r="C561" s="1"/>
      <c r="D561" s="1"/>
      <c r="E561" s="1"/>
      <c r="F561" s="1"/>
      <c r="G561" s="1"/>
      <c r="H561" s="1"/>
      <c r="I561" s="1"/>
      <c r="J561" s="1"/>
      <c r="K561" s="1"/>
      <c r="L561" s="1"/>
      <c r="M561" s="1"/>
      <c r="N561" s="1"/>
      <c r="O561" s="1"/>
      <c r="P561" s="1"/>
      <c r="Q561" s="1"/>
    </row>
    <row r="562" ht="15.75" customHeight="1">
      <c r="A562" s="1"/>
      <c r="B562" s="1"/>
      <c r="C562" s="1"/>
      <c r="D562" s="1"/>
      <c r="E562" s="1"/>
      <c r="F562" s="1"/>
      <c r="G562" s="1"/>
      <c r="H562" s="1"/>
      <c r="I562" s="1"/>
      <c r="J562" s="1"/>
      <c r="K562" s="1"/>
      <c r="L562" s="1"/>
      <c r="M562" s="1"/>
      <c r="N562" s="1"/>
      <c r="O562" s="1"/>
      <c r="P562" s="1"/>
      <c r="Q562" s="1"/>
    </row>
    <row r="563" ht="15.75" customHeight="1">
      <c r="A563" s="1"/>
      <c r="B563" s="1"/>
      <c r="C563" s="1"/>
      <c r="D563" s="1"/>
      <c r="E563" s="1"/>
      <c r="F563" s="1"/>
      <c r="G563" s="1"/>
      <c r="H563" s="1"/>
      <c r="I563" s="1"/>
      <c r="J563" s="1"/>
      <c r="K563" s="1"/>
      <c r="L563" s="1"/>
      <c r="M563" s="1"/>
      <c r="N563" s="1"/>
      <c r="O563" s="1"/>
      <c r="P563" s="1"/>
      <c r="Q563" s="1"/>
    </row>
    <row r="564" ht="15.75" customHeight="1">
      <c r="A564" s="1"/>
      <c r="B564" s="1"/>
      <c r="C564" s="1"/>
      <c r="D564" s="1"/>
      <c r="E564" s="1"/>
      <c r="F564" s="1"/>
      <c r="G564" s="1"/>
      <c r="H564" s="1"/>
      <c r="I564" s="1"/>
      <c r="J564" s="1"/>
      <c r="K564" s="1"/>
      <c r="L564" s="1"/>
      <c r="M564" s="1"/>
      <c r="N564" s="1"/>
      <c r="O564" s="1"/>
      <c r="P564" s="1"/>
      <c r="Q564" s="1"/>
    </row>
    <row r="565" ht="15.75" customHeight="1">
      <c r="A565" s="1"/>
      <c r="B565" s="1"/>
      <c r="C565" s="1"/>
      <c r="D565" s="1"/>
      <c r="E565" s="1"/>
      <c r="F565" s="1"/>
      <c r="G565" s="1"/>
      <c r="H565" s="1"/>
      <c r="I565" s="1"/>
      <c r="J565" s="1"/>
      <c r="K565" s="1"/>
      <c r="L565" s="1"/>
      <c r="M565" s="1"/>
      <c r="N565" s="1"/>
      <c r="O565" s="1"/>
      <c r="P565" s="1"/>
      <c r="Q565" s="1"/>
    </row>
    <row r="566" ht="15.75" customHeight="1">
      <c r="A566" s="1"/>
      <c r="B566" s="1"/>
      <c r="C566" s="1"/>
      <c r="D566" s="1"/>
      <c r="E566" s="1"/>
      <c r="F566" s="1"/>
      <c r="G566" s="1"/>
      <c r="H566" s="1"/>
      <c r="I566" s="1"/>
      <c r="J566" s="1"/>
      <c r="K566" s="1"/>
      <c r="L566" s="1"/>
      <c r="M566" s="1"/>
      <c r="N566" s="1"/>
      <c r="O566" s="1"/>
      <c r="P566" s="1"/>
      <c r="Q566" s="1"/>
    </row>
    <row r="567" ht="15.75" customHeight="1">
      <c r="A567" s="1"/>
      <c r="B567" s="1"/>
      <c r="C567" s="1"/>
      <c r="D567" s="1"/>
      <c r="E567" s="1"/>
      <c r="F567" s="1"/>
      <c r="G567" s="1"/>
      <c r="H567" s="1"/>
      <c r="I567" s="1"/>
      <c r="J567" s="1"/>
      <c r="K567" s="1"/>
      <c r="L567" s="1"/>
      <c r="M567" s="1"/>
      <c r="N567" s="1"/>
      <c r="O567" s="1"/>
      <c r="P567" s="1"/>
      <c r="Q567" s="1"/>
    </row>
    <row r="568" ht="15.75" customHeight="1">
      <c r="A568" s="1"/>
      <c r="B568" s="1"/>
      <c r="C568" s="1"/>
      <c r="D568" s="1"/>
      <c r="E568" s="1"/>
      <c r="F568" s="1"/>
      <c r="G568" s="1"/>
      <c r="H568" s="1"/>
      <c r="I568" s="1"/>
      <c r="J568" s="1"/>
      <c r="K568" s="1"/>
      <c r="L568" s="1"/>
      <c r="M568" s="1"/>
      <c r="N568" s="1"/>
      <c r="O568" s="1"/>
      <c r="P568" s="1"/>
      <c r="Q568" s="1"/>
    </row>
    <row r="569" ht="15.75" customHeight="1">
      <c r="A569" s="1"/>
      <c r="B569" s="1"/>
      <c r="C569" s="1"/>
      <c r="D569" s="1"/>
      <c r="E569" s="1"/>
      <c r="F569" s="1"/>
      <c r="G569" s="1"/>
      <c r="H569" s="1"/>
      <c r="I569" s="1"/>
      <c r="J569" s="1"/>
      <c r="K569" s="1"/>
      <c r="L569" s="1"/>
      <c r="M569" s="1"/>
      <c r="N569" s="1"/>
      <c r="O569" s="1"/>
      <c r="P569" s="1"/>
      <c r="Q569" s="1"/>
    </row>
    <row r="570" ht="15.75" customHeight="1">
      <c r="A570" s="1"/>
      <c r="B570" s="1"/>
      <c r="C570" s="1"/>
      <c r="D570" s="1"/>
      <c r="E570" s="1"/>
      <c r="F570" s="1"/>
      <c r="G570" s="1"/>
      <c r="H570" s="1"/>
      <c r="I570" s="1"/>
      <c r="J570" s="1"/>
      <c r="K570" s="1"/>
      <c r="L570" s="1"/>
      <c r="M570" s="1"/>
      <c r="N570" s="1"/>
      <c r="O570" s="1"/>
      <c r="P570" s="1"/>
      <c r="Q570" s="1"/>
    </row>
    <row r="571" ht="15.75" customHeight="1">
      <c r="A571" s="1"/>
      <c r="B571" s="1"/>
      <c r="C571" s="1"/>
      <c r="D571" s="1"/>
      <c r="E571" s="1"/>
      <c r="F571" s="1"/>
      <c r="G571" s="1"/>
      <c r="H571" s="1"/>
      <c r="I571" s="1"/>
      <c r="J571" s="1"/>
      <c r="K571" s="1"/>
      <c r="L571" s="1"/>
      <c r="M571" s="1"/>
      <c r="N571" s="1"/>
      <c r="O571" s="1"/>
      <c r="P571" s="1"/>
      <c r="Q571" s="1"/>
    </row>
    <row r="572" ht="15.75" customHeight="1">
      <c r="A572" s="1"/>
      <c r="B572" s="1"/>
      <c r="C572" s="1"/>
      <c r="D572" s="1"/>
      <c r="E572" s="1"/>
      <c r="F572" s="1"/>
      <c r="G572" s="1"/>
      <c r="H572" s="1"/>
      <c r="I572" s="1"/>
      <c r="J572" s="1"/>
      <c r="K572" s="1"/>
      <c r="L572" s="1"/>
      <c r="M572" s="1"/>
      <c r="N572" s="1"/>
      <c r="O572" s="1"/>
      <c r="P572" s="1"/>
      <c r="Q572" s="1"/>
    </row>
    <row r="573" ht="15.75" customHeight="1">
      <c r="A573" s="1"/>
      <c r="B573" s="1"/>
      <c r="C573" s="1"/>
      <c r="D573" s="1"/>
      <c r="E573" s="1"/>
      <c r="F573" s="1"/>
      <c r="G573" s="1"/>
      <c r="H573" s="1"/>
      <c r="I573" s="1"/>
      <c r="J573" s="1"/>
      <c r="K573" s="1"/>
      <c r="L573" s="1"/>
      <c r="M573" s="1"/>
      <c r="N573" s="1"/>
      <c r="O573" s="1"/>
      <c r="P573" s="1"/>
      <c r="Q573" s="1"/>
    </row>
    <row r="574" ht="15.75" customHeight="1">
      <c r="A574" s="1"/>
      <c r="B574" s="1"/>
      <c r="C574" s="1"/>
      <c r="D574" s="1"/>
      <c r="E574" s="1"/>
      <c r="F574" s="1"/>
      <c r="G574" s="1"/>
      <c r="H574" s="1"/>
      <c r="I574" s="1"/>
      <c r="J574" s="1"/>
      <c r="K574" s="1"/>
      <c r="L574" s="1"/>
      <c r="M574" s="1"/>
      <c r="N574" s="1"/>
      <c r="O574" s="1"/>
      <c r="P574" s="1"/>
      <c r="Q574" s="1"/>
    </row>
    <row r="575" ht="15.75" customHeight="1">
      <c r="A575" s="1"/>
      <c r="B575" s="1"/>
      <c r="C575" s="1"/>
      <c r="D575" s="1"/>
      <c r="E575" s="1"/>
      <c r="F575" s="1"/>
      <c r="G575" s="1"/>
      <c r="H575" s="1"/>
      <c r="I575" s="1"/>
      <c r="J575" s="1"/>
      <c r="K575" s="1"/>
      <c r="L575" s="1"/>
      <c r="M575" s="1"/>
      <c r="N575" s="1"/>
      <c r="O575" s="1"/>
      <c r="P575" s="1"/>
      <c r="Q575" s="1"/>
    </row>
    <row r="576" ht="15.75" customHeight="1">
      <c r="A576" s="1"/>
      <c r="B576" s="1"/>
      <c r="C576" s="1"/>
      <c r="D576" s="1"/>
      <c r="E576" s="1"/>
      <c r="F576" s="1"/>
      <c r="G576" s="1"/>
      <c r="H576" s="1"/>
      <c r="I576" s="1"/>
      <c r="J576" s="1"/>
      <c r="K576" s="1"/>
      <c r="L576" s="1"/>
      <c r="M576" s="1"/>
      <c r="N576" s="1"/>
      <c r="O576" s="1"/>
      <c r="P576" s="1"/>
      <c r="Q576" s="1"/>
    </row>
    <row r="577" ht="15.75" customHeight="1">
      <c r="A577" s="1"/>
      <c r="B577" s="1"/>
      <c r="C577" s="1"/>
      <c r="D577" s="1"/>
      <c r="E577" s="1"/>
      <c r="F577" s="1"/>
      <c r="G577" s="1"/>
      <c r="H577" s="1"/>
      <c r="I577" s="1"/>
      <c r="J577" s="1"/>
      <c r="K577" s="1"/>
      <c r="L577" s="1"/>
      <c r="M577" s="1"/>
      <c r="N577" s="1"/>
      <c r="O577" s="1"/>
      <c r="P577" s="1"/>
      <c r="Q577" s="1"/>
    </row>
    <row r="578" ht="15.75" customHeight="1">
      <c r="A578" s="1"/>
      <c r="B578" s="1"/>
      <c r="C578" s="1"/>
      <c r="D578" s="1"/>
      <c r="E578" s="1"/>
      <c r="F578" s="1"/>
      <c r="G578" s="1"/>
      <c r="H578" s="1"/>
      <c r="I578" s="1"/>
      <c r="J578" s="1"/>
      <c r="K578" s="1"/>
      <c r="L578" s="1"/>
      <c r="M578" s="1"/>
      <c r="N578" s="1"/>
      <c r="O578" s="1"/>
      <c r="P578" s="1"/>
      <c r="Q578" s="1"/>
    </row>
    <row r="579" ht="15.75" customHeight="1">
      <c r="A579" s="1"/>
      <c r="B579" s="1"/>
      <c r="C579" s="1"/>
      <c r="D579" s="1"/>
      <c r="E579" s="1"/>
      <c r="F579" s="1"/>
      <c r="G579" s="1"/>
      <c r="H579" s="1"/>
      <c r="I579" s="1"/>
      <c r="J579" s="1"/>
      <c r="K579" s="1"/>
      <c r="L579" s="1"/>
      <c r="M579" s="1"/>
      <c r="N579" s="1"/>
      <c r="O579" s="1"/>
      <c r="P579" s="1"/>
      <c r="Q579" s="1"/>
    </row>
    <row r="580" ht="15.75" customHeight="1">
      <c r="A580" s="1"/>
      <c r="B580" s="1"/>
      <c r="C580" s="1"/>
      <c r="D580" s="1"/>
      <c r="E580" s="1"/>
      <c r="F580" s="1"/>
      <c r="G580" s="1"/>
      <c r="H580" s="1"/>
      <c r="I580" s="1"/>
      <c r="J580" s="1"/>
      <c r="K580" s="1"/>
      <c r="L580" s="1"/>
      <c r="M580" s="1"/>
      <c r="N580" s="1"/>
      <c r="O580" s="1"/>
      <c r="P580" s="1"/>
      <c r="Q580" s="1"/>
    </row>
    <row r="581" ht="15.75" customHeight="1">
      <c r="A581" s="1"/>
      <c r="B581" s="1"/>
      <c r="C581" s="1"/>
      <c r="D581" s="1"/>
      <c r="E581" s="1"/>
      <c r="F581" s="1"/>
      <c r="G581" s="1"/>
      <c r="H581" s="1"/>
      <c r="I581" s="1"/>
      <c r="J581" s="1"/>
      <c r="K581" s="1"/>
      <c r="L581" s="1"/>
      <c r="M581" s="1"/>
      <c r="N581" s="1"/>
      <c r="O581" s="1"/>
      <c r="P581" s="1"/>
      <c r="Q581" s="1"/>
    </row>
    <row r="582" ht="15.75" customHeight="1">
      <c r="A582" s="1"/>
      <c r="B582" s="1"/>
      <c r="C582" s="1"/>
      <c r="D582" s="1"/>
      <c r="E582" s="1"/>
      <c r="F582" s="1"/>
      <c r="G582" s="1"/>
      <c r="H582" s="1"/>
      <c r="I582" s="1"/>
      <c r="J582" s="1"/>
      <c r="K582" s="1"/>
      <c r="L582" s="1"/>
      <c r="M582" s="1"/>
      <c r="N582" s="1"/>
      <c r="O582" s="1"/>
      <c r="P582" s="1"/>
      <c r="Q582" s="1"/>
    </row>
    <row r="583" ht="15.75" customHeight="1">
      <c r="A583" s="1"/>
      <c r="B583" s="1"/>
      <c r="C583" s="1"/>
      <c r="D583" s="1"/>
      <c r="E583" s="1"/>
      <c r="F583" s="1"/>
      <c r="G583" s="1"/>
      <c r="H583" s="1"/>
      <c r="I583" s="1"/>
      <c r="J583" s="1"/>
      <c r="K583" s="1"/>
      <c r="L583" s="1"/>
      <c r="M583" s="1"/>
      <c r="N583" s="1"/>
      <c r="O583" s="1"/>
      <c r="P583" s="1"/>
      <c r="Q583" s="1"/>
    </row>
    <row r="584" ht="15.75" customHeight="1">
      <c r="A584" s="1"/>
      <c r="B584" s="1"/>
      <c r="C584" s="1"/>
      <c r="D584" s="1"/>
      <c r="E584" s="1"/>
      <c r="F584" s="1"/>
      <c r="G584" s="1"/>
      <c r="H584" s="1"/>
      <c r="I584" s="1"/>
      <c r="J584" s="1"/>
      <c r="K584" s="1"/>
      <c r="L584" s="1"/>
      <c r="M584" s="1"/>
      <c r="N584" s="1"/>
      <c r="O584" s="1"/>
      <c r="P584" s="1"/>
      <c r="Q584" s="1"/>
    </row>
    <row r="585" ht="15.75" customHeight="1">
      <c r="A585" s="1"/>
      <c r="B585" s="1"/>
      <c r="C585" s="1"/>
      <c r="D585" s="1"/>
      <c r="E585" s="1"/>
      <c r="F585" s="1"/>
      <c r="G585" s="1"/>
      <c r="H585" s="1"/>
      <c r="I585" s="1"/>
      <c r="J585" s="1"/>
      <c r="K585" s="1"/>
      <c r="L585" s="1"/>
      <c r="M585" s="1"/>
      <c r="N585" s="1"/>
      <c r="O585" s="1"/>
      <c r="P585" s="1"/>
      <c r="Q585" s="1"/>
    </row>
    <row r="586" ht="15.75" customHeight="1">
      <c r="A586" s="1"/>
      <c r="B586" s="1"/>
      <c r="C586" s="1"/>
      <c r="D586" s="1"/>
      <c r="E586" s="1"/>
      <c r="F586" s="1"/>
      <c r="G586" s="1"/>
      <c r="H586" s="1"/>
      <c r="I586" s="1"/>
      <c r="J586" s="1"/>
      <c r="K586" s="1"/>
      <c r="L586" s="1"/>
      <c r="M586" s="1"/>
      <c r="N586" s="1"/>
      <c r="O586" s="1"/>
      <c r="P586" s="1"/>
      <c r="Q586" s="1"/>
    </row>
    <row r="587" ht="15.75" customHeight="1">
      <c r="A587" s="1"/>
      <c r="B587" s="1"/>
      <c r="C587" s="1"/>
      <c r="D587" s="1"/>
      <c r="E587" s="1"/>
      <c r="F587" s="1"/>
      <c r="G587" s="1"/>
      <c r="H587" s="1"/>
      <c r="I587" s="1"/>
      <c r="J587" s="1"/>
      <c r="K587" s="1"/>
      <c r="L587" s="1"/>
      <c r="M587" s="1"/>
      <c r="N587" s="1"/>
      <c r="O587" s="1"/>
      <c r="P587" s="1"/>
      <c r="Q587" s="1"/>
    </row>
    <row r="588" ht="15.75" customHeight="1">
      <c r="A588" s="1"/>
      <c r="B588" s="1"/>
      <c r="C588" s="1"/>
      <c r="D588" s="1"/>
      <c r="E588" s="1"/>
      <c r="F588" s="1"/>
      <c r="G588" s="1"/>
      <c r="H588" s="1"/>
      <c r="I588" s="1"/>
      <c r="J588" s="1"/>
      <c r="K588" s="1"/>
      <c r="L588" s="1"/>
      <c r="M588" s="1"/>
      <c r="N588" s="1"/>
      <c r="O588" s="1"/>
      <c r="P588" s="1"/>
      <c r="Q588" s="1"/>
    </row>
    <row r="589" ht="15.75" customHeight="1">
      <c r="A589" s="1"/>
      <c r="B589" s="1"/>
      <c r="C589" s="1"/>
      <c r="D589" s="1"/>
      <c r="E589" s="1"/>
      <c r="F589" s="1"/>
      <c r="G589" s="1"/>
      <c r="H589" s="1"/>
      <c r="I589" s="1"/>
      <c r="J589" s="1"/>
      <c r="K589" s="1"/>
      <c r="L589" s="1"/>
      <c r="M589" s="1"/>
      <c r="N589" s="1"/>
      <c r="O589" s="1"/>
      <c r="P589" s="1"/>
      <c r="Q589" s="1"/>
    </row>
    <row r="590" ht="15.75" customHeight="1">
      <c r="A590" s="1"/>
      <c r="B590" s="1"/>
      <c r="C590" s="1"/>
      <c r="D590" s="1"/>
      <c r="E590" s="1"/>
      <c r="F590" s="1"/>
      <c r="G590" s="1"/>
      <c r="H590" s="1"/>
      <c r="I590" s="1"/>
      <c r="J590" s="1"/>
      <c r="K590" s="1"/>
      <c r="L590" s="1"/>
      <c r="M590" s="1"/>
      <c r="N590" s="1"/>
      <c r="O590" s="1"/>
      <c r="P590" s="1"/>
      <c r="Q590" s="1"/>
    </row>
    <row r="591" ht="15.75" customHeight="1">
      <c r="A591" s="1"/>
      <c r="B591" s="1"/>
      <c r="C591" s="1"/>
      <c r="D591" s="1"/>
      <c r="E591" s="1"/>
      <c r="F591" s="1"/>
      <c r="G591" s="1"/>
      <c r="H591" s="1"/>
      <c r="I591" s="1"/>
      <c r="J591" s="1"/>
      <c r="K591" s="1"/>
      <c r="L591" s="1"/>
      <c r="M591" s="1"/>
      <c r="N591" s="1"/>
      <c r="O591" s="1"/>
      <c r="P591" s="1"/>
      <c r="Q591" s="1"/>
    </row>
    <row r="592" ht="15.75" customHeight="1">
      <c r="A592" s="1"/>
      <c r="B592" s="1"/>
      <c r="C592" s="1"/>
      <c r="D592" s="1"/>
      <c r="E592" s="1"/>
      <c r="F592" s="1"/>
      <c r="G592" s="1"/>
      <c r="H592" s="1"/>
      <c r="I592" s="1"/>
      <c r="J592" s="1"/>
      <c r="K592" s="1"/>
      <c r="L592" s="1"/>
      <c r="M592" s="1"/>
      <c r="N592" s="1"/>
      <c r="O592" s="1"/>
      <c r="P592" s="1"/>
      <c r="Q592" s="1"/>
    </row>
    <row r="593" ht="15.75" customHeight="1">
      <c r="A593" s="1"/>
      <c r="B593" s="1"/>
      <c r="C593" s="1"/>
      <c r="D593" s="1"/>
      <c r="E593" s="1"/>
      <c r="F593" s="1"/>
      <c r="G593" s="1"/>
      <c r="H593" s="1"/>
      <c r="I593" s="1"/>
      <c r="J593" s="1"/>
      <c r="K593" s="1"/>
      <c r="L593" s="1"/>
      <c r="M593" s="1"/>
      <c r="N593" s="1"/>
      <c r="O593" s="1"/>
      <c r="P593" s="1"/>
      <c r="Q593" s="1"/>
    </row>
    <row r="594" ht="15.75" customHeight="1">
      <c r="A594" s="1"/>
      <c r="B594" s="1"/>
      <c r="C594" s="1"/>
      <c r="D594" s="1"/>
      <c r="E594" s="1"/>
      <c r="F594" s="1"/>
      <c r="G594" s="1"/>
      <c r="H594" s="1"/>
      <c r="I594" s="1"/>
      <c r="J594" s="1"/>
      <c r="K594" s="1"/>
      <c r="L594" s="1"/>
      <c r="M594" s="1"/>
      <c r="N594" s="1"/>
      <c r="O594" s="1"/>
      <c r="P594" s="1"/>
      <c r="Q594" s="1"/>
    </row>
    <row r="595" ht="15.75" customHeight="1">
      <c r="A595" s="1"/>
      <c r="B595" s="1"/>
      <c r="C595" s="1"/>
      <c r="D595" s="1"/>
      <c r="E595" s="1"/>
      <c r="F595" s="1"/>
      <c r="G595" s="1"/>
      <c r="H595" s="1"/>
      <c r="I595" s="1"/>
      <c r="J595" s="1"/>
      <c r="K595" s="1"/>
      <c r="L595" s="1"/>
      <c r="M595" s="1"/>
      <c r="N595" s="1"/>
      <c r="O595" s="1"/>
      <c r="P595" s="1"/>
      <c r="Q595" s="1"/>
    </row>
    <row r="596" ht="15.75" customHeight="1">
      <c r="A596" s="1"/>
      <c r="B596" s="1"/>
      <c r="C596" s="1"/>
      <c r="D596" s="1"/>
      <c r="E596" s="1"/>
      <c r="F596" s="1"/>
      <c r="G596" s="1"/>
      <c r="H596" s="1"/>
      <c r="I596" s="1"/>
      <c r="J596" s="1"/>
      <c r="K596" s="1"/>
      <c r="L596" s="1"/>
      <c r="M596" s="1"/>
      <c r="N596" s="1"/>
      <c r="O596" s="1"/>
      <c r="P596" s="1"/>
      <c r="Q596" s="1"/>
    </row>
    <row r="597" ht="15.75" customHeight="1">
      <c r="A597" s="1"/>
      <c r="B597" s="1"/>
      <c r="C597" s="1"/>
      <c r="D597" s="1"/>
      <c r="E597" s="1"/>
      <c r="F597" s="1"/>
      <c r="G597" s="1"/>
      <c r="H597" s="1"/>
      <c r="I597" s="1"/>
      <c r="J597" s="1"/>
      <c r="K597" s="1"/>
      <c r="L597" s="1"/>
      <c r="M597" s="1"/>
      <c r="N597" s="1"/>
      <c r="O597" s="1"/>
      <c r="P597" s="1"/>
      <c r="Q597" s="1"/>
    </row>
    <row r="598" ht="15.75" customHeight="1">
      <c r="A598" s="1"/>
      <c r="B598" s="1"/>
      <c r="C598" s="1"/>
      <c r="D598" s="1"/>
      <c r="E598" s="1"/>
      <c r="F598" s="1"/>
      <c r="G598" s="1"/>
      <c r="H598" s="1"/>
      <c r="I598" s="1"/>
      <c r="J598" s="1"/>
      <c r="K598" s="1"/>
      <c r="L598" s="1"/>
      <c r="M598" s="1"/>
      <c r="N598" s="1"/>
      <c r="O598" s="1"/>
      <c r="P598" s="1"/>
      <c r="Q598" s="1"/>
    </row>
    <row r="599" ht="15.75" customHeight="1">
      <c r="A599" s="1"/>
      <c r="B599" s="1"/>
      <c r="C599" s="1"/>
      <c r="D599" s="1"/>
      <c r="E599" s="1"/>
      <c r="F599" s="1"/>
      <c r="G599" s="1"/>
      <c r="H599" s="1"/>
      <c r="I599" s="1"/>
      <c r="J599" s="1"/>
      <c r="K599" s="1"/>
      <c r="L599" s="1"/>
      <c r="M599" s="1"/>
      <c r="N599" s="1"/>
      <c r="O599" s="1"/>
      <c r="P599" s="1"/>
      <c r="Q599" s="1"/>
    </row>
    <row r="600" ht="15.75" customHeight="1">
      <c r="A600" s="1"/>
      <c r="B600" s="1"/>
      <c r="C600" s="1"/>
      <c r="D600" s="1"/>
      <c r="E600" s="1"/>
      <c r="F600" s="1"/>
      <c r="G600" s="1"/>
      <c r="H600" s="1"/>
      <c r="I600" s="1"/>
      <c r="J600" s="1"/>
      <c r="K600" s="1"/>
      <c r="L600" s="1"/>
      <c r="M600" s="1"/>
      <c r="N600" s="1"/>
      <c r="O600" s="1"/>
      <c r="P600" s="1"/>
      <c r="Q600" s="1"/>
    </row>
    <row r="601" ht="15.75" customHeight="1">
      <c r="A601" s="1"/>
      <c r="B601" s="1"/>
      <c r="C601" s="1"/>
      <c r="D601" s="1"/>
      <c r="E601" s="1"/>
      <c r="F601" s="1"/>
      <c r="G601" s="1"/>
      <c r="H601" s="1"/>
      <c r="I601" s="1"/>
      <c r="J601" s="1"/>
      <c r="K601" s="1"/>
      <c r="L601" s="1"/>
      <c r="M601" s="1"/>
      <c r="N601" s="1"/>
      <c r="O601" s="1"/>
      <c r="P601" s="1"/>
      <c r="Q601" s="1"/>
    </row>
    <row r="602" ht="15.75" customHeight="1">
      <c r="A602" s="1"/>
      <c r="B602" s="1"/>
      <c r="C602" s="1"/>
      <c r="D602" s="1"/>
      <c r="E602" s="1"/>
      <c r="F602" s="1"/>
      <c r="G602" s="1"/>
      <c r="H602" s="1"/>
      <c r="I602" s="1"/>
      <c r="J602" s="1"/>
      <c r="K602" s="1"/>
      <c r="L602" s="1"/>
      <c r="M602" s="1"/>
      <c r="N602" s="1"/>
      <c r="O602" s="1"/>
      <c r="P602" s="1"/>
      <c r="Q602" s="1"/>
    </row>
    <row r="603" ht="15.75" customHeight="1">
      <c r="A603" s="1"/>
      <c r="B603" s="1"/>
      <c r="C603" s="1"/>
      <c r="D603" s="1"/>
      <c r="E603" s="1"/>
      <c r="F603" s="1"/>
      <c r="G603" s="1"/>
      <c r="H603" s="1"/>
      <c r="I603" s="1"/>
      <c r="J603" s="1"/>
      <c r="K603" s="1"/>
      <c r="L603" s="1"/>
      <c r="M603" s="1"/>
      <c r="N603" s="1"/>
      <c r="O603" s="1"/>
      <c r="P603" s="1"/>
      <c r="Q603" s="1"/>
    </row>
    <row r="604" ht="15.75" customHeight="1">
      <c r="A604" s="1"/>
      <c r="B604" s="1"/>
      <c r="C604" s="1"/>
      <c r="D604" s="1"/>
      <c r="E604" s="1"/>
      <c r="F604" s="1"/>
      <c r="G604" s="1"/>
      <c r="H604" s="1"/>
      <c r="I604" s="1"/>
      <c r="J604" s="1"/>
      <c r="K604" s="1"/>
      <c r="L604" s="1"/>
      <c r="M604" s="1"/>
      <c r="N604" s="1"/>
      <c r="O604" s="1"/>
      <c r="P604" s="1"/>
      <c r="Q604" s="1"/>
    </row>
    <row r="605" ht="15.75" customHeight="1">
      <c r="A605" s="1"/>
      <c r="B605" s="1"/>
      <c r="C605" s="1"/>
      <c r="D605" s="1"/>
      <c r="E605" s="1"/>
      <c r="F605" s="1"/>
      <c r="G605" s="1"/>
      <c r="H605" s="1"/>
      <c r="I605" s="1"/>
      <c r="J605" s="1"/>
      <c r="K605" s="1"/>
      <c r="L605" s="1"/>
      <c r="M605" s="1"/>
      <c r="N605" s="1"/>
      <c r="O605" s="1"/>
      <c r="P605" s="1"/>
      <c r="Q605" s="1"/>
    </row>
    <row r="606" ht="15.75" customHeight="1">
      <c r="A606" s="1"/>
      <c r="B606" s="1"/>
      <c r="C606" s="1"/>
      <c r="D606" s="1"/>
      <c r="E606" s="1"/>
      <c r="F606" s="1"/>
      <c r="G606" s="1"/>
      <c r="H606" s="1"/>
      <c r="I606" s="1"/>
      <c r="J606" s="1"/>
      <c r="K606" s="1"/>
      <c r="L606" s="1"/>
      <c r="M606" s="1"/>
      <c r="N606" s="1"/>
      <c r="O606" s="1"/>
      <c r="P606" s="1"/>
      <c r="Q606" s="1"/>
    </row>
    <row r="607" ht="15.75" customHeight="1">
      <c r="A607" s="1"/>
      <c r="B607" s="1"/>
      <c r="C607" s="1"/>
      <c r="D607" s="1"/>
      <c r="E607" s="1"/>
      <c r="F607" s="1"/>
      <c r="G607" s="1"/>
      <c r="H607" s="1"/>
      <c r="I607" s="1"/>
      <c r="J607" s="1"/>
      <c r="K607" s="1"/>
      <c r="L607" s="1"/>
      <c r="M607" s="1"/>
      <c r="N607" s="1"/>
      <c r="O607" s="1"/>
      <c r="P607" s="1"/>
      <c r="Q607" s="1"/>
    </row>
    <row r="608" ht="15.75" customHeight="1">
      <c r="A608" s="1"/>
      <c r="B608" s="1"/>
      <c r="C608" s="1"/>
      <c r="D608" s="1"/>
      <c r="E608" s="1"/>
      <c r="F608" s="1"/>
      <c r="G608" s="1"/>
      <c r="H608" s="1"/>
      <c r="I608" s="1"/>
      <c r="J608" s="1"/>
      <c r="K608" s="1"/>
      <c r="L608" s="1"/>
      <c r="M608" s="1"/>
      <c r="N608" s="1"/>
      <c r="O608" s="1"/>
      <c r="P608" s="1"/>
      <c r="Q608" s="1"/>
    </row>
    <row r="609" ht="15.75" customHeight="1">
      <c r="A609" s="1"/>
      <c r="B609" s="1"/>
      <c r="C609" s="1"/>
      <c r="D609" s="1"/>
      <c r="E609" s="1"/>
      <c r="F609" s="1"/>
      <c r="G609" s="1"/>
      <c r="H609" s="1"/>
      <c r="I609" s="1"/>
      <c r="J609" s="1"/>
      <c r="K609" s="1"/>
      <c r="L609" s="1"/>
      <c r="M609" s="1"/>
      <c r="N609" s="1"/>
      <c r="O609" s="1"/>
      <c r="P609" s="1"/>
      <c r="Q609" s="1"/>
    </row>
    <row r="610" ht="15.75" customHeight="1">
      <c r="A610" s="1"/>
      <c r="B610" s="1"/>
      <c r="C610" s="1"/>
      <c r="D610" s="1"/>
      <c r="E610" s="1"/>
      <c r="F610" s="1"/>
      <c r="G610" s="1"/>
      <c r="H610" s="1"/>
      <c r="I610" s="1"/>
      <c r="J610" s="1"/>
      <c r="K610" s="1"/>
      <c r="L610" s="1"/>
      <c r="M610" s="1"/>
      <c r="N610" s="1"/>
      <c r="O610" s="1"/>
      <c r="P610" s="1"/>
      <c r="Q610" s="1"/>
    </row>
    <row r="611" ht="15.75" customHeight="1">
      <c r="A611" s="1"/>
      <c r="B611" s="1"/>
      <c r="C611" s="1"/>
      <c r="D611" s="1"/>
      <c r="E611" s="1"/>
      <c r="F611" s="1"/>
      <c r="G611" s="1"/>
      <c r="H611" s="1"/>
      <c r="I611" s="1"/>
      <c r="J611" s="1"/>
      <c r="K611" s="1"/>
      <c r="L611" s="1"/>
      <c r="M611" s="1"/>
      <c r="N611" s="1"/>
      <c r="O611" s="1"/>
      <c r="P611" s="1"/>
      <c r="Q611" s="1"/>
    </row>
    <row r="612" ht="15.75" customHeight="1">
      <c r="A612" s="1"/>
      <c r="B612" s="1"/>
      <c r="C612" s="1"/>
      <c r="D612" s="1"/>
      <c r="E612" s="1"/>
      <c r="F612" s="1"/>
      <c r="G612" s="1"/>
      <c r="H612" s="1"/>
      <c r="I612" s="1"/>
      <c r="J612" s="1"/>
      <c r="K612" s="1"/>
      <c r="L612" s="1"/>
      <c r="M612" s="1"/>
      <c r="N612" s="1"/>
      <c r="O612" s="1"/>
      <c r="P612" s="1"/>
      <c r="Q612" s="1"/>
    </row>
    <row r="613" ht="15.75" customHeight="1">
      <c r="A613" s="1"/>
      <c r="B613" s="1"/>
      <c r="C613" s="1"/>
      <c r="D613" s="1"/>
      <c r="E613" s="1"/>
      <c r="F613" s="1"/>
      <c r="G613" s="1"/>
      <c r="H613" s="1"/>
      <c r="I613" s="1"/>
      <c r="J613" s="1"/>
      <c r="K613" s="1"/>
      <c r="L613" s="1"/>
      <c r="M613" s="1"/>
      <c r="N613" s="1"/>
      <c r="O613" s="1"/>
      <c r="P613" s="1"/>
      <c r="Q613" s="1"/>
    </row>
    <row r="614" ht="15.75" customHeight="1">
      <c r="A614" s="1"/>
      <c r="B614" s="1"/>
      <c r="C614" s="1"/>
      <c r="D614" s="1"/>
      <c r="E614" s="1"/>
      <c r="F614" s="1"/>
      <c r="G614" s="1"/>
      <c r="H614" s="1"/>
      <c r="I614" s="1"/>
      <c r="J614" s="1"/>
      <c r="K614" s="1"/>
      <c r="L614" s="1"/>
      <c r="M614" s="1"/>
      <c r="N614" s="1"/>
      <c r="O614" s="1"/>
      <c r="P614" s="1"/>
      <c r="Q614" s="1"/>
    </row>
    <row r="615" ht="15.75" customHeight="1">
      <c r="A615" s="1"/>
      <c r="B615" s="1"/>
      <c r="C615" s="1"/>
      <c r="D615" s="1"/>
      <c r="E615" s="1"/>
      <c r="F615" s="1"/>
      <c r="G615" s="1"/>
      <c r="H615" s="1"/>
      <c r="I615" s="1"/>
      <c r="J615" s="1"/>
      <c r="K615" s="1"/>
      <c r="L615" s="1"/>
      <c r="M615" s="1"/>
      <c r="N615" s="1"/>
      <c r="O615" s="1"/>
      <c r="P615" s="1"/>
      <c r="Q615" s="1"/>
    </row>
    <row r="616" ht="15.75" customHeight="1">
      <c r="A616" s="1"/>
      <c r="B616" s="1"/>
      <c r="C616" s="1"/>
      <c r="D616" s="1"/>
      <c r="E616" s="1"/>
      <c r="F616" s="1"/>
      <c r="G616" s="1"/>
      <c r="H616" s="1"/>
      <c r="I616" s="1"/>
      <c r="J616" s="1"/>
      <c r="K616" s="1"/>
      <c r="L616" s="1"/>
      <c r="M616" s="1"/>
      <c r="N616" s="1"/>
      <c r="O616" s="1"/>
      <c r="P616" s="1"/>
      <c r="Q616" s="1"/>
    </row>
    <row r="617" ht="15.75" customHeight="1">
      <c r="A617" s="1"/>
      <c r="B617" s="1"/>
      <c r="C617" s="1"/>
      <c r="D617" s="1"/>
      <c r="E617" s="1"/>
      <c r="F617" s="1"/>
      <c r="G617" s="1"/>
      <c r="H617" s="1"/>
      <c r="I617" s="1"/>
      <c r="J617" s="1"/>
      <c r="K617" s="1"/>
      <c r="L617" s="1"/>
      <c r="M617" s="1"/>
      <c r="N617" s="1"/>
      <c r="O617" s="1"/>
      <c r="P617" s="1"/>
      <c r="Q617" s="1"/>
    </row>
    <row r="618" ht="15.75" customHeight="1">
      <c r="A618" s="1"/>
      <c r="B618" s="1"/>
      <c r="C618" s="1"/>
      <c r="D618" s="1"/>
      <c r="E618" s="1"/>
      <c r="F618" s="1"/>
      <c r="G618" s="1"/>
      <c r="H618" s="1"/>
      <c r="I618" s="1"/>
      <c r="J618" s="1"/>
      <c r="K618" s="1"/>
      <c r="L618" s="1"/>
      <c r="M618" s="1"/>
      <c r="N618" s="1"/>
      <c r="O618" s="1"/>
      <c r="P618" s="1"/>
      <c r="Q618" s="1"/>
    </row>
    <row r="619" ht="15.75" customHeight="1">
      <c r="A619" s="1"/>
      <c r="B619" s="1"/>
      <c r="C619" s="1"/>
      <c r="D619" s="1"/>
      <c r="E619" s="1"/>
      <c r="F619" s="1"/>
      <c r="G619" s="1"/>
      <c r="H619" s="1"/>
      <c r="I619" s="1"/>
      <c r="J619" s="1"/>
      <c r="K619" s="1"/>
      <c r="L619" s="1"/>
      <c r="M619" s="1"/>
      <c r="N619" s="1"/>
      <c r="O619" s="1"/>
      <c r="P619" s="1"/>
      <c r="Q619" s="1"/>
    </row>
    <row r="620" ht="15.75" customHeight="1">
      <c r="A620" s="1"/>
      <c r="B620" s="1"/>
      <c r="C620" s="1"/>
      <c r="D620" s="1"/>
      <c r="E620" s="1"/>
      <c r="F620" s="1"/>
      <c r="G620" s="1"/>
      <c r="H620" s="1"/>
      <c r="I620" s="1"/>
      <c r="J620" s="1"/>
      <c r="K620" s="1"/>
      <c r="L620" s="1"/>
      <c r="M620" s="1"/>
      <c r="N620" s="1"/>
      <c r="O620" s="1"/>
      <c r="P620" s="1"/>
      <c r="Q620" s="1"/>
    </row>
    <row r="621" ht="15.75" customHeight="1">
      <c r="A621" s="1"/>
      <c r="B621" s="1"/>
      <c r="C621" s="1"/>
      <c r="D621" s="1"/>
      <c r="E621" s="1"/>
      <c r="F621" s="1"/>
      <c r="G621" s="1"/>
      <c r="H621" s="1"/>
      <c r="I621" s="1"/>
      <c r="J621" s="1"/>
      <c r="K621" s="1"/>
      <c r="L621" s="1"/>
      <c r="M621" s="1"/>
      <c r="N621" s="1"/>
      <c r="O621" s="1"/>
      <c r="P621" s="1"/>
      <c r="Q621" s="1"/>
    </row>
    <row r="622" ht="15.75" customHeight="1">
      <c r="A622" s="1"/>
      <c r="B622" s="1"/>
      <c r="C622" s="1"/>
      <c r="D622" s="1"/>
      <c r="E622" s="1"/>
      <c r="F622" s="1"/>
      <c r="G622" s="1"/>
      <c r="H622" s="1"/>
      <c r="I622" s="1"/>
      <c r="J622" s="1"/>
      <c r="K622" s="1"/>
      <c r="L622" s="1"/>
      <c r="M622" s="1"/>
      <c r="N622" s="1"/>
      <c r="O622" s="1"/>
      <c r="P622" s="1"/>
      <c r="Q622" s="1"/>
    </row>
    <row r="623" ht="15.75" customHeight="1">
      <c r="A623" s="1"/>
      <c r="B623" s="1"/>
      <c r="C623" s="1"/>
      <c r="D623" s="1"/>
      <c r="E623" s="1"/>
      <c r="F623" s="1"/>
      <c r="G623" s="1"/>
      <c r="H623" s="1"/>
      <c r="I623" s="1"/>
      <c r="J623" s="1"/>
      <c r="K623" s="1"/>
      <c r="L623" s="1"/>
      <c r="M623" s="1"/>
      <c r="N623" s="1"/>
      <c r="O623" s="1"/>
      <c r="P623" s="1"/>
      <c r="Q623" s="1"/>
    </row>
    <row r="624" ht="15.75" customHeight="1">
      <c r="A624" s="1"/>
      <c r="B624" s="1"/>
      <c r="C624" s="1"/>
      <c r="D624" s="1"/>
      <c r="E624" s="1"/>
      <c r="F624" s="1"/>
      <c r="G624" s="1"/>
      <c r="H624" s="1"/>
      <c r="I624" s="1"/>
      <c r="J624" s="1"/>
      <c r="K624" s="1"/>
      <c r="L624" s="1"/>
      <c r="M624" s="1"/>
      <c r="N624" s="1"/>
      <c r="O624" s="1"/>
      <c r="P624" s="1"/>
      <c r="Q624" s="1"/>
    </row>
    <row r="625" ht="15.75" customHeight="1">
      <c r="A625" s="1"/>
      <c r="B625" s="1"/>
      <c r="C625" s="1"/>
      <c r="D625" s="1"/>
      <c r="E625" s="1"/>
      <c r="F625" s="1"/>
      <c r="G625" s="1"/>
      <c r="H625" s="1"/>
      <c r="I625" s="1"/>
      <c r="J625" s="1"/>
      <c r="K625" s="1"/>
      <c r="L625" s="1"/>
      <c r="M625" s="1"/>
      <c r="N625" s="1"/>
      <c r="O625" s="1"/>
      <c r="P625" s="1"/>
      <c r="Q625" s="1"/>
    </row>
    <row r="626" ht="15.75" customHeight="1">
      <c r="A626" s="1"/>
      <c r="B626" s="1"/>
      <c r="C626" s="1"/>
      <c r="D626" s="1"/>
      <c r="E626" s="1"/>
      <c r="F626" s="1"/>
      <c r="G626" s="1"/>
      <c r="H626" s="1"/>
      <c r="I626" s="1"/>
      <c r="J626" s="1"/>
      <c r="K626" s="1"/>
      <c r="L626" s="1"/>
      <c r="M626" s="1"/>
      <c r="N626" s="1"/>
      <c r="O626" s="1"/>
      <c r="P626" s="1"/>
      <c r="Q626" s="1"/>
    </row>
    <row r="627" ht="15.75" customHeight="1">
      <c r="A627" s="1"/>
      <c r="B627" s="1"/>
      <c r="C627" s="1"/>
      <c r="D627" s="1"/>
      <c r="E627" s="1"/>
      <c r="F627" s="1"/>
      <c r="G627" s="1"/>
      <c r="H627" s="1"/>
      <c r="I627" s="1"/>
      <c r="J627" s="1"/>
      <c r="K627" s="1"/>
      <c r="L627" s="1"/>
      <c r="M627" s="1"/>
      <c r="N627" s="1"/>
      <c r="O627" s="1"/>
      <c r="P627" s="1"/>
      <c r="Q627" s="1"/>
    </row>
    <row r="628" ht="15.75" customHeight="1">
      <c r="A628" s="1"/>
      <c r="B628" s="1"/>
      <c r="C628" s="1"/>
      <c r="D628" s="1"/>
      <c r="E628" s="1"/>
      <c r="F628" s="1"/>
      <c r="G628" s="1"/>
      <c r="H628" s="1"/>
      <c r="I628" s="1"/>
      <c r="J628" s="1"/>
      <c r="K628" s="1"/>
      <c r="L628" s="1"/>
      <c r="M628" s="1"/>
      <c r="N628" s="1"/>
      <c r="O628" s="1"/>
      <c r="P628" s="1"/>
      <c r="Q628" s="1"/>
    </row>
    <row r="629" ht="15.75" customHeight="1">
      <c r="A629" s="1"/>
      <c r="B629" s="1"/>
      <c r="C629" s="1"/>
      <c r="D629" s="1"/>
      <c r="E629" s="1"/>
      <c r="F629" s="1"/>
      <c r="G629" s="1"/>
      <c r="H629" s="1"/>
      <c r="I629" s="1"/>
      <c r="J629" s="1"/>
      <c r="K629" s="1"/>
      <c r="L629" s="1"/>
      <c r="M629" s="1"/>
      <c r="N629" s="1"/>
      <c r="O629" s="1"/>
      <c r="P629" s="1"/>
      <c r="Q629" s="1"/>
    </row>
    <row r="630" ht="15.75" customHeight="1">
      <c r="A630" s="1"/>
      <c r="B630" s="1"/>
      <c r="C630" s="1"/>
      <c r="D630" s="1"/>
      <c r="E630" s="1"/>
      <c r="F630" s="1"/>
      <c r="G630" s="1"/>
      <c r="H630" s="1"/>
      <c r="I630" s="1"/>
      <c r="J630" s="1"/>
      <c r="K630" s="1"/>
      <c r="L630" s="1"/>
      <c r="M630" s="1"/>
      <c r="N630" s="1"/>
      <c r="O630" s="1"/>
      <c r="P630" s="1"/>
      <c r="Q630" s="1"/>
    </row>
    <row r="631" ht="15.75" customHeight="1">
      <c r="A631" s="1"/>
      <c r="B631" s="1"/>
      <c r="C631" s="1"/>
      <c r="D631" s="1"/>
      <c r="E631" s="1"/>
      <c r="F631" s="1"/>
      <c r="G631" s="1"/>
      <c r="H631" s="1"/>
      <c r="I631" s="1"/>
      <c r="J631" s="1"/>
      <c r="K631" s="1"/>
      <c r="L631" s="1"/>
      <c r="M631" s="1"/>
      <c r="N631" s="1"/>
      <c r="O631" s="1"/>
      <c r="P631" s="1"/>
      <c r="Q631" s="1"/>
    </row>
    <row r="632" ht="15.75" customHeight="1">
      <c r="A632" s="1"/>
      <c r="B632" s="1"/>
      <c r="C632" s="1"/>
      <c r="D632" s="1"/>
      <c r="E632" s="1"/>
      <c r="F632" s="1"/>
      <c r="G632" s="1"/>
      <c r="H632" s="1"/>
      <c r="I632" s="1"/>
      <c r="J632" s="1"/>
      <c r="K632" s="1"/>
      <c r="L632" s="1"/>
      <c r="M632" s="1"/>
      <c r="N632" s="1"/>
      <c r="O632" s="1"/>
      <c r="P632" s="1"/>
      <c r="Q632" s="1"/>
    </row>
    <row r="633" ht="15.75" customHeight="1">
      <c r="A633" s="1"/>
      <c r="B633" s="1"/>
      <c r="C633" s="1"/>
      <c r="D633" s="1"/>
      <c r="E633" s="1"/>
      <c r="F633" s="1"/>
      <c r="G633" s="1"/>
      <c r="H633" s="1"/>
      <c r="I633" s="1"/>
      <c r="J633" s="1"/>
      <c r="K633" s="1"/>
      <c r="L633" s="1"/>
      <c r="M633" s="1"/>
      <c r="N633" s="1"/>
      <c r="O633" s="1"/>
      <c r="P633" s="1"/>
      <c r="Q633" s="1"/>
    </row>
    <row r="634" ht="15.75" customHeight="1">
      <c r="A634" s="1"/>
      <c r="B634" s="1"/>
      <c r="C634" s="1"/>
      <c r="D634" s="1"/>
      <c r="E634" s="1"/>
      <c r="F634" s="1"/>
      <c r="G634" s="1"/>
      <c r="H634" s="1"/>
      <c r="I634" s="1"/>
      <c r="J634" s="1"/>
      <c r="K634" s="1"/>
      <c r="L634" s="1"/>
      <c r="M634" s="1"/>
      <c r="N634" s="1"/>
      <c r="O634" s="1"/>
      <c r="P634" s="1"/>
      <c r="Q634" s="1"/>
    </row>
    <row r="635" ht="15.75" customHeight="1">
      <c r="A635" s="1"/>
      <c r="B635" s="1"/>
      <c r="C635" s="1"/>
      <c r="D635" s="1"/>
      <c r="E635" s="1"/>
      <c r="F635" s="1"/>
      <c r="G635" s="1"/>
      <c r="H635" s="1"/>
      <c r="I635" s="1"/>
      <c r="J635" s="1"/>
      <c r="K635" s="1"/>
      <c r="L635" s="1"/>
      <c r="M635" s="1"/>
      <c r="N635" s="1"/>
      <c r="O635" s="1"/>
      <c r="P635" s="1"/>
      <c r="Q635" s="1"/>
    </row>
    <row r="636" ht="15.75" customHeight="1">
      <c r="A636" s="1"/>
      <c r="B636" s="1"/>
      <c r="C636" s="1"/>
      <c r="D636" s="1"/>
      <c r="E636" s="1"/>
      <c r="F636" s="1"/>
      <c r="G636" s="1"/>
      <c r="H636" s="1"/>
      <c r="I636" s="1"/>
      <c r="J636" s="1"/>
      <c r="K636" s="1"/>
      <c r="L636" s="1"/>
      <c r="M636" s="1"/>
      <c r="N636" s="1"/>
      <c r="O636" s="1"/>
      <c r="P636" s="1"/>
      <c r="Q636" s="1"/>
    </row>
    <row r="637" ht="15.75" customHeight="1">
      <c r="A637" s="1"/>
      <c r="B637" s="1"/>
      <c r="C637" s="1"/>
      <c r="D637" s="1"/>
      <c r="E637" s="1"/>
      <c r="F637" s="1"/>
      <c r="G637" s="1"/>
      <c r="H637" s="1"/>
      <c r="I637" s="1"/>
      <c r="J637" s="1"/>
      <c r="K637" s="1"/>
      <c r="L637" s="1"/>
      <c r="M637" s="1"/>
      <c r="N637" s="1"/>
      <c r="O637" s="1"/>
      <c r="P637" s="1"/>
      <c r="Q637" s="1"/>
    </row>
    <row r="638" ht="15.75" customHeight="1">
      <c r="A638" s="1"/>
      <c r="B638" s="1"/>
      <c r="C638" s="1"/>
      <c r="D638" s="1"/>
      <c r="E638" s="1"/>
      <c r="F638" s="1"/>
      <c r="G638" s="1"/>
      <c r="H638" s="1"/>
      <c r="I638" s="1"/>
      <c r="J638" s="1"/>
      <c r="K638" s="1"/>
      <c r="L638" s="1"/>
      <c r="M638" s="1"/>
      <c r="N638" s="1"/>
      <c r="O638" s="1"/>
      <c r="P638" s="1"/>
      <c r="Q638" s="1"/>
    </row>
    <row r="639" ht="15.75" customHeight="1">
      <c r="A639" s="1"/>
      <c r="B639" s="1"/>
      <c r="C639" s="1"/>
      <c r="D639" s="1"/>
      <c r="E639" s="1"/>
      <c r="F639" s="1"/>
      <c r="G639" s="1"/>
      <c r="H639" s="1"/>
      <c r="I639" s="1"/>
      <c r="J639" s="1"/>
      <c r="K639" s="1"/>
      <c r="L639" s="1"/>
      <c r="M639" s="1"/>
      <c r="N639" s="1"/>
      <c r="O639" s="1"/>
      <c r="P639" s="1"/>
      <c r="Q639" s="1"/>
    </row>
    <row r="640" ht="15.75" customHeight="1">
      <c r="A640" s="1"/>
      <c r="B640" s="1"/>
      <c r="C640" s="1"/>
      <c r="D640" s="1"/>
      <c r="E640" s="1"/>
      <c r="F640" s="1"/>
      <c r="G640" s="1"/>
      <c r="H640" s="1"/>
      <c r="I640" s="1"/>
      <c r="J640" s="1"/>
      <c r="K640" s="1"/>
      <c r="L640" s="1"/>
      <c r="M640" s="1"/>
      <c r="N640" s="1"/>
      <c r="O640" s="1"/>
      <c r="P640" s="1"/>
      <c r="Q640" s="1"/>
    </row>
    <row r="641" ht="15.75" customHeight="1">
      <c r="A641" s="1"/>
      <c r="B641" s="1"/>
      <c r="C641" s="1"/>
      <c r="D641" s="1"/>
      <c r="E641" s="1"/>
      <c r="F641" s="1"/>
      <c r="G641" s="1"/>
      <c r="H641" s="1"/>
      <c r="I641" s="1"/>
      <c r="J641" s="1"/>
      <c r="K641" s="1"/>
      <c r="L641" s="1"/>
      <c r="M641" s="1"/>
      <c r="N641" s="1"/>
      <c r="O641" s="1"/>
      <c r="P641" s="1"/>
      <c r="Q641" s="1"/>
    </row>
    <row r="642" ht="15.75" customHeight="1">
      <c r="A642" s="1"/>
      <c r="B642" s="1"/>
      <c r="C642" s="1"/>
      <c r="D642" s="1"/>
      <c r="E642" s="1"/>
      <c r="F642" s="1"/>
      <c r="G642" s="1"/>
      <c r="H642" s="1"/>
      <c r="I642" s="1"/>
      <c r="J642" s="1"/>
      <c r="K642" s="1"/>
      <c r="L642" s="1"/>
      <c r="M642" s="1"/>
      <c r="N642" s="1"/>
      <c r="O642" s="1"/>
      <c r="P642" s="1"/>
      <c r="Q642" s="1"/>
    </row>
    <row r="643" ht="15.75" customHeight="1">
      <c r="A643" s="1"/>
      <c r="B643" s="1"/>
      <c r="C643" s="1"/>
      <c r="D643" s="1"/>
      <c r="E643" s="1"/>
      <c r="F643" s="1"/>
      <c r="G643" s="1"/>
      <c r="H643" s="1"/>
      <c r="I643" s="1"/>
      <c r="J643" s="1"/>
      <c r="K643" s="1"/>
      <c r="L643" s="1"/>
      <c r="M643" s="1"/>
      <c r="N643" s="1"/>
      <c r="O643" s="1"/>
      <c r="P643" s="1"/>
      <c r="Q643" s="1"/>
    </row>
    <row r="644" ht="15.75" customHeight="1">
      <c r="A644" s="1"/>
      <c r="B644" s="1"/>
      <c r="C644" s="1"/>
      <c r="D644" s="1"/>
      <c r="E644" s="1"/>
      <c r="F644" s="1"/>
      <c r="G644" s="1"/>
      <c r="H644" s="1"/>
      <c r="I644" s="1"/>
      <c r="J644" s="1"/>
      <c r="K644" s="1"/>
      <c r="L644" s="1"/>
      <c r="M644" s="1"/>
      <c r="N644" s="1"/>
      <c r="O644" s="1"/>
      <c r="P644" s="1"/>
      <c r="Q644" s="1"/>
    </row>
    <row r="645" ht="15.75" customHeight="1">
      <c r="A645" s="1"/>
      <c r="B645" s="1"/>
      <c r="C645" s="1"/>
      <c r="D645" s="1"/>
      <c r="E645" s="1"/>
      <c r="F645" s="1"/>
      <c r="G645" s="1"/>
      <c r="H645" s="1"/>
      <c r="I645" s="1"/>
      <c r="J645" s="1"/>
      <c r="K645" s="1"/>
      <c r="L645" s="1"/>
      <c r="M645" s="1"/>
      <c r="N645" s="1"/>
      <c r="O645" s="1"/>
      <c r="P645" s="1"/>
      <c r="Q645" s="1"/>
    </row>
    <row r="646" ht="15.75" customHeight="1">
      <c r="A646" s="1"/>
      <c r="B646" s="1"/>
      <c r="C646" s="1"/>
      <c r="D646" s="1"/>
      <c r="E646" s="1"/>
      <c r="F646" s="1"/>
      <c r="G646" s="1"/>
      <c r="H646" s="1"/>
      <c r="I646" s="1"/>
      <c r="J646" s="1"/>
      <c r="K646" s="1"/>
      <c r="L646" s="1"/>
      <c r="M646" s="1"/>
      <c r="N646" s="1"/>
      <c r="O646" s="1"/>
      <c r="P646" s="1"/>
      <c r="Q646" s="1"/>
    </row>
    <row r="647" ht="15.75" customHeight="1">
      <c r="A647" s="1"/>
      <c r="B647" s="1"/>
      <c r="C647" s="1"/>
      <c r="D647" s="1"/>
      <c r="E647" s="1"/>
      <c r="F647" s="1"/>
      <c r="G647" s="1"/>
      <c r="H647" s="1"/>
      <c r="I647" s="1"/>
      <c r="J647" s="1"/>
      <c r="K647" s="1"/>
      <c r="L647" s="1"/>
      <c r="M647" s="1"/>
      <c r="N647" s="1"/>
      <c r="O647" s="1"/>
      <c r="P647" s="1"/>
      <c r="Q647" s="1"/>
    </row>
    <row r="648" ht="15.75" customHeight="1">
      <c r="A648" s="1"/>
      <c r="B648" s="1"/>
      <c r="C648" s="1"/>
      <c r="D648" s="1"/>
      <c r="E648" s="1"/>
      <c r="F648" s="1"/>
      <c r="G648" s="1"/>
      <c r="H648" s="1"/>
      <c r="I648" s="1"/>
      <c r="J648" s="1"/>
      <c r="K648" s="1"/>
      <c r="L648" s="1"/>
      <c r="M648" s="1"/>
      <c r="N648" s="1"/>
      <c r="O648" s="1"/>
      <c r="P648" s="1"/>
      <c r="Q648" s="1"/>
    </row>
    <row r="649" ht="15.75" customHeight="1">
      <c r="A649" s="1"/>
      <c r="B649" s="1"/>
      <c r="C649" s="1"/>
      <c r="D649" s="1"/>
      <c r="E649" s="1"/>
      <c r="F649" s="1"/>
      <c r="G649" s="1"/>
      <c r="H649" s="1"/>
      <c r="I649" s="1"/>
      <c r="J649" s="1"/>
      <c r="K649" s="1"/>
      <c r="L649" s="1"/>
      <c r="M649" s="1"/>
      <c r="N649" s="1"/>
      <c r="O649" s="1"/>
      <c r="P649" s="1"/>
      <c r="Q649" s="1"/>
    </row>
    <row r="650" ht="15.75" customHeight="1">
      <c r="A650" s="1"/>
      <c r="B650" s="1"/>
      <c r="C650" s="1"/>
      <c r="D650" s="1"/>
      <c r="E650" s="1"/>
      <c r="F650" s="1"/>
      <c r="G650" s="1"/>
      <c r="H650" s="1"/>
      <c r="I650" s="1"/>
      <c r="J650" s="1"/>
      <c r="K650" s="1"/>
      <c r="L650" s="1"/>
      <c r="M650" s="1"/>
      <c r="N650" s="1"/>
      <c r="O650" s="1"/>
      <c r="P650" s="1"/>
      <c r="Q650" s="1"/>
    </row>
    <row r="651" ht="15.75" customHeight="1">
      <c r="A651" s="1"/>
      <c r="B651" s="1"/>
      <c r="C651" s="1"/>
      <c r="D651" s="1"/>
      <c r="E651" s="1"/>
      <c r="F651" s="1"/>
      <c r="G651" s="1"/>
      <c r="H651" s="1"/>
      <c r="I651" s="1"/>
      <c r="J651" s="1"/>
      <c r="K651" s="1"/>
      <c r="L651" s="1"/>
      <c r="M651" s="1"/>
      <c r="N651" s="1"/>
      <c r="O651" s="1"/>
      <c r="P651" s="1"/>
      <c r="Q651" s="1"/>
    </row>
    <row r="652" ht="15.75" customHeight="1">
      <c r="A652" s="1"/>
      <c r="B652" s="1"/>
      <c r="C652" s="1"/>
      <c r="D652" s="1"/>
      <c r="E652" s="1"/>
      <c r="F652" s="1"/>
      <c r="G652" s="1"/>
      <c r="H652" s="1"/>
      <c r="I652" s="1"/>
      <c r="J652" s="1"/>
      <c r="K652" s="1"/>
      <c r="L652" s="1"/>
      <c r="M652" s="1"/>
      <c r="N652" s="1"/>
      <c r="O652" s="1"/>
      <c r="P652" s="1"/>
      <c r="Q652" s="1"/>
    </row>
    <row r="653" ht="15.75" customHeight="1">
      <c r="A653" s="1"/>
      <c r="B653" s="1"/>
      <c r="C653" s="1"/>
      <c r="D653" s="1"/>
      <c r="E653" s="1"/>
      <c r="F653" s="1"/>
      <c r="G653" s="1"/>
      <c r="H653" s="1"/>
      <c r="I653" s="1"/>
      <c r="J653" s="1"/>
      <c r="K653" s="1"/>
      <c r="L653" s="1"/>
      <c r="M653" s="1"/>
      <c r="N653" s="1"/>
      <c r="O653" s="1"/>
      <c r="P653" s="1"/>
      <c r="Q653" s="1"/>
    </row>
    <row r="654" ht="15.75" customHeight="1">
      <c r="A654" s="1"/>
      <c r="B654" s="1"/>
      <c r="C654" s="1"/>
      <c r="D654" s="1"/>
      <c r="E654" s="1"/>
      <c r="F654" s="1"/>
      <c r="G654" s="1"/>
      <c r="H654" s="1"/>
      <c r="I654" s="1"/>
      <c r="J654" s="1"/>
      <c r="K654" s="1"/>
      <c r="L654" s="1"/>
      <c r="M654" s="1"/>
      <c r="N654" s="1"/>
      <c r="O654" s="1"/>
      <c r="P654" s="1"/>
      <c r="Q654" s="1"/>
    </row>
    <row r="655" ht="15.75" customHeight="1">
      <c r="A655" s="1"/>
      <c r="B655" s="1"/>
      <c r="C655" s="1"/>
      <c r="D655" s="1"/>
      <c r="E655" s="1"/>
      <c r="F655" s="1"/>
      <c r="G655" s="1"/>
      <c r="H655" s="1"/>
      <c r="I655" s="1"/>
      <c r="J655" s="1"/>
      <c r="K655" s="1"/>
      <c r="L655" s="1"/>
      <c r="M655" s="1"/>
      <c r="N655" s="1"/>
      <c r="O655" s="1"/>
      <c r="P655" s="1"/>
      <c r="Q655" s="1"/>
    </row>
    <row r="656" ht="15.75" customHeight="1">
      <c r="A656" s="1"/>
      <c r="B656" s="1"/>
      <c r="C656" s="1"/>
      <c r="D656" s="1"/>
      <c r="E656" s="1"/>
      <c r="F656" s="1"/>
      <c r="G656" s="1"/>
      <c r="H656" s="1"/>
      <c r="I656" s="1"/>
      <c r="J656" s="1"/>
      <c r="K656" s="1"/>
      <c r="L656" s="1"/>
      <c r="M656" s="1"/>
      <c r="N656" s="1"/>
      <c r="O656" s="1"/>
      <c r="P656" s="1"/>
      <c r="Q656" s="1"/>
    </row>
    <row r="657" ht="15.75" customHeight="1">
      <c r="A657" s="1"/>
      <c r="B657" s="1"/>
      <c r="C657" s="1"/>
      <c r="D657" s="1"/>
      <c r="E657" s="1"/>
      <c r="F657" s="1"/>
      <c r="G657" s="1"/>
      <c r="H657" s="1"/>
      <c r="I657" s="1"/>
      <c r="J657" s="1"/>
      <c r="K657" s="1"/>
      <c r="L657" s="1"/>
      <c r="M657" s="1"/>
      <c r="N657" s="1"/>
      <c r="O657" s="1"/>
      <c r="P657" s="1"/>
      <c r="Q657" s="1"/>
    </row>
    <row r="658" ht="15.75" customHeight="1">
      <c r="A658" s="1"/>
      <c r="B658" s="1"/>
      <c r="C658" s="1"/>
      <c r="D658" s="1"/>
      <c r="E658" s="1"/>
      <c r="F658" s="1"/>
      <c r="G658" s="1"/>
      <c r="H658" s="1"/>
      <c r="I658" s="1"/>
      <c r="J658" s="1"/>
      <c r="K658" s="1"/>
      <c r="L658" s="1"/>
      <c r="M658" s="1"/>
      <c r="N658" s="1"/>
      <c r="O658" s="1"/>
      <c r="P658" s="1"/>
      <c r="Q658" s="1"/>
    </row>
    <row r="659" ht="15.75" customHeight="1">
      <c r="A659" s="1"/>
      <c r="B659" s="1"/>
      <c r="C659" s="1"/>
      <c r="D659" s="1"/>
      <c r="E659" s="1"/>
      <c r="F659" s="1"/>
      <c r="G659" s="1"/>
      <c r="H659" s="1"/>
      <c r="I659" s="1"/>
      <c r="J659" s="1"/>
      <c r="K659" s="1"/>
      <c r="L659" s="1"/>
      <c r="M659" s="1"/>
      <c r="N659" s="1"/>
      <c r="O659" s="1"/>
      <c r="P659" s="1"/>
      <c r="Q659" s="1"/>
    </row>
    <row r="660" ht="15.75" customHeight="1">
      <c r="A660" s="1"/>
      <c r="B660" s="1"/>
      <c r="C660" s="1"/>
      <c r="D660" s="1"/>
      <c r="E660" s="1"/>
      <c r="F660" s="1"/>
      <c r="G660" s="1"/>
      <c r="H660" s="1"/>
      <c r="I660" s="1"/>
      <c r="J660" s="1"/>
      <c r="K660" s="1"/>
      <c r="L660" s="1"/>
      <c r="M660" s="1"/>
      <c r="N660" s="1"/>
      <c r="O660" s="1"/>
      <c r="P660" s="1"/>
      <c r="Q660" s="1"/>
    </row>
    <row r="661" ht="15.75" customHeight="1">
      <c r="A661" s="1"/>
      <c r="B661" s="1"/>
      <c r="C661" s="1"/>
      <c r="D661" s="1"/>
      <c r="E661" s="1"/>
      <c r="F661" s="1"/>
      <c r="G661" s="1"/>
      <c r="H661" s="1"/>
      <c r="I661" s="1"/>
      <c r="J661" s="1"/>
      <c r="K661" s="1"/>
      <c r="L661" s="1"/>
      <c r="M661" s="1"/>
      <c r="N661" s="1"/>
      <c r="O661" s="1"/>
      <c r="P661" s="1"/>
      <c r="Q661" s="1"/>
    </row>
    <row r="662" ht="15.75" customHeight="1">
      <c r="A662" s="1"/>
      <c r="B662" s="1"/>
      <c r="C662" s="1"/>
      <c r="D662" s="1"/>
      <c r="E662" s="1"/>
      <c r="F662" s="1"/>
      <c r="G662" s="1"/>
      <c r="H662" s="1"/>
      <c r="I662" s="1"/>
      <c r="J662" s="1"/>
      <c r="K662" s="1"/>
      <c r="L662" s="1"/>
      <c r="M662" s="1"/>
      <c r="N662" s="1"/>
      <c r="O662" s="1"/>
      <c r="P662" s="1"/>
      <c r="Q662" s="1"/>
    </row>
    <row r="663" ht="15.75" customHeight="1">
      <c r="A663" s="1"/>
      <c r="B663" s="1"/>
      <c r="C663" s="1"/>
      <c r="D663" s="1"/>
      <c r="E663" s="1"/>
      <c r="F663" s="1"/>
      <c r="G663" s="1"/>
      <c r="H663" s="1"/>
      <c r="I663" s="1"/>
      <c r="J663" s="1"/>
      <c r="K663" s="1"/>
      <c r="L663" s="1"/>
      <c r="M663" s="1"/>
      <c r="N663" s="1"/>
      <c r="O663" s="1"/>
      <c r="P663" s="1"/>
      <c r="Q663" s="1"/>
    </row>
    <row r="664" ht="15.75" customHeight="1">
      <c r="A664" s="1"/>
      <c r="B664" s="1"/>
      <c r="C664" s="1"/>
      <c r="D664" s="1"/>
      <c r="E664" s="1"/>
      <c r="F664" s="1"/>
      <c r="G664" s="1"/>
      <c r="H664" s="1"/>
      <c r="I664" s="1"/>
      <c r="J664" s="1"/>
      <c r="K664" s="1"/>
      <c r="L664" s="1"/>
      <c r="M664" s="1"/>
      <c r="N664" s="1"/>
      <c r="O664" s="1"/>
      <c r="P664" s="1"/>
      <c r="Q664" s="1"/>
    </row>
    <row r="665" ht="15.75" customHeight="1">
      <c r="A665" s="1"/>
      <c r="B665" s="1"/>
      <c r="C665" s="1"/>
      <c r="D665" s="1"/>
      <c r="E665" s="1"/>
      <c r="F665" s="1"/>
      <c r="G665" s="1"/>
      <c r="H665" s="1"/>
      <c r="I665" s="1"/>
      <c r="J665" s="1"/>
      <c r="K665" s="1"/>
      <c r="L665" s="1"/>
      <c r="M665" s="1"/>
      <c r="N665" s="1"/>
      <c r="O665" s="1"/>
      <c r="P665" s="1"/>
      <c r="Q665" s="1"/>
    </row>
    <row r="666" ht="15.75" customHeight="1">
      <c r="A666" s="1"/>
      <c r="B666" s="1"/>
      <c r="C666" s="1"/>
      <c r="D666" s="1"/>
      <c r="E666" s="1"/>
      <c r="F666" s="1"/>
      <c r="G666" s="1"/>
      <c r="H666" s="1"/>
      <c r="I666" s="1"/>
      <c r="J666" s="1"/>
      <c r="K666" s="1"/>
      <c r="L666" s="1"/>
      <c r="M666" s="1"/>
      <c r="N666" s="1"/>
      <c r="O666" s="1"/>
      <c r="P666" s="1"/>
      <c r="Q666" s="1"/>
    </row>
    <row r="667" ht="15.75" customHeight="1">
      <c r="A667" s="1"/>
      <c r="B667" s="1"/>
      <c r="C667" s="1"/>
      <c r="D667" s="1"/>
      <c r="E667" s="1"/>
      <c r="F667" s="1"/>
      <c r="G667" s="1"/>
      <c r="H667" s="1"/>
      <c r="I667" s="1"/>
      <c r="J667" s="1"/>
      <c r="K667" s="1"/>
      <c r="L667" s="1"/>
      <c r="M667" s="1"/>
      <c r="N667" s="1"/>
      <c r="O667" s="1"/>
      <c r="P667" s="1"/>
      <c r="Q667" s="1"/>
    </row>
    <row r="668" ht="15.75" customHeight="1">
      <c r="A668" s="1"/>
      <c r="B668" s="1"/>
      <c r="C668" s="1"/>
      <c r="D668" s="1"/>
      <c r="E668" s="1"/>
      <c r="F668" s="1"/>
      <c r="G668" s="1"/>
      <c r="H668" s="1"/>
      <c r="I668" s="1"/>
      <c r="J668" s="1"/>
      <c r="K668" s="1"/>
      <c r="L668" s="1"/>
      <c r="M668" s="1"/>
      <c r="N668" s="1"/>
      <c r="O668" s="1"/>
      <c r="P668" s="1"/>
      <c r="Q668" s="1"/>
    </row>
    <row r="669" ht="15.75" customHeight="1">
      <c r="A669" s="1"/>
      <c r="B669" s="1"/>
      <c r="C669" s="1"/>
      <c r="D669" s="1"/>
      <c r="E669" s="1"/>
      <c r="F669" s="1"/>
      <c r="G669" s="1"/>
      <c r="H669" s="1"/>
      <c r="I669" s="1"/>
      <c r="J669" s="1"/>
      <c r="K669" s="1"/>
      <c r="L669" s="1"/>
      <c r="M669" s="1"/>
      <c r="N669" s="1"/>
      <c r="O669" s="1"/>
      <c r="P669" s="1"/>
      <c r="Q669" s="1"/>
    </row>
    <row r="670" ht="15.75" customHeight="1">
      <c r="A670" s="1"/>
      <c r="B670" s="1"/>
      <c r="C670" s="1"/>
      <c r="D670" s="1"/>
      <c r="E670" s="1"/>
      <c r="F670" s="1"/>
      <c r="G670" s="1"/>
      <c r="H670" s="1"/>
      <c r="I670" s="1"/>
      <c r="J670" s="1"/>
      <c r="K670" s="1"/>
      <c r="L670" s="1"/>
      <c r="M670" s="1"/>
      <c r="N670" s="1"/>
      <c r="O670" s="1"/>
      <c r="P670" s="1"/>
      <c r="Q670" s="1"/>
    </row>
    <row r="671" ht="15.75" customHeight="1">
      <c r="A671" s="1"/>
      <c r="B671" s="1"/>
      <c r="C671" s="1"/>
      <c r="D671" s="1"/>
      <c r="E671" s="1"/>
      <c r="F671" s="1"/>
      <c r="G671" s="1"/>
      <c r="H671" s="1"/>
      <c r="I671" s="1"/>
      <c r="J671" s="1"/>
      <c r="K671" s="1"/>
      <c r="L671" s="1"/>
      <c r="M671" s="1"/>
      <c r="N671" s="1"/>
      <c r="O671" s="1"/>
      <c r="P671" s="1"/>
      <c r="Q671" s="1"/>
    </row>
    <row r="672" ht="15.75" customHeight="1">
      <c r="A672" s="1"/>
      <c r="B672" s="1"/>
      <c r="C672" s="1"/>
      <c r="D672" s="1"/>
      <c r="E672" s="1"/>
      <c r="F672" s="1"/>
      <c r="G672" s="1"/>
      <c r="H672" s="1"/>
      <c r="I672" s="1"/>
      <c r="J672" s="1"/>
      <c r="K672" s="1"/>
      <c r="L672" s="1"/>
      <c r="M672" s="1"/>
      <c r="N672" s="1"/>
      <c r="O672" s="1"/>
      <c r="P672" s="1"/>
      <c r="Q672" s="1"/>
    </row>
    <row r="673" ht="15.75" customHeight="1">
      <c r="A673" s="1"/>
      <c r="B673" s="1"/>
      <c r="C673" s="1"/>
      <c r="D673" s="1"/>
      <c r="E673" s="1"/>
      <c r="F673" s="1"/>
      <c r="G673" s="1"/>
      <c r="H673" s="1"/>
      <c r="I673" s="1"/>
      <c r="J673" s="1"/>
      <c r="K673" s="1"/>
      <c r="L673" s="1"/>
      <c r="M673" s="1"/>
      <c r="N673" s="1"/>
      <c r="O673" s="1"/>
      <c r="P673" s="1"/>
      <c r="Q673" s="1"/>
    </row>
    <row r="674" ht="15.75" customHeight="1">
      <c r="A674" s="1"/>
      <c r="B674" s="1"/>
      <c r="C674" s="1"/>
      <c r="D674" s="1"/>
      <c r="E674" s="1"/>
      <c r="F674" s="1"/>
      <c r="G674" s="1"/>
      <c r="H674" s="1"/>
      <c r="I674" s="1"/>
      <c r="J674" s="1"/>
      <c r="K674" s="1"/>
      <c r="L674" s="1"/>
      <c r="M674" s="1"/>
      <c r="N674" s="1"/>
      <c r="O674" s="1"/>
      <c r="P674" s="1"/>
      <c r="Q674" s="1"/>
    </row>
    <row r="675" ht="15.75" customHeight="1">
      <c r="A675" s="1"/>
      <c r="B675" s="1"/>
      <c r="C675" s="1"/>
      <c r="D675" s="1"/>
      <c r="E675" s="1"/>
      <c r="F675" s="1"/>
      <c r="G675" s="1"/>
      <c r="H675" s="1"/>
      <c r="I675" s="1"/>
      <c r="J675" s="1"/>
      <c r="K675" s="1"/>
      <c r="L675" s="1"/>
      <c r="M675" s="1"/>
      <c r="N675" s="1"/>
      <c r="O675" s="1"/>
      <c r="P675" s="1"/>
      <c r="Q675" s="1"/>
    </row>
    <row r="676" ht="15.75" customHeight="1">
      <c r="A676" s="1"/>
      <c r="B676" s="1"/>
      <c r="C676" s="1"/>
      <c r="D676" s="1"/>
      <c r="E676" s="1"/>
      <c r="F676" s="1"/>
      <c r="G676" s="1"/>
      <c r="H676" s="1"/>
      <c r="I676" s="1"/>
      <c r="J676" s="1"/>
      <c r="K676" s="1"/>
      <c r="L676" s="1"/>
      <c r="M676" s="1"/>
      <c r="N676" s="1"/>
      <c r="O676" s="1"/>
      <c r="P676" s="1"/>
      <c r="Q676" s="1"/>
    </row>
    <row r="677" ht="15.75" customHeight="1">
      <c r="A677" s="1"/>
      <c r="B677" s="1"/>
      <c r="C677" s="1"/>
      <c r="D677" s="1"/>
      <c r="E677" s="1"/>
      <c r="F677" s="1"/>
      <c r="G677" s="1"/>
      <c r="H677" s="1"/>
      <c r="I677" s="1"/>
      <c r="J677" s="1"/>
      <c r="K677" s="1"/>
      <c r="L677" s="1"/>
      <c r="M677" s="1"/>
      <c r="N677" s="1"/>
      <c r="O677" s="1"/>
      <c r="P677" s="1"/>
      <c r="Q677" s="1"/>
    </row>
    <row r="678" ht="15.75" customHeight="1">
      <c r="A678" s="1"/>
      <c r="B678" s="1"/>
      <c r="C678" s="1"/>
      <c r="D678" s="1"/>
      <c r="E678" s="1"/>
      <c r="F678" s="1"/>
      <c r="G678" s="1"/>
      <c r="H678" s="1"/>
      <c r="I678" s="1"/>
      <c r="J678" s="1"/>
      <c r="K678" s="1"/>
      <c r="L678" s="1"/>
      <c r="M678" s="1"/>
      <c r="N678" s="1"/>
      <c r="O678" s="1"/>
      <c r="P678" s="1"/>
      <c r="Q678" s="1"/>
    </row>
    <row r="679" ht="15.75" customHeight="1">
      <c r="A679" s="1"/>
      <c r="B679" s="1"/>
      <c r="C679" s="1"/>
      <c r="D679" s="1"/>
      <c r="E679" s="1"/>
      <c r="F679" s="1"/>
      <c r="G679" s="1"/>
      <c r="H679" s="1"/>
      <c r="I679" s="1"/>
      <c r="J679" s="1"/>
      <c r="K679" s="1"/>
      <c r="L679" s="1"/>
      <c r="M679" s="1"/>
      <c r="N679" s="1"/>
      <c r="O679" s="1"/>
      <c r="P679" s="1"/>
      <c r="Q679" s="1"/>
    </row>
    <row r="680" ht="15.75" customHeight="1">
      <c r="A680" s="1"/>
      <c r="B680" s="1"/>
      <c r="C680" s="1"/>
      <c r="D680" s="1"/>
      <c r="E680" s="1"/>
      <c r="F680" s="1"/>
      <c r="G680" s="1"/>
      <c r="H680" s="1"/>
      <c r="I680" s="1"/>
      <c r="J680" s="1"/>
      <c r="K680" s="1"/>
      <c r="L680" s="1"/>
      <c r="M680" s="1"/>
      <c r="N680" s="1"/>
      <c r="O680" s="1"/>
      <c r="P680" s="1"/>
      <c r="Q680" s="1"/>
    </row>
    <row r="681" ht="15.75" customHeight="1">
      <c r="A681" s="1"/>
      <c r="B681" s="1"/>
      <c r="C681" s="1"/>
      <c r="D681" s="1"/>
      <c r="E681" s="1"/>
      <c r="F681" s="1"/>
      <c r="G681" s="1"/>
      <c r="H681" s="1"/>
      <c r="I681" s="1"/>
      <c r="J681" s="1"/>
      <c r="K681" s="1"/>
      <c r="L681" s="1"/>
      <c r="M681" s="1"/>
      <c r="N681" s="1"/>
      <c r="O681" s="1"/>
      <c r="P681" s="1"/>
      <c r="Q681" s="1"/>
    </row>
    <row r="682" ht="15.75" customHeight="1">
      <c r="A682" s="1"/>
      <c r="B682" s="1"/>
      <c r="C682" s="1"/>
      <c r="D682" s="1"/>
      <c r="E682" s="1"/>
      <c r="F682" s="1"/>
      <c r="G682" s="1"/>
      <c r="H682" s="1"/>
      <c r="I682" s="1"/>
      <c r="J682" s="1"/>
      <c r="K682" s="1"/>
      <c r="L682" s="1"/>
      <c r="M682" s="1"/>
      <c r="N682" s="1"/>
      <c r="O682" s="1"/>
      <c r="P682" s="1"/>
      <c r="Q682" s="1"/>
    </row>
    <row r="683" ht="15.75" customHeight="1">
      <c r="A683" s="1"/>
      <c r="B683" s="1"/>
      <c r="C683" s="1"/>
      <c r="D683" s="1"/>
      <c r="E683" s="1"/>
      <c r="F683" s="1"/>
      <c r="G683" s="1"/>
      <c r="H683" s="1"/>
      <c r="I683" s="1"/>
      <c r="J683" s="1"/>
      <c r="K683" s="1"/>
      <c r="L683" s="1"/>
      <c r="M683" s="1"/>
      <c r="N683" s="1"/>
      <c r="O683" s="1"/>
      <c r="P683" s="1"/>
      <c r="Q683" s="1"/>
    </row>
    <row r="684" ht="15.75" customHeight="1">
      <c r="A684" s="1"/>
      <c r="B684" s="1"/>
      <c r="C684" s="1"/>
      <c r="D684" s="1"/>
      <c r="E684" s="1"/>
      <c r="F684" s="1"/>
      <c r="G684" s="1"/>
      <c r="H684" s="1"/>
      <c r="I684" s="1"/>
      <c r="J684" s="1"/>
      <c r="K684" s="1"/>
      <c r="L684" s="1"/>
      <c r="M684" s="1"/>
      <c r="N684" s="1"/>
      <c r="O684" s="1"/>
      <c r="P684" s="1"/>
      <c r="Q684" s="1"/>
    </row>
    <row r="685" ht="15.75" customHeight="1">
      <c r="A685" s="1"/>
      <c r="B685" s="1"/>
      <c r="C685" s="1"/>
      <c r="D685" s="1"/>
      <c r="E685" s="1"/>
      <c r="F685" s="1"/>
      <c r="G685" s="1"/>
      <c r="H685" s="1"/>
      <c r="I685" s="1"/>
      <c r="J685" s="1"/>
      <c r="K685" s="1"/>
      <c r="L685" s="1"/>
      <c r="M685" s="1"/>
      <c r="N685" s="1"/>
      <c r="O685" s="1"/>
      <c r="P685" s="1"/>
      <c r="Q685" s="1"/>
    </row>
    <row r="686" ht="15.75" customHeight="1">
      <c r="A686" s="1"/>
      <c r="B686" s="1"/>
      <c r="C686" s="1"/>
      <c r="D686" s="1"/>
      <c r="E686" s="1"/>
      <c r="F686" s="1"/>
      <c r="G686" s="1"/>
      <c r="H686" s="1"/>
      <c r="I686" s="1"/>
      <c r="J686" s="1"/>
      <c r="K686" s="1"/>
      <c r="L686" s="1"/>
      <c r="M686" s="1"/>
      <c r="N686" s="1"/>
      <c r="O686" s="1"/>
      <c r="P686" s="1"/>
      <c r="Q686" s="1"/>
    </row>
    <row r="687" ht="15.75" customHeight="1">
      <c r="A687" s="1"/>
      <c r="B687" s="1"/>
      <c r="C687" s="1"/>
      <c r="D687" s="1"/>
      <c r="E687" s="1"/>
      <c r="F687" s="1"/>
      <c r="G687" s="1"/>
      <c r="H687" s="1"/>
      <c r="I687" s="1"/>
      <c r="J687" s="1"/>
      <c r="K687" s="1"/>
      <c r="L687" s="1"/>
      <c r="M687" s="1"/>
      <c r="N687" s="1"/>
      <c r="O687" s="1"/>
      <c r="P687" s="1"/>
      <c r="Q687" s="1"/>
    </row>
    <row r="688" ht="15.75" customHeight="1">
      <c r="A688" s="1"/>
      <c r="B688" s="1"/>
      <c r="C688" s="1"/>
      <c r="D688" s="1"/>
      <c r="E688" s="1"/>
      <c r="F688" s="1"/>
      <c r="G688" s="1"/>
      <c r="H688" s="1"/>
      <c r="I688" s="1"/>
      <c r="J688" s="1"/>
      <c r="K688" s="1"/>
      <c r="L688" s="1"/>
      <c r="M688" s="1"/>
      <c r="N688" s="1"/>
      <c r="O688" s="1"/>
      <c r="P688" s="1"/>
      <c r="Q688" s="1"/>
    </row>
    <row r="689" ht="15.75" customHeight="1">
      <c r="A689" s="1"/>
      <c r="B689" s="1"/>
      <c r="C689" s="1"/>
      <c r="D689" s="1"/>
      <c r="E689" s="1"/>
      <c r="F689" s="1"/>
      <c r="G689" s="1"/>
      <c r="H689" s="1"/>
      <c r="I689" s="1"/>
      <c r="J689" s="1"/>
      <c r="K689" s="1"/>
      <c r="L689" s="1"/>
      <c r="M689" s="1"/>
      <c r="N689" s="1"/>
      <c r="O689" s="1"/>
      <c r="P689" s="1"/>
      <c r="Q689" s="1"/>
    </row>
    <row r="690" ht="15.75" customHeight="1">
      <c r="A690" s="1"/>
      <c r="B690" s="1"/>
      <c r="C690" s="1"/>
      <c r="D690" s="1"/>
      <c r="E690" s="1"/>
      <c r="F690" s="1"/>
      <c r="G690" s="1"/>
      <c r="H690" s="1"/>
      <c r="I690" s="1"/>
      <c r="J690" s="1"/>
      <c r="K690" s="1"/>
      <c r="L690" s="1"/>
      <c r="M690" s="1"/>
      <c r="N690" s="1"/>
      <c r="O690" s="1"/>
      <c r="P690" s="1"/>
      <c r="Q690" s="1"/>
    </row>
    <row r="691" ht="15.75" customHeight="1">
      <c r="A691" s="1"/>
      <c r="B691" s="1"/>
      <c r="C691" s="1"/>
      <c r="D691" s="1"/>
      <c r="E691" s="1"/>
      <c r="F691" s="1"/>
      <c r="G691" s="1"/>
      <c r="H691" s="1"/>
      <c r="I691" s="1"/>
      <c r="J691" s="1"/>
      <c r="K691" s="1"/>
      <c r="L691" s="1"/>
      <c r="M691" s="1"/>
      <c r="N691" s="1"/>
      <c r="O691" s="1"/>
      <c r="P691" s="1"/>
      <c r="Q691" s="1"/>
    </row>
    <row r="692" ht="15.75" customHeight="1">
      <c r="A692" s="1"/>
      <c r="B692" s="1"/>
      <c r="C692" s="1"/>
      <c r="D692" s="1"/>
      <c r="E692" s="1"/>
      <c r="F692" s="1"/>
      <c r="G692" s="1"/>
      <c r="H692" s="1"/>
      <c r="I692" s="1"/>
      <c r="J692" s="1"/>
      <c r="K692" s="1"/>
      <c r="L692" s="1"/>
      <c r="M692" s="1"/>
      <c r="N692" s="1"/>
      <c r="O692" s="1"/>
      <c r="P692" s="1"/>
      <c r="Q692" s="1"/>
    </row>
    <row r="693" ht="15.75" customHeight="1">
      <c r="A693" s="1"/>
      <c r="B693" s="1"/>
      <c r="C693" s="1"/>
      <c r="D693" s="1"/>
      <c r="E693" s="1"/>
      <c r="F693" s="1"/>
      <c r="G693" s="1"/>
      <c r="H693" s="1"/>
      <c r="I693" s="1"/>
      <c r="J693" s="1"/>
      <c r="K693" s="1"/>
      <c r="L693" s="1"/>
      <c r="M693" s="1"/>
      <c r="N693" s="1"/>
      <c r="O693" s="1"/>
      <c r="P693" s="1"/>
      <c r="Q693" s="1"/>
    </row>
    <row r="694" ht="15.75" customHeight="1">
      <c r="A694" s="1"/>
      <c r="B694" s="1"/>
      <c r="C694" s="1"/>
      <c r="D694" s="1"/>
      <c r="E694" s="1"/>
      <c r="F694" s="1"/>
      <c r="G694" s="1"/>
      <c r="H694" s="1"/>
      <c r="I694" s="1"/>
      <c r="J694" s="1"/>
      <c r="K694" s="1"/>
      <c r="L694" s="1"/>
      <c r="M694" s="1"/>
      <c r="N694" s="1"/>
      <c r="O694" s="1"/>
      <c r="P694" s="1"/>
      <c r="Q694" s="1"/>
    </row>
    <row r="695" ht="15.75" customHeight="1">
      <c r="A695" s="1"/>
      <c r="B695" s="1"/>
      <c r="C695" s="1"/>
      <c r="D695" s="1"/>
      <c r="E695" s="1"/>
      <c r="F695" s="1"/>
      <c r="G695" s="1"/>
      <c r="H695" s="1"/>
      <c r="I695" s="1"/>
      <c r="J695" s="1"/>
      <c r="K695" s="1"/>
      <c r="L695" s="1"/>
      <c r="M695" s="1"/>
      <c r="N695" s="1"/>
      <c r="O695" s="1"/>
      <c r="P695" s="1"/>
      <c r="Q695" s="1"/>
    </row>
    <row r="696" ht="15.75" customHeight="1">
      <c r="A696" s="1"/>
      <c r="B696" s="1"/>
      <c r="C696" s="1"/>
      <c r="D696" s="1"/>
      <c r="E696" s="1"/>
      <c r="F696" s="1"/>
      <c r="G696" s="1"/>
      <c r="H696" s="1"/>
      <c r="I696" s="1"/>
      <c r="J696" s="1"/>
      <c r="K696" s="1"/>
      <c r="L696" s="1"/>
      <c r="M696" s="1"/>
      <c r="N696" s="1"/>
      <c r="O696" s="1"/>
      <c r="P696" s="1"/>
      <c r="Q696" s="1"/>
    </row>
    <row r="697" ht="15.75" customHeight="1">
      <c r="A697" s="1"/>
      <c r="B697" s="1"/>
      <c r="C697" s="1"/>
      <c r="D697" s="1"/>
      <c r="E697" s="1"/>
      <c r="F697" s="1"/>
      <c r="G697" s="1"/>
      <c r="H697" s="1"/>
      <c r="I697" s="1"/>
      <c r="J697" s="1"/>
      <c r="K697" s="1"/>
      <c r="L697" s="1"/>
      <c r="M697" s="1"/>
      <c r="N697" s="1"/>
      <c r="O697" s="1"/>
      <c r="P697" s="1"/>
      <c r="Q697" s="1"/>
    </row>
    <row r="698" ht="15.75" customHeight="1">
      <c r="A698" s="1"/>
      <c r="B698" s="1"/>
      <c r="C698" s="1"/>
      <c r="D698" s="1"/>
      <c r="E698" s="1"/>
      <c r="F698" s="1"/>
      <c r="G698" s="1"/>
      <c r="H698" s="1"/>
      <c r="I698" s="1"/>
      <c r="J698" s="1"/>
      <c r="K698" s="1"/>
      <c r="L698" s="1"/>
      <c r="M698" s="1"/>
      <c r="N698" s="1"/>
      <c r="O698" s="1"/>
      <c r="P698" s="1"/>
      <c r="Q698" s="1"/>
    </row>
    <row r="699" ht="15.75" customHeight="1">
      <c r="A699" s="1"/>
      <c r="B699" s="1"/>
      <c r="C699" s="1"/>
      <c r="D699" s="1"/>
      <c r="E699" s="1"/>
      <c r="F699" s="1"/>
      <c r="G699" s="1"/>
      <c r="H699" s="1"/>
      <c r="I699" s="1"/>
      <c r="J699" s="1"/>
      <c r="K699" s="1"/>
      <c r="L699" s="1"/>
      <c r="M699" s="1"/>
      <c r="N699" s="1"/>
      <c r="O699" s="1"/>
      <c r="P699" s="1"/>
      <c r="Q699" s="1"/>
    </row>
    <row r="700" ht="15.75" customHeight="1">
      <c r="A700" s="1"/>
      <c r="B700" s="1"/>
      <c r="C700" s="1"/>
      <c r="D700" s="1"/>
      <c r="E700" s="1"/>
      <c r="F700" s="1"/>
      <c r="G700" s="1"/>
      <c r="H700" s="1"/>
      <c r="I700" s="1"/>
      <c r="J700" s="1"/>
      <c r="K700" s="1"/>
      <c r="L700" s="1"/>
      <c r="M700" s="1"/>
      <c r="N700" s="1"/>
      <c r="O700" s="1"/>
      <c r="P700" s="1"/>
      <c r="Q700" s="1"/>
    </row>
    <row r="701" ht="15.75" customHeight="1">
      <c r="A701" s="1"/>
      <c r="B701" s="1"/>
      <c r="C701" s="1"/>
      <c r="D701" s="1"/>
      <c r="E701" s="1"/>
      <c r="F701" s="1"/>
      <c r="G701" s="1"/>
      <c r="H701" s="1"/>
      <c r="I701" s="1"/>
      <c r="J701" s="1"/>
      <c r="K701" s="1"/>
      <c r="L701" s="1"/>
      <c r="M701" s="1"/>
      <c r="N701" s="1"/>
      <c r="O701" s="1"/>
      <c r="P701" s="1"/>
      <c r="Q701" s="1"/>
    </row>
    <row r="702" ht="15.75" customHeight="1">
      <c r="A702" s="1"/>
      <c r="B702" s="1"/>
      <c r="C702" s="1"/>
      <c r="D702" s="1"/>
      <c r="E702" s="1"/>
      <c r="F702" s="1"/>
      <c r="G702" s="1"/>
      <c r="H702" s="1"/>
      <c r="I702" s="1"/>
      <c r="J702" s="1"/>
      <c r="K702" s="1"/>
      <c r="L702" s="1"/>
      <c r="M702" s="1"/>
      <c r="N702" s="1"/>
      <c r="O702" s="1"/>
      <c r="P702" s="1"/>
      <c r="Q702" s="1"/>
    </row>
    <row r="703" ht="15.75" customHeight="1">
      <c r="A703" s="1"/>
      <c r="B703" s="1"/>
      <c r="C703" s="1"/>
      <c r="D703" s="1"/>
      <c r="E703" s="1"/>
      <c r="F703" s="1"/>
      <c r="G703" s="1"/>
      <c r="H703" s="1"/>
      <c r="I703" s="1"/>
      <c r="J703" s="1"/>
      <c r="K703" s="1"/>
      <c r="L703" s="1"/>
      <c r="M703" s="1"/>
      <c r="N703" s="1"/>
      <c r="O703" s="1"/>
      <c r="P703" s="1"/>
      <c r="Q703" s="1"/>
    </row>
    <row r="704" ht="15.75" customHeight="1">
      <c r="A704" s="1"/>
      <c r="B704" s="1"/>
      <c r="C704" s="1"/>
      <c r="D704" s="1"/>
      <c r="E704" s="1"/>
      <c r="F704" s="1"/>
      <c r="G704" s="1"/>
      <c r="H704" s="1"/>
      <c r="I704" s="1"/>
      <c r="J704" s="1"/>
      <c r="K704" s="1"/>
      <c r="L704" s="1"/>
      <c r="M704" s="1"/>
      <c r="N704" s="1"/>
      <c r="O704" s="1"/>
      <c r="P704" s="1"/>
      <c r="Q704" s="1"/>
    </row>
    <row r="705" ht="15.75" customHeight="1">
      <c r="A705" s="1"/>
      <c r="B705" s="1"/>
      <c r="C705" s="1"/>
      <c r="D705" s="1"/>
      <c r="E705" s="1"/>
      <c r="F705" s="1"/>
      <c r="G705" s="1"/>
      <c r="H705" s="1"/>
      <c r="I705" s="1"/>
      <c r="J705" s="1"/>
      <c r="K705" s="1"/>
      <c r="L705" s="1"/>
      <c r="M705" s="1"/>
      <c r="N705" s="1"/>
      <c r="O705" s="1"/>
      <c r="P705" s="1"/>
      <c r="Q705" s="1"/>
    </row>
    <row r="706" ht="15.75" customHeight="1">
      <c r="A706" s="1"/>
      <c r="B706" s="1"/>
      <c r="C706" s="1"/>
      <c r="D706" s="1"/>
      <c r="E706" s="1"/>
      <c r="F706" s="1"/>
      <c r="G706" s="1"/>
      <c r="H706" s="1"/>
      <c r="I706" s="1"/>
      <c r="J706" s="1"/>
      <c r="K706" s="1"/>
      <c r="L706" s="1"/>
      <c r="M706" s="1"/>
      <c r="N706" s="1"/>
      <c r="O706" s="1"/>
      <c r="P706" s="1"/>
      <c r="Q706" s="1"/>
    </row>
    <row r="707" ht="15.75" customHeight="1">
      <c r="A707" s="1"/>
      <c r="B707" s="1"/>
      <c r="C707" s="1"/>
      <c r="D707" s="1"/>
      <c r="E707" s="1"/>
      <c r="F707" s="1"/>
      <c r="G707" s="1"/>
      <c r="H707" s="1"/>
      <c r="I707" s="1"/>
      <c r="J707" s="1"/>
      <c r="K707" s="1"/>
      <c r="L707" s="1"/>
      <c r="M707" s="1"/>
      <c r="N707" s="1"/>
      <c r="O707" s="1"/>
      <c r="P707" s="1"/>
      <c r="Q707" s="1"/>
    </row>
    <row r="708" ht="15.75" customHeight="1">
      <c r="A708" s="1"/>
      <c r="B708" s="1"/>
      <c r="C708" s="1"/>
      <c r="D708" s="1"/>
      <c r="E708" s="1"/>
      <c r="F708" s="1"/>
      <c r="G708" s="1"/>
      <c r="H708" s="1"/>
      <c r="I708" s="1"/>
      <c r="J708" s="1"/>
      <c r="K708" s="1"/>
      <c r="L708" s="1"/>
      <c r="M708" s="1"/>
      <c r="N708" s="1"/>
      <c r="O708" s="1"/>
      <c r="P708" s="1"/>
      <c r="Q708" s="1"/>
    </row>
    <row r="709" ht="15.75" customHeight="1">
      <c r="A709" s="1"/>
      <c r="B709" s="1"/>
      <c r="C709" s="1"/>
      <c r="D709" s="1"/>
      <c r="E709" s="1"/>
      <c r="F709" s="1"/>
      <c r="G709" s="1"/>
      <c r="H709" s="1"/>
      <c r="I709" s="1"/>
      <c r="J709" s="1"/>
      <c r="K709" s="1"/>
      <c r="L709" s="1"/>
      <c r="M709" s="1"/>
      <c r="N709" s="1"/>
      <c r="O709" s="1"/>
      <c r="P709" s="1"/>
      <c r="Q709" s="1"/>
    </row>
    <row r="710" ht="15.75" customHeight="1">
      <c r="A710" s="1"/>
      <c r="B710" s="1"/>
      <c r="C710" s="1"/>
      <c r="D710" s="1"/>
      <c r="E710" s="1"/>
      <c r="F710" s="1"/>
      <c r="G710" s="1"/>
      <c r="H710" s="1"/>
      <c r="I710" s="1"/>
      <c r="J710" s="1"/>
      <c r="K710" s="1"/>
      <c r="L710" s="1"/>
      <c r="M710" s="1"/>
      <c r="N710" s="1"/>
      <c r="O710" s="1"/>
      <c r="P710" s="1"/>
      <c r="Q710" s="1"/>
    </row>
    <row r="711" ht="15.75" customHeight="1">
      <c r="A711" s="1"/>
      <c r="B711" s="1"/>
      <c r="C711" s="1"/>
      <c r="D711" s="1"/>
      <c r="E711" s="1"/>
      <c r="F711" s="1"/>
      <c r="G711" s="1"/>
      <c r="H711" s="1"/>
      <c r="I711" s="1"/>
      <c r="J711" s="1"/>
      <c r="K711" s="1"/>
      <c r="L711" s="1"/>
      <c r="M711" s="1"/>
      <c r="N711" s="1"/>
      <c r="O711" s="1"/>
      <c r="P711" s="1"/>
      <c r="Q711" s="1"/>
    </row>
    <row r="712" ht="15.75" customHeight="1">
      <c r="A712" s="1"/>
      <c r="B712" s="1"/>
      <c r="C712" s="1"/>
      <c r="D712" s="1"/>
      <c r="E712" s="1"/>
      <c r="F712" s="1"/>
      <c r="G712" s="1"/>
      <c r="H712" s="1"/>
      <c r="I712" s="1"/>
      <c r="J712" s="1"/>
      <c r="K712" s="1"/>
      <c r="L712" s="1"/>
      <c r="M712" s="1"/>
      <c r="N712" s="1"/>
      <c r="O712" s="1"/>
      <c r="P712" s="1"/>
      <c r="Q712" s="1"/>
    </row>
    <row r="713" ht="15.75" customHeight="1">
      <c r="A713" s="1"/>
      <c r="B713" s="1"/>
      <c r="C713" s="1"/>
      <c r="D713" s="1"/>
      <c r="E713" s="1"/>
      <c r="F713" s="1"/>
      <c r="G713" s="1"/>
      <c r="H713" s="1"/>
      <c r="I713" s="1"/>
      <c r="J713" s="1"/>
      <c r="K713" s="1"/>
      <c r="L713" s="1"/>
      <c r="M713" s="1"/>
      <c r="N713" s="1"/>
      <c r="O713" s="1"/>
      <c r="P713" s="1"/>
      <c r="Q713" s="1"/>
    </row>
    <row r="714" ht="15.75" customHeight="1">
      <c r="A714" s="1"/>
      <c r="B714" s="1"/>
      <c r="C714" s="1"/>
      <c r="D714" s="1"/>
      <c r="E714" s="1"/>
      <c r="F714" s="1"/>
      <c r="G714" s="1"/>
      <c r="H714" s="1"/>
      <c r="I714" s="1"/>
      <c r="J714" s="1"/>
      <c r="K714" s="1"/>
      <c r="L714" s="1"/>
      <c r="M714" s="1"/>
      <c r="N714" s="1"/>
      <c r="O714" s="1"/>
      <c r="P714" s="1"/>
      <c r="Q714" s="1"/>
    </row>
    <row r="715" ht="15.75" customHeight="1">
      <c r="A715" s="1"/>
      <c r="B715" s="1"/>
      <c r="C715" s="1"/>
      <c r="D715" s="1"/>
      <c r="E715" s="1"/>
      <c r="F715" s="1"/>
      <c r="G715" s="1"/>
      <c r="H715" s="1"/>
      <c r="I715" s="1"/>
      <c r="J715" s="1"/>
      <c r="K715" s="1"/>
      <c r="L715" s="1"/>
      <c r="M715" s="1"/>
      <c r="N715" s="1"/>
      <c r="O715" s="1"/>
      <c r="P715" s="1"/>
      <c r="Q715" s="1"/>
    </row>
    <row r="716" ht="15.75" customHeight="1">
      <c r="A716" s="1"/>
      <c r="B716" s="1"/>
      <c r="C716" s="1"/>
      <c r="D716" s="1"/>
      <c r="E716" s="1"/>
      <c r="F716" s="1"/>
      <c r="G716" s="1"/>
      <c r="H716" s="1"/>
      <c r="I716" s="1"/>
      <c r="J716" s="1"/>
      <c r="K716" s="1"/>
      <c r="L716" s="1"/>
      <c r="M716" s="1"/>
      <c r="N716" s="1"/>
      <c r="O716" s="1"/>
      <c r="P716" s="1"/>
      <c r="Q716" s="1"/>
    </row>
    <row r="717" ht="15.75" customHeight="1">
      <c r="A717" s="1"/>
      <c r="B717" s="1"/>
      <c r="C717" s="1"/>
      <c r="D717" s="1"/>
      <c r="E717" s="1"/>
      <c r="F717" s="1"/>
      <c r="G717" s="1"/>
      <c r="H717" s="1"/>
      <c r="I717" s="1"/>
      <c r="J717" s="1"/>
      <c r="K717" s="1"/>
      <c r="L717" s="1"/>
      <c r="M717" s="1"/>
      <c r="N717" s="1"/>
      <c r="O717" s="1"/>
      <c r="P717" s="1"/>
      <c r="Q717" s="1"/>
    </row>
    <row r="718" ht="15.75" customHeight="1">
      <c r="A718" s="1"/>
      <c r="B718" s="1"/>
      <c r="C718" s="1"/>
      <c r="D718" s="1"/>
      <c r="E718" s="1"/>
      <c r="F718" s="1"/>
      <c r="G718" s="1"/>
      <c r="H718" s="1"/>
      <c r="I718" s="1"/>
      <c r="J718" s="1"/>
      <c r="K718" s="1"/>
      <c r="L718" s="1"/>
      <c r="M718" s="1"/>
      <c r="N718" s="1"/>
      <c r="O718" s="1"/>
      <c r="P718" s="1"/>
      <c r="Q718" s="1"/>
    </row>
    <row r="719" ht="15.75" customHeight="1">
      <c r="A719" s="1"/>
      <c r="B719" s="1"/>
      <c r="C719" s="1"/>
      <c r="D719" s="1"/>
      <c r="E719" s="1"/>
      <c r="F719" s="1"/>
      <c r="G719" s="1"/>
      <c r="H719" s="1"/>
      <c r="I719" s="1"/>
      <c r="J719" s="1"/>
      <c r="K719" s="1"/>
      <c r="L719" s="1"/>
      <c r="M719" s="1"/>
      <c r="N719" s="1"/>
      <c r="O719" s="1"/>
      <c r="P719" s="1"/>
      <c r="Q719" s="1"/>
    </row>
    <row r="720" ht="15.75" customHeight="1">
      <c r="A720" s="1"/>
      <c r="B720" s="1"/>
      <c r="C720" s="1"/>
      <c r="D720" s="1"/>
      <c r="E720" s="1"/>
      <c r="F720" s="1"/>
      <c r="G720" s="1"/>
      <c r="H720" s="1"/>
      <c r="I720" s="1"/>
      <c r="J720" s="1"/>
      <c r="K720" s="1"/>
      <c r="L720" s="1"/>
      <c r="M720" s="1"/>
      <c r="N720" s="1"/>
      <c r="O720" s="1"/>
      <c r="P720" s="1"/>
      <c r="Q720" s="1"/>
    </row>
    <row r="721" ht="15.75" customHeight="1">
      <c r="A721" s="1"/>
      <c r="B721" s="1"/>
      <c r="C721" s="1"/>
      <c r="D721" s="1"/>
      <c r="E721" s="1"/>
      <c r="F721" s="1"/>
      <c r="G721" s="1"/>
      <c r="H721" s="1"/>
      <c r="I721" s="1"/>
      <c r="J721" s="1"/>
      <c r="K721" s="1"/>
      <c r="L721" s="1"/>
      <c r="M721" s="1"/>
      <c r="N721" s="1"/>
      <c r="O721" s="1"/>
      <c r="P721" s="1"/>
      <c r="Q721" s="1"/>
    </row>
    <row r="722" ht="15.75" customHeight="1">
      <c r="A722" s="1"/>
      <c r="B722" s="1"/>
      <c r="C722" s="1"/>
      <c r="D722" s="1"/>
      <c r="E722" s="1"/>
      <c r="F722" s="1"/>
      <c r="G722" s="1"/>
      <c r="H722" s="1"/>
      <c r="I722" s="1"/>
      <c r="J722" s="1"/>
      <c r="K722" s="1"/>
      <c r="L722" s="1"/>
      <c r="M722" s="1"/>
      <c r="N722" s="1"/>
      <c r="O722" s="1"/>
      <c r="P722" s="1"/>
      <c r="Q722" s="1"/>
    </row>
    <row r="723" ht="15.75" customHeight="1">
      <c r="A723" s="1"/>
      <c r="B723" s="1"/>
      <c r="C723" s="1"/>
      <c r="D723" s="1"/>
      <c r="E723" s="1"/>
      <c r="F723" s="1"/>
      <c r="G723" s="1"/>
      <c r="H723" s="1"/>
      <c r="I723" s="1"/>
      <c r="J723" s="1"/>
      <c r="K723" s="1"/>
      <c r="L723" s="1"/>
      <c r="M723" s="1"/>
      <c r="N723" s="1"/>
      <c r="O723" s="1"/>
      <c r="P723" s="1"/>
      <c r="Q723" s="1"/>
    </row>
    <row r="724" ht="15.75" customHeight="1">
      <c r="A724" s="1"/>
      <c r="B724" s="1"/>
      <c r="C724" s="1"/>
      <c r="D724" s="1"/>
      <c r="E724" s="1"/>
      <c r="F724" s="1"/>
      <c r="G724" s="1"/>
      <c r="H724" s="1"/>
      <c r="I724" s="1"/>
      <c r="J724" s="1"/>
      <c r="K724" s="1"/>
      <c r="L724" s="1"/>
      <c r="M724" s="1"/>
      <c r="N724" s="1"/>
      <c r="O724" s="1"/>
      <c r="P724" s="1"/>
      <c r="Q724" s="1"/>
    </row>
    <row r="725" ht="15.75" customHeight="1">
      <c r="A725" s="1"/>
      <c r="B725" s="1"/>
      <c r="C725" s="1"/>
      <c r="D725" s="1"/>
      <c r="E725" s="1"/>
      <c r="F725" s="1"/>
      <c r="G725" s="1"/>
      <c r="H725" s="1"/>
      <c r="I725" s="1"/>
      <c r="J725" s="1"/>
      <c r="K725" s="1"/>
      <c r="L725" s="1"/>
      <c r="M725" s="1"/>
      <c r="N725" s="1"/>
      <c r="O725" s="1"/>
      <c r="P725" s="1"/>
      <c r="Q725" s="1"/>
    </row>
    <row r="726" ht="15.75" customHeight="1">
      <c r="A726" s="1"/>
      <c r="B726" s="1"/>
      <c r="C726" s="1"/>
      <c r="D726" s="1"/>
      <c r="E726" s="1"/>
      <c r="F726" s="1"/>
      <c r="G726" s="1"/>
      <c r="H726" s="1"/>
      <c r="I726" s="1"/>
      <c r="J726" s="1"/>
      <c r="K726" s="1"/>
      <c r="L726" s="1"/>
      <c r="M726" s="1"/>
      <c r="N726" s="1"/>
      <c r="O726" s="1"/>
      <c r="P726" s="1"/>
      <c r="Q726" s="1"/>
    </row>
    <row r="727" ht="15.75" customHeight="1">
      <c r="A727" s="1"/>
      <c r="B727" s="1"/>
      <c r="C727" s="1"/>
      <c r="D727" s="1"/>
      <c r="E727" s="1"/>
      <c r="F727" s="1"/>
      <c r="G727" s="1"/>
      <c r="H727" s="1"/>
      <c r="I727" s="1"/>
      <c r="J727" s="1"/>
      <c r="K727" s="1"/>
      <c r="L727" s="1"/>
      <c r="M727" s="1"/>
      <c r="N727" s="1"/>
      <c r="O727" s="1"/>
      <c r="P727" s="1"/>
      <c r="Q727" s="1"/>
    </row>
    <row r="728" ht="15.75" customHeight="1">
      <c r="A728" s="1"/>
      <c r="B728" s="1"/>
      <c r="C728" s="1"/>
      <c r="D728" s="1"/>
      <c r="E728" s="1"/>
      <c r="F728" s="1"/>
      <c r="G728" s="1"/>
      <c r="H728" s="1"/>
      <c r="I728" s="1"/>
      <c r="J728" s="1"/>
      <c r="K728" s="1"/>
      <c r="L728" s="1"/>
      <c r="M728" s="1"/>
      <c r="N728" s="1"/>
      <c r="O728" s="1"/>
      <c r="P728" s="1"/>
      <c r="Q728" s="1"/>
    </row>
    <row r="729" ht="15.75" customHeight="1">
      <c r="A729" s="1"/>
      <c r="B729" s="1"/>
      <c r="C729" s="1"/>
      <c r="D729" s="1"/>
      <c r="E729" s="1"/>
      <c r="F729" s="1"/>
      <c r="G729" s="1"/>
      <c r="H729" s="1"/>
      <c r="I729" s="1"/>
      <c r="J729" s="1"/>
      <c r="K729" s="1"/>
      <c r="L729" s="1"/>
      <c r="M729" s="1"/>
      <c r="N729" s="1"/>
      <c r="O729" s="1"/>
      <c r="P729" s="1"/>
      <c r="Q729" s="1"/>
    </row>
    <row r="730" ht="15.75" customHeight="1">
      <c r="A730" s="1"/>
      <c r="B730" s="1"/>
      <c r="C730" s="1"/>
      <c r="D730" s="1"/>
      <c r="E730" s="1"/>
      <c r="F730" s="1"/>
      <c r="G730" s="1"/>
      <c r="H730" s="1"/>
      <c r="I730" s="1"/>
      <c r="J730" s="1"/>
      <c r="K730" s="1"/>
      <c r="L730" s="1"/>
      <c r="M730" s="1"/>
      <c r="N730" s="1"/>
      <c r="O730" s="1"/>
      <c r="P730" s="1"/>
      <c r="Q730" s="1"/>
    </row>
    <row r="731" ht="15.75" customHeight="1">
      <c r="A731" s="1"/>
      <c r="B731" s="1"/>
      <c r="C731" s="1"/>
      <c r="D731" s="1"/>
      <c r="E731" s="1"/>
      <c r="F731" s="1"/>
      <c r="G731" s="1"/>
      <c r="H731" s="1"/>
      <c r="I731" s="1"/>
      <c r="J731" s="1"/>
      <c r="K731" s="1"/>
      <c r="L731" s="1"/>
      <c r="M731" s="1"/>
      <c r="N731" s="1"/>
      <c r="O731" s="1"/>
      <c r="P731" s="1"/>
      <c r="Q731" s="1"/>
    </row>
    <row r="732" ht="15.75" customHeight="1">
      <c r="A732" s="1"/>
      <c r="B732" s="1"/>
      <c r="C732" s="1"/>
      <c r="D732" s="1"/>
      <c r="E732" s="1"/>
      <c r="F732" s="1"/>
      <c r="G732" s="1"/>
      <c r="H732" s="1"/>
      <c r="I732" s="1"/>
      <c r="J732" s="1"/>
      <c r="K732" s="1"/>
      <c r="L732" s="1"/>
      <c r="M732" s="1"/>
      <c r="N732" s="1"/>
      <c r="O732" s="1"/>
      <c r="P732" s="1"/>
      <c r="Q732" s="1"/>
    </row>
    <row r="733" ht="15.75" customHeight="1">
      <c r="A733" s="1"/>
      <c r="B733" s="1"/>
      <c r="C733" s="1"/>
      <c r="D733" s="1"/>
      <c r="E733" s="1"/>
      <c r="F733" s="1"/>
      <c r="G733" s="1"/>
      <c r="H733" s="1"/>
      <c r="I733" s="1"/>
      <c r="J733" s="1"/>
      <c r="K733" s="1"/>
      <c r="L733" s="1"/>
      <c r="M733" s="1"/>
      <c r="N733" s="1"/>
      <c r="O733" s="1"/>
      <c r="P733" s="1"/>
      <c r="Q733" s="1"/>
    </row>
    <row r="734" ht="15.75" customHeight="1">
      <c r="A734" s="1"/>
      <c r="B734" s="1"/>
      <c r="C734" s="1"/>
      <c r="D734" s="1"/>
      <c r="E734" s="1"/>
      <c r="F734" s="1"/>
      <c r="G734" s="1"/>
      <c r="H734" s="1"/>
      <c r="I734" s="1"/>
      <c r="J734" s="1"/>
      <c r="K734" s="1"/>
      <c r="L734" s="1"/>
      <c r="M734" s="1"/>
      <c r="N734" s="1"/>
      <c r="O734" s="1"/>
      <c r="P734" s="1"/>
      <c r="Q734" s="1"/>
    </row>
    <row r="735" ht="15.75" customHeight="1">
      <c r="A735" s="1"/>
      <c r="B735" s="1"/>
      <c r="C735" s="1"/>
      <c r="D735" s="1"/>
      <c r="E735" s="1"/>
      <c r="F735" s="1"/>
      <c r="G735" s="1"/>
      <c r="H735" s="1"/>
      <c r="I735" s="1"/>
      <c r="J735" s="1"/>
      <c r="K735" s="1"/>
      <c r="L735" s="1"/>
      <c r="M735" s="1"/>
      <c r="N735" s="1"/>
      <c r="O735" s="1"/>
      <c r="P735" s="1"/>
      <c r="Q735" s="1"/>
    </row>
    <row r="736" ht="15.75" customHeight="1">
      <c r="A736" s="1"/>
      <c r="B736" s="1"/>
      <c r="C736" s="1"/>
      <c r="D736" s="1"/>
      <c r="E736" s="1"/>
      <c r="F736" s="1"/>
      <c r="G736" s="1"/>
      <c r="H736" s="1"/>
      <c r="I736" s="1"/>
      <c r="J736" s="1"/>
      <c r="K736" s="1"/>
      <c r="L736" s="1"/>
      <c r="M736" s="1"/>
      <c r="N736" s="1"/>
      <c r="O736" s="1"/>
      <c r="P736" s="1"/>
      <c r="Q736" s="1"/>
    </row>
    <row r="737" ht="15.75" customHeight="1">
      <c r="A737" s="1"/>
      <c r="B737" s="1"/>
      <c r="C737" s="1"/>
      <c r="D737" s="1"/>
      <c r="E737" s="1"/>
      <c r="F737" s="1"/>
      <c r="G737" s="1"/>
      <c r="H737" s="1"/>
      <c r="I737" s="1"/>
      <c r="J737" s="1"/>
      <c r="K737" s="1"/>
      <c r="L737" s="1"/>
      <c r="M737" s="1"/>
      <c r="N737" s="1"/>
      <c r="O737" s="1"/>
      <c r="P737" s="1"/>
      <c r="Q737" s="1"/>
    </row>
    <row r="738" ht="15.75" customHeight="1">
      <c r="A738" s="1"/>
      <c r="B738" s="1"/>
      <c r="C738" s="1"/>
      <c r="D738" s="1"/>
      <c r="E738" s="1"/>
      <c r="F738" s="1"/>
      <c r="G738" s="1"/>
      <c r="H738" s="1"/>
      <c r="I738" s="1"/>
      <c r="J738" s="1"/>
      <c r="K738" s="1"/>
      <c r="L738" s="1"/>
      <c r="M738" s="1"/>
      <c r="N738" s="1"/>
      <c r="O738" s="1"/>
      <c r="P738" s="1"/>
      <c r="Q738" s="1"/>
    </row>
    <row r="739" ht="15.75" customHeight="1">
      <c r="A739" s="1"/>
      <c r="B739" s="1"/>
      <c r="C739" s="1"/>
      <c r="D739" s="1"/>
      <c r="E739" s="1"/>
      <c r="F739" s="1"/>
      <c r="G739" s="1"/>
      <c r="H739" s="1"/>
      <c r="I739" s="1"/>
      <c r="J739" s="1"/>
      <c r="K739" s="1"/>
      <c r="L739" s="1"/>
      <c r="M739" s="1"/>
      <c r="N739" s="1"/>
      <c r="O739" s="1"/>
      <c r="P739" s="1"/>
      <c r="Q739" s="1"/>
    </row>
    <row r="740" ht="15.75" customHeight="1">
      <c r="A740" s="1"/>
      <c r="B740" s="1"/>
      <c r="C740" s="1"/>
      <c r="D740" s="1"/>
      <c r="E740" s="1"/>
      <c r="F740" s="1"/>
      <c r="G740" s="1"/>
      <c r="H740" s="1"/>
      <c r="I740" s="1"/>
      <c r="J740" s="1"/>
      <c r="K740" s="1"/>
      <c r="L740" s="1"/>
      <c r="M740" s="1"/>
      <c r="N740" s="1"/>
      <c r="O740" s="1"/>
      <c r="P740" s="1"/>
      <c r="Q740" s="1"/>
    </row>
    <row r="741" ht="15.75" customHeight="1">
      <c r="A741" s="1"/>
      <c r="B741" s="1"/>
      <c r="C741" s="1"/>
      <c r="D741" s="1"/>
      <c r="E741" s="1"/>
      <c r="F741" s="1"/>
      <c r="G741" s="1"/>
      <c r="H741" s="1"/>
      <c r="I741" s="1"/>
      <c r="J741" s="1"/>
      <c r="K741" s="1"/>
      <c r="L741" s="1"/>
      <c r="M741" s="1"/>
      <c r="N741" s="1"/>
      <c r="O741" s="1"/>
      <c r="P741" s="1"/>
      <c r="Q741" s="1"/>
    </row>
    <row r="742" ht="15.75" customHeight="1">
      <c r="A742" s="1"/>
      <c r="B742" s="1"/>
      <c r="C742" s="1"/>
      <c r="D742" s="1"/>
      <c r="E742" s="1"/>
      <c r="F742" s="1"/>
      <c r="G742" s="1"/>
      <c r="H742" s="1"/>
      <c r="I742" s="1"/>
      <c r="J742" s="1"/>
      <c r="K742" s="1"/>
      <c r="L742" s="1"/>
      <c r="M742" s="1"/>
      <c r="N742" s="1"/>
      <c r="O742" s="1"/>
      <c r="P742" s="1"/>
      <c r="Q742" s="1"/>
    </row>
    <row r="743" ht="15.75" customHeight="1">
      <c r="A743" s="1"/>
      <c r="B743" s="1"/>
      <c r="C743" s="1"/>
      <c r="D743" s="1"/>
      <c r="E743" s="1"/>
      <c r="F743" s="1"/>
      <c r="G743" s="1"/>
      <c r="H743" s="1"/>
      <c r="I743" s="1"/>
      <c r="J743" s="1"/>
      <c r="K743" s="1"/>
      <c r="L743" s="1"/>
      <c r="M743" s="1"/>
      <c r="N743" s="1"/>
      <c r="O743" s="1"/>
      <c r="P743" s="1"/>
      <c r="Q743" s="1"/>
    </row>
    <row r="744" ht="15.75" customHeight="1">
      <c r="A744" s="1"/>
      <c r="B744" s="1"/>
      <c r="C744" s="1"/>
      <c r="D744" s="1"/>
      <c r="E744" s="1"/>
      <c r="F744" s="1"/>
      <c r="G744" s="1"/>
      <c r="H744" s="1"/>
      <c r="I744" s="1"/>
      <c r="J744" s="1"/>
      <c r="K744" s="1"/>
      <c r="L744" s="1"/>
      <c r="M744" s="1"/>
      <c r="N744" s="1"/>
      <c r="O744" s="1"/>
      <c r="P744" s="1"/>
      <c r="Q744" s="1"/>
    </row>
    <row r="745" ht="15.75" customHeight="1">
      <c r="A745" s="1"/>
      <c r="B745" s="1"/>
      <c r="C745" s="1"/>
      <c r="D745" s="1"/>
      <c r="E745" s="1"/>
      <c r="F745" s="1"/>
      <c r="G745" s="1"/>
      <c r="H745" s="1"/>
      <c r="I745" s="1"/>
      <c r="J745" s="1"/>
      <c r="K745" s="1"/>
      <c r="L745" s="1"/>
      <c r="M745" s="1"/>
      <c r="N745" s="1"/>
      <c r="O745" s="1"/>
      <c r="P745" s="1"/>
      <c r="Q745" s="1"/>
    </row>
    <row r="746" ht="15.75" customHeight="1">
      <c r="A746" s="1"/>
      <c r="B746" s="1"/>
      <c r="C746" s="1"/>
      <c r="D746" s="1"/>
      <c r="E746" s="1"/>
      <c r="F746" s="1"/>
      <c r="G746" s="1"/>
      <c r="H746" s="1"/>
      <c r="I746" s="1"/>
      <c r="J746" s="1"/>
      <c r="K746" s="1"/>
      <c r="L746" s="1"/>
      <c r="M746" s="1"/>
      <c r="N746" s="1"/>
      <c r="O746" s="1"/>
      <c r="P746" s="1"/>
      <c r="Q746" s="1"/>
    </row>
    <row r="747" ht="15.75" customHeight="1">
      <c r="A747" s="1"/>
      <c r="B747" s="1"/>
      <c r="C747" s="1"/>
      <c r="D747" s="1"/>
      <c r="E747" s="1"/>
      <c r="F747" s="1"/>
      <c r="G747" s="1"/>
      <c r="H747" s="1"/>
      <c r="I747" s="1"/>
      <c r="J747" s="1"/>
      <c r="K747" s="1"/>
      <c r="L747" s="1"/>
      <c r="M747" s="1"/>
      <c r="N747" s="1"/>
      <c r="O747" s="1"/>
      <c r="P747" s="1"/>
      <c r="Q747" s="1"/>
    </row>
    <row r="748" ht="15.75" customHeight="1">
      <c r="A748" s="1"/>
      <c r="B748" s="1"/>
      <c r="C748" s="1"/>
      <c r="D748" s="1"/>
      <c r="E748" s="1"/>
      <c r="F748" s="1"/>
      <c r="G748" s="1"/>
      <c r="H748" s="1"/>
      <c r="I748" s="1"/>
      <c r="J748" s="1"/>
      <c r="K748" s="1"/>
      <c r="L748" s="1"/>
      <c r="M748" s="1"/>
      <c r="N748" s="1"/>
      <c r="O748" s="1"/>
      <c r="P748" s="1"/>
      <c r="Q748" s="1"/>
    </row>
    <row r="749" ht="15.75" customHeight="1">
      <c r="A749" s="1"/>
      <c r="B749" s="1"/>
      <c r="C749" s="1"/>
      <c r="D749" s="1"/>
      <c r="E749" s="1"/>
      <c r="F749" s="1"/>
      <c r="G749" s="1"/>
      <c r="H749" s="1"/>
      <c r="I749" s="1"/>
      <c r="J749" s="1"/>
      <c r="K749" s="1"/>
      <c r="L749" s="1"/>
      <c r="M749" s="1"/>
      <c r="N749" s="1"/>
      <c r="O749" s="1"/>
      <c r="P749" s="1"/>
      <c r="Q749" s="1"/>
    </row>
    <row r="750" ht="15.75" customHeight="1">
      <c r="A750" s="1"/>
      <c r="B750" s="1"/>
      <c r="C750" s="1"/>
      <c r="D750" s="1"/>
      <c r="E750" s="1"/>
      <c r="F750" s="1"/>
      <c r="G750" s="1"/>
      <c r="H750" s="1"/>
      <c r="I750" s="1"/>
      <c r="J750" s="1"/>
      <c r="K750" s="1"/>
      <c r="L750" s="1"/>
      <c r="M750" s="1"/>
      <c r="N750" s="1"/>
      <c r="O750" s="1"/>
      <c r="P750" s="1"/>
      <c r="Q750" s="1"/>
    </row>
    <row r="751" ht="15.75" customHeight="1">
      <c r="A751" s="1"/>
      <c r="B751" s="1"/>
      <c r="C751" s="1"/>
      <c r="D751" s="1"/>
      <c r="E751" s="1"/>
      <c r="F751" s="1"/>
      <c r="G751" s="1"/>
      <c r="H751" s="1"/>
      <c r="I751" s="1"/>
      <c r="J751" s="1"/>
      <c r="K751" s="1"/>
      <c r="L751" s="1"/>
      <c r="M751" s="1"/>
      <c r="N751" s="1"/>
      <c r="O751" s="1"/>
      <c r="P751" s="1"/>
      <c r="Q751" s="1"/>
    </row>
    <row r="752" ht="15.75" customHeight="1">
      <c r="A752" s="1"/>
      <c r="B752" s="1"/>
      <c r="C752" s="1"/>
      <c r="D752" s="1"/>
      <c r="E752" s="1"/>
      <c r="F752" s="1"/>
      <c r="G752" s="1"/>
      <c r="H752" s="1"/>
      <c r="I752" s="1"/>
      <c r="J752" s="1"/>
      <c r="K752" s="1"/>
      <c r="L752" s="1"/>
      <c r="M752" s="1"/>
      <c r="N752" s="1"/>
      <c r="O752" s="1"/>
      <c r="P752" s="1"/>
      <c r="Q752" s="1"/>
    </row>
    <row r="753" ht="15.75" customHeight="1">
      <c r="A753" s="1"/>
      <c r="B753" s="1"/>
      <c r="C753" s="1"/>
      <c r="D753" s="1"/>
      <c r="E753" s="1"/>
      <c r="F753" s="1"/>
      <c r="G753" s="1"/>
      <c r="H753" s="1"/>
      <c r="I753" s="1"/>
      <c r="J753" s="1"/>
      <c r="K753" s="1"/>
      <c r="L753" s="1"/>
      <c r="M753" s="1"/>
      <c r="N753" s="1"/>
      <c r="O753" s="1"/>
      <c r="P753" s="1"/>
      <c r="Q753" s="1"/>
    </row>
    <row r="754" ht="15.75" customHeight="1">
      <c r="A754" s="1"/>
      <c r="B754" s="1"/>
      <c r="C754" s="1"/>
      <c r="D754" s="1"/>
      <c r="E754" s="1"/>
      <c r="F754" s="1"/>
      <c r="G754" s="1"/>
      <c r="H754" s="1"/>
      <c r="I754" s="1"/>
      <c r="J754" s="1"/>
      <c r="K754" s="1"/>
      <c r="L754" s="1"/>
      <c r="M754" s="1"/>
      <c r="N754" s="1"/>
      <c r="O754" s="1"/>
      <c r="P754" s="1"/>
      <c r="Q754" s="1"/>
    </row>
    <row r="755" ht="15.75" customHeight="1">
      <c r="A755" s="1"/>
      <c r="B755" s="1"/>
      <c r="C755" s="1"/>
      <c r="D755" s="1"/>
      <c r="E755" s="1"/>
      <c r="F755" s="1"/>
      <c r="G755" s="1"/>
      <c r="H755" s="1"/>
      <c r="I755" s="1"/>
      <c r="J755" s="1"/>
      <c r="K755" s="1"/>
      <c r="L755" s="1"/>
      <c r="M755" s="1"/>
      <c r="N755" s="1"/>
      <c r="O755" s="1"/>
      <c r="P755" s="1"/>
      <c r="Q755" s="1"/>
    </row>
    <row r="756" ht="15.75" customHeight="1">
      <c r="A756" s="1"/>
      <c r="B756" s="1"/>
      <c r="C756" s="1"/>
      <c r="D756" s="1"/>
      <c r="E756" s="1"/>
      <c r="F756" s="1"/>
      <c r="G756" s="1"/>
      <c r="H756" s="1"/>
      <c r="I756" s="1"/>
      <c r="J756" s="1"/>
      <c r="K756" s="1"/>
      <c r="L756" s="1"/>
      <c r="M756" s="1"/>
      <c r="N756" s="1"/>
      <c r="O756" s="1"/>
      <c r="P756" s="1"/>
      <c r="Q756" s="1"/>
    </row>
    <row r="757" ht="15.75" customHeight="1">
      <c r="A757" s="1"/>
      <c r="B757" s="1"/>
      <c r="C757" s="1"/>
      <c r="D757" s="1"/>
      <c r="E757" s="1"/>
      <c r="F757" s="1"/>
      <c r="G757" s="1"/>
      <c r="H757" s="1"/>
      <c r="I757" s="1"/>
      <c r="J757" s="1"/>
      <c r="K757" s="1"/>
      <c r="L757" s="1"/>
      <c r="M757" s="1"/>
      <c r="N757" s="1"/>
      <c r="O757" s="1"/>
      <c r="P757" s="1"/>
      <c r="Q757" s="1"/>
    </row>
    <row r="758" ht="15.75" customHeight="1">
      <c r="A758" s="1"/>
      <c r="B758" s="1"/>
      <c r="C758" s="1"/>
      <c r="D758" s="1"/>
      <c r="E758" s="1"/>
      <c r="F758" s="1"/>
      <c r="G758" s="1"/>
      <c r="H758" s="1"/>
      <c r="I758" s="1"/>
      <c r="J758" s="1"/>
      <c r="K758" s="1"/>
      <c r="L758" s="1"/>
      <c r="M758" s="1"/>
      <c r="N758" s="1"/>
      <c r="O758" s="1"/>
      <c r="P758" s="1"/>
      <c r="Q758" s="1"/>
    </row>
    <row r="759" ht="15.75" customHeight="1">
      <c r="A759" s="1"/>
      <c r="B759" s="1"/>
      <c r="C759" s="1"/>
      <c r="D759" s="1"/>
      <c r="E759" s="1"/>
      <c r="F759" s="1"/>
      <c r="G759" s="1"/>
      <c r="H759" s="1"/>
      <c r="I759" s="1"/>
      <c r="J759" s="1"/>
      <c r="K759" s="1"/>
      <c r="L759" s="1"/>
      <c r="M759" s="1"/>
      <c r="N759" s="1"/>
      <c r="O759" s="1"/>
      <c r="P759" s="1"/>
      <c r="Q759" s="1"/>
    </row>
    <row r="760" ht="15.75" customHeight="1">
      <c r="A760" s="1"/>
      <c r="B760" s="1"/>
      <c r="C760" s="1"/>
      <c r="D760" s="1"/>
      <c r="E760" s="1"/>
      <c r="F760" s="1"/>
      <c r="G760" s="1"/>
      <c r="H760" s="1"/>
      <c r="I760" s="1"/>
      <c r="J760" s="1"/>
      <c r="K760" s="1"/>
      <c r="L760" s="1"/>
      <c r="M760" s="1"/>
      <c r="N760" s="1"/>
      <c r="O760" s="1"/>
      <c r="P760" s="1"/>
      <c r="Q760" s="1"/>
    </row>
    <row r="761" ht="15.75" customHeight="1">
      <c r="A761" s="1"/>
      <c r="B761" s="1"/>
      <c r="C761" s="1"/>
      <c r="D761" s="1"/>
      <c r="E761" s="1"/>
      <c r="F761" s="1"/>
      <c r="G761" s="1"/>
      <c r="H761" s="1"/>
      <c r="I761" s="1"/>
      <c r="J761" s="1"/>
      <c r="K761" s="1"/>
      <c r="L761" s="1"/>
      <c r="M761" s="1"/>
      <c r="N761" s="1"/>
      <c r="O761" s="1"/>
      <c r="P761" s="1"/>
      <c r="Q761" s="1"/>
    </row>
    <row r="762" ht="15.75" customHeight="1">
      <c r="A762" s="1"/>
      <c r="B762" s="1"/>
      <c r="C762" s="1"/>
      <c r="D762" s="1"/>
      <c r="E762" s="1"/>
      <c r="F762" s="1"/>
      <c r="G762" s="1"/>
      <c r="H762" s="1"/>
      <c r="I762" s="1"/>
      <c r="J762" s="1"/>
      <c r="K762" s="1"/>
      <c r="L762" s="1"/>
      <c r="M762" s="1"/>
      <c r="N762" s="1"/>
      <c r="O762" s="1"/>
      <c r="P762" s="1"/>
      <c r="Q762" s="1"/>
    </row>
    <row r="763" ht="15.75" customHeight="1">
      <c r="A763" s="1"/>
      <c r="B763" s="1"/>
      <c r="C763" s="1"/>
      <c r="D763" s="1"/>
      <c r="E763" s="1"/>
      <c r="F763" s="1"/>
      <c r="G763" s="1"/>
      <c r="H763" s="1"/>
      <c r="I763" s="1"/>
      <c r="J763" s="1"/>
      <c r="K763" s="1"/>
      <c r="L763" s="1"/>
      <c r="M763" s="1"/>
      <c r="N763" s="1"/>
      <c r="O763" s="1"/>
      <c r="P763" s="1"/>
      <c r="Q763" s="1"/>
    </row>
    <row r="764" ht="15.75" customHeight="1">
      <c r="A764" s="1"/>
      <c r="B764" s="1"/>
      <c r="C764" s="1"/>
      <c r="D764" s="1"/>
      <c r="E764" s="1"/>
      <c r="F764" s="1"/>
      <c r="G764" s="1"/>
      <c r="H764" s="1"/>
      <c r="I764" s="1"/>
      <c r="J764" s="1"/>
      <c r="K764" s="1"/>
      <c r="L764" s="1"/>
      <c r="M764" s="1"/>
      <c r="N764" s="1"/>
      <c r="O764" s="1"/>
      <c r="P764" s="1"/>
      <c r="Q764" s="1"/>
    </row>
    <row r="765" ht="15.75" customHeight="1">
      <c r="A765" s="1"/>
      <c r="B765" s="1"/>
      <c r="C765" s="1"/>
      <c r="D765" s="1"/>
      <c r="E765" s="1"/>
      <c r="F765" s="1"/>
      <c r="G765" s="1"/>
      <c r="H765" s="1"/>
      <c r="I765" s="1"/>
      <c r="J765" s="1"/>
      <c r="K765" s="1"/>
      <c r="L765" s="1"/>
      <c r="M765" s="1"/>
      <c r="N765" s="1"/>
      <c r="O765" s="1"/>
      <c r="P765" s="1"/>
      <c r="Q765" s="1"/>
    </row>
    <row r="766" ht="15.75" customHeight="1">
      <c r="A766" s="1"/>
      <c r="B766" s="1"/>
      <c r="C766" s="1"/>
      <c r="D766" s="1"/>
      <c r="E766" s="1"/>
      <c r="F766" s="1"/>
      <c r="G766" s="1"/>
      <c r="H766" s="1"/>
      <c r="I766" s="1"/>
      <c r="J766" s="1"/>
      <c r="K766" s="1"/>
      <c r="L766" s="1"/>
      <c r="M766" s="1"/>
      <c r="N766" s="1"/>
      <c r="O766" s="1"/>
      <c r="P766" s="1"/>
      <c r="Q766" s="1"/>
    </row>
    <row r="767" ht="15.75" customHeight="1">
      <c r="A767" s="1"/>
      <c r="B767" s="1"/>
      <c r="C767" s="1"/>
      <c r="D767" s="1"/>
      <c r="E767" s="1"/>
      <c r="F767" s="1"/>
      <c r="G767" s="1"/>
      <c r="H767" s="1"/>
      <c r="I767" s="1"/>
      <c r="J767" s="1"/>
      <c r="K767" s="1"/>
      <c r="L767" s="1"/>
      <c r="M767" s="1"/>
      <c r="N767" s="1"/>
      <c r="O767" s="1"/>
      <c r="P767" s="1"/>
      <c r="Q767" s="1"/>
    </row>
    <row r="768" ht="15.75" customHeight="1">
      <c r="A768" s="1"/>
      <c r="B768" s="1"/>
      <c r="C768" s="1"/>
      <c r="D768" s="1"/>
      <c r="E768" s="1"/>
      <c r="F768" s="1"/>
      <c r="G768" s="1"/>
      <c r="H768" s="1"/>
      <c r="I768" s="1"/>
      <c r="J768" s="1"/>
      <c r="K768" s="1"/>
      <c r="L768" s="1"/>
      <c r="M768" s="1"/>
      <c r="N768" s="1"/>
      <c r="O768" s="1"/>
      <c r="P768" s="1"/>
      <c r="Q768" s="1"/>
    </row>
    <row r="769" ht="15.75" customHeight="1">
      <c r="A769" s="1"/>
      <c r="B769" s="1"/>
      <c r="C769" s="1"/>
      <c r="D769" s="1"/>
      <c r="E769" s="1"/>
      <c r="F769" s="1"/>
      <c r="G769" s="1"/>
      <c r="H769" s="1"/>
      <c r="I769" s="1"/>
      <c r="J769" s="1"/>
      <c r="K769" s="1"/>
      <c r="L769" s="1"/>
      <c r="M769" s="1"/>
      <c r="N769" s="1"/>
      <c r="O769" s="1"/>
      <c r="P769" s="1"/>
      <c r="Q769" s="1"/>
    </row>
    <row r="770" ht="15.75" customHeight="1">
      <c r="A770" s="1"/>
      <c r="B770" s="1"/>
      <c r="C770" s="1"/>
      <c r="D770" s="1"/>
      <c r="E770" s="1"/>
      <c r="F770" s="1"/>
      <c r="G770" s="1"/>
      <c r="H770" s="1"/>
      <c r="I770" s="1"/>
      <c r="J770" s="1"/>
      <c r="K770" s="1"/>
      <c r="L770" s="1"/>
      <c r="M770" s="1"/>
      <c r="N770" s="1"/>
      <c r="O770" s="1"/>
      <c r="P770" s="1"/>
      <c r="Q770" s="1"/>
    </row>
    <row r="771" ht="15.75" customHeight="1">
      <c r="A771" s="1"/>
      <c r="B771" s="1"/>
      <c r="C771" s="1"/>
      <c r="D771" s="1"/>
      <c r="E771" s="1"/>
      <c r="F771" s="1"/>
      <c r="G771" s="1"/>
      <c r="H771" s="1"/>
      <c r="I771" s="1"/>
      <c r="J771" s="1"/>
      <c r="K771" s="1"/>
      <c r="L771" s="1"/>
      <c r="M771" s="1"/>
      <c r="N771" s="1"/>
      <c r="O771" s="1"/>
      <c r="P771" s="1"/>
      <c r="Q771" s="1"/>
    </row>
    <row r="772" ht="15.75" customHeight="1">
      <c r="A772" s="1"/>
      <c r="B772" s="1"/>
      <c r="C772" s="1"/>
      <c r="D772" s="1"/>
      <c r="E772" s="1"/>
      <c r="F772" s="1"/>
      <c r="G772" s="1"/>
      <c r="H772" s="1"/>
      <c r="I772" s="1"/>
      <c r="J772" s="1"/>
      <c r="K772" s="1"/>
      <c r="L772" s="1"/>
      <c r="M772" s="1"/>
      <c r="N772" s="1"/>
      <c r="O772" s="1"/>
      <c r="P772" s="1"/>
      <c r="Q772" s="1"/>
    </row>
    <row r="773" ht="15.75" customHeight="1">
      <c r="A773" s="1"/>
      <c r="B773" s="1"/>
      <c r="C773" s="1"/>
      <c r="D773" s="1"/>
      <c r="E773" s="1"/>
      <c r="F773" s="1"/>
      <c r="G773" s="1"/>
      <c r="H773" s="1"/>
      <c r="I773" s="1"/>
      <c r="J773" s="1"/>
      <c r="K773" s="1"/>
      <c r="L773" s="1"/>
      <c r="M773" s="1"/>
      <c r="N773" s="1"/>
      <c r="O773" s="1"/>
      <c r="P773" s="1"/>
      <c r="Q773" s="1"/>
    </row>
    <row r="774" ht="15.75" customHeight="1">
      <c r="A774" s="1"/>
      <c r="B774" s="1"/>
      <c r="C774" s="1"/>
      <c r="D774" s="1"/>
      <c r="E774" s="1"/>
      <c r="F774" s="1"/>
      <c r="G774" s="1"/>
      <c r="H774" s="1"/>
      <c r="I774" s="1"/>
      <c r="J774" s="1"/>
      <c r="K774" s="1"/>
      <c r="L774" s="1"/>
      <c r="M774" s="1"/>
      <c r="N774" s="1"/>
      <c r="O774" s="1"/>
      <c r="P774" s="1"/>
      <c r="Q774" s="1"/>
    </row>
    <row r="775" ht="15.75" customHeight="1">
      <c r="A775" s="1"/>
      <c r="B775" s="1"/>
      <c r="C775" s="1"/>
      <c r="D775" s="1"/>
      <c r="E775" s="1"/>
      <c r="F775" s="1"/>
      <c r="G775" s="1"/>
      <c r="H775" s="1"/>
      <c r="I775" s="1"/>
      <c r="J775" s="1"/>
      <c r="K775" s="1"/>
      <c r="L775" s="1"/>
      <c r="M775" s="1"/>
      <c r="N775" s="1"/>
      <c r="O775" s="1"/>
      <c r="P775" s="1"/>
      <c r="Q775" s="1"/>
    </row>
    <row r="776" ht="15.75" customHeight="1">
      <c r="A776" s="1"/>
      <c r="B776" s="1"/>
      <c r="C776" s="1"/>
      <c r="D776" s="1"/>
      <c r="E776" s="1"/>
      <c r="F776" s="1"/>
      <c r="G776" s="1"/>
      <c r="H776" s="1"/>
      <c r="I776" s="1"/>
      <c r="J776" s="1"/>
      <c r="K776" s="1"/>
      <c r="L776" s="1"/>
      <c r="M776" s="1"/>
      <c r="N776" s="1"/>
      <c r="O776" s="1"/>
      <c r="P776" s="1"/>
      <c r="Q776" s="1"/>
    </row>
    <row r="777" ht="15.75" customHeight="1">
      <c r="A777" s="1"/>
      <c r="B777" s="1"/>
      <c r="C777" s="1"/>
      <c r="D777" s="1"/>
      <c r="E777" s="1"/>
      <c r="F777" s="1"/>
      <c r="G777" s="1"/>
      <c r="H777" s="1"/>
      <c r="I777" s="1"/>
      <c r="J777" s="1"/>
      <c r="K777" s="1"/>
      <c r="L777" s="1"/>
      <c r="M777" s="1"/>
      <c r="N777" s="1"/>
      <c r="O777" s="1"/>
      <c r="P777" s="1"/>
      <c r="Q777" s="1"/>
    </row>
    <row r="778" ht="15.75" customHeight="1">
      <c r="A778" s="1"/>
      <c r="B778" s="1"/>
      <c r="C778" s="1"/>
      <c r="D778" s="1"/>
      <c r="E778" s="1"/>
      <c r="F778" s="1"/>
      <c r="G778" s="1"/>
      <c r="H778" s="1"/>
      <c r="I778" s="1"/>
      <c r="J778" s="1"/>
      <c r="K778" s="1"/>
      <c r="L778" s="1"/>
      <c r="M778" s="1"/>
      <c r="N778" s="1"/>
      <c r="O778" s="1"/>
      <c r="P778" s="1"/>
      <c r="Q778" s="1"/>
    </row>
    <row r="779" ht="15.75" customHeight="1">
      <c r="A779" s="1"/>
      <c r="B779" s="1"/>
      <c r="C779" s="1"/>
      <c r="D779" s="1"/>
      <c r="E779" s="1"/>
      <c r="F779" s="1"/>
      <c r="G779" s="1"/>
      <c r="H779" s="1"/>
      <c r="I779" s="1"/>
      <c r="J779" s="1"/>
      <c r="K779" s="1"/>
      <c r="L779" s="1"/>
      <c r="M779" s="1"/>
      <c r="N779" s="1"/>
      <c r="O779" s="1"/>
      <c r="P779" s="1"/>
      <c r="Q779" s="1"/>
    </row>
    <row r="780" ht="15.75" customHeight="1">
      <c r="A780" s="1"/>
      <c r="B780" s="1"/>
      <c r="C780" s="1"/>
      <c r="D780" s="1"/>
      <c r="E780" s="1"/>
      <c r="F780" s="1"/>
      <c r="G780" s="1"/>
      <c r="H780" s="1"/>
      <c r="I780" s="1"/>
      <c r="J780" s="1"/>
      <c r="K780" s="1"/>
      <c r="L780" s="1"/>
      <c r="M780" s="1"/>
      <c r="N780" s="1"/>
      <c r="O780" s="1"/>
      <c r="P780" s="1"/>
      <c r="Q780" s="1"/>
    </row>
    <row r="781" ht="15.75" customHeight="1">
      <c r="A781" s="1"/>
      <c r="B781" s="1"/>
      <c r="C781" s="1"/>
      <c r="D781" s="1"/>
      <c r="E781" s="1"/>
      <c r="F781" s="1"/>
      <c r="G781" s="1"/>
      <c r="H781" s="1"/>
      <c r="I781" s="1"/>
      <c r="J781" s="1"/>
      <c r="K781" s="1"/>
      <c r="L781" s="1"/>
      <c r="M781" s="1"/>
      <c r="N781" s="1"/>
      <c r="O781" s="1"/>
      <c r="P781" s="1"/>
      <c r="Q781" s="1"/>
    </row>
    <row r="782" ht="15.75" customHeight="1">
      <c r="A782" s="1"/>
      <c r="B782" s="1"/>
      <c r="C782" s="1"/>
      <c r="D782" s="1"/>
      <c r="E782" s="1"/>
      <c r="F782" s="1"/>
      <c r="G782" s="1"/>
      <c r="H782" s="1"/>
      <c r="I782" s="1"/>
      <c r="J782" s="1"/>
      <c r="K782" s="1"/>
      <c r="L782" s="1"/>
      <c r="M782" s="1"/>
      <c r="N782" s="1"/>
      <c r="O782" s="1"/>
      <c r="P782" s="1"/>
      <c r="Q782" s="1"/>
    </row>
    <row r="783" ht="15.75" customHeight="1">
      <c r="A783" s="1"/>
      <c r="B783" s="1"/>
      <c r="C783" s="1"/>
      <c r="D783" s="1"/>
      <c r="E783" s="1"/>
      <c r="F783" s="1"/>
      <c r="G783" s="1"/>
      <c r="H783" s="1"/>
      <c r="I783" s="1"/>
      <c r="J783" s="1"/>
      <c r="K783" s="1"/>
      <c r="L783" s="1"/>
      <c r="M783" s="1"/>
      <c r="N783" s="1"/>
      <c r="O783" s="1"/>
      <c r="P783" s="1"/>
      <c r="Q783" s="1"/>
    </row>
    <row r="784" ht="15.75" customHeight="1">
      <c r="A784" s="1"/>
      <c r="B784" s="1"/>
      <c r="C784" s="1"/>
      <c r="D784" s="1"/>
      <c r="E784" s="1"/>
      <c r="F784" s="1"/>
      <c r="G784" s="1"/>
      <c r="H784" s="1"/>
      <c r="I784" s="1"/>
      <c r="J784" s="1"/>
      <c r="K784" s="1"/>
      <c r="L784" s="1"/>
      <c r="M784" s="1"/>
      <c r="N784" s="1"/>
      <c r="O784" s="1"/>
      <c r="P784" s="1"/>
      <c r="Q784" s="1"/>
    </row>
    <row r="785" ht="15.75" customHeight="1">
      <c r="A785" s="1"/>
      <c r="B785" s="1"/>
      <c r="C785" s="1"/>
      <c r="D785" s="1"/>
      <c r="E785" s="1"/>
      <c r="F785" s="1"/>
      <c r="G785" s="1"/>
      <c r="H785" s="1"/>
      <c r="I785" s="1"/>
      <c r="J785" s="1"/>
      <c r="K785" s="1"/>
      <c r="L785" s="1"/>
      <c r="M785" s="1"/>
      <c r="N785" s="1"/>
      <c r="O785" s="1"/>
      <c r="P785" s="1"/>
      <c r="Q785" s="1"/>
    </row>
    <row r="786" ht="15.75" customHeight="1">
      <c r="A786" s="1"/>
      <c r="B786" s="1"/>
      <c r="C786" s="1"/>
      <c r="D786" s="1"/>
      <c r="E786" s="1"/>
      <c r="F786" s="1"/>
      <c r="G786" s="1"/>
      <c r="H786" s="1"/>
      <c r="I786" s="1"/>
      <c r="J786" s="1"/>
      <c r="K786" s="1"/>
      <c r="L786" s="1"/>
      <c r="M786" s="1"/>
      <c r="N786" s="1"/>
      <c r="O786" s="1"/>
      <c r="P786" s="1"/>
      <c r="Q786" s="1"/>
    </row>
    <row r="787" ht="15.75" customHeight="1">
      <c r="A787" s="1"/>
      <c r="B787" s="1"/>
      <c r="C787" s="1"/>
      <c r="D787" s="1"/>
      <c r="E787" s="1"/>
      <c r="F787" s="1"/>
      <c r="G787" s="1"/>
      <c r="H787" s="1"/>
      <c r="I787" s="1"/>
      <c r="J787" s="1"/>
      <c r="K787" s="1"/>
      <c r="L787" s="1"/>
      <c r="M787" s="1"/>
      <c r="N787" s="1"/>
      <c r="O787" s="1"/>
      <c r="P787" s="1"/>
      <c r="Q787" s="1"/>
    </row>
    <row r="788" ht="15.75" customHeight="1">
      <c r="A788" s="1"/>
      <c r="B788" s="1"/>
      <c r="C788" s="1"/>
      <c r="D788" s="1"/>
      <c r="E788" s="1"/>
      <c r="F788" s="1"/>
      <c r="G788" s="1"/>
      <c r="H788" s="1"/>
      <c r="I788" s="1"/>
      <c r="J788" s="1"/>
      <c r="K788" s="1"/>
      <c r="L788" s="1"/>
      <c r="M788" s="1"/>
      <c r="N788" s="1"/>
      <c r="O788" s="1"/>
      <c r="P788" s="1"/>
      <c r="Q788" s="1"/>
    </row>
    <row r="789" ht="15.75" customHeight="1">
      <c r="A789" s="1"/>
      <c r="B789" s="1"/>
      <c r="C789" s="1"/>
      <c r="D789" s="1"/>
      <c r="E789" s="1"/>
      <c r="F789" s="1"/>
      <c r="G789" s="1"/>
      <c r="H789" s="1"/>
      <c r="I789" s="1"/>
      <c r="J789" s="1"/>
      <c r="K789" s="1"/>
      <c r="L789" s="1"/>
      <c r="M789" s="1"/>
      <c r="N789" s="1"/>
      <c r="O789" s="1"/>
      <c r="P789" s="1"/>
      <c r="Q789" s="1"/>
    </row>
    <row r="790" ht="15.75" customHeight="1">
      <c r="A790" s="1"/>
      <c r="B790" s="1"/>
      <c r="C790" s="1"/>
      <c r="D790" s="1"/>
      <c r="E790" s="1"/>
      <c r="F790" s="1"/>
      <c r="G790" s="1"/>
      <c r="H790" s="1"/>
      <c r="I790" s="1"/>
      <c r="J790" s="1"/>
      <c r="K790" s="1"/>
      <c r="L790" s="1"/>
      <c r="M790" s="1"/>
      <c r="N790" s="1"/>
      <c r="O790" s="1"/>
      <c r="P790" s="1"/>
      <c r="Q790" s="1"/>
    </row>
    <row r="791" ht="15.75" customHeight="1">
      <c r="A791" s="1"/>
      <c r="B791" s="1"/>
      <c r="C791" s="1"/>
      <c r="D791" s="1"/>
      <c r="E791" s="1"/>
      <c r="F791" s="1"/>
      <c r="G791" s="1"/>
      <c r="H791" s="1"/>
      <c r="I791" s="1"/>
      <c r="J791" s="1"/>
      <c r="K791" s="1"/>
      <c r="L791" s="1"/>
      <c r="M791" s="1"/>
      <c r="N791" s="1"/>
      <c r="O791" s="1"/>
      <c r="P791" s="1"/>
      <c r="Q791" s="1"/>
    </row>
    <row r="792" ht="15.75" customHeight="1">
      <c r="A792" s="1"/>
      <c r="B792" s="1"/>
      <c r="C792" s="1"/>
      <c r="D792" s="1"/>
      <c r="E792" s="1"/>
      <c r="F792" s="1"/>
      <c r="G792" s="1"/>
      <c r="H792" s="1"/>
      <c r="I792" s="1"/>
      <c r="J792" s="1"/>
      <c r="K792" s="1"/>
      <c r="L792" s="1"/>
      <c r="M792" s="1"/>
      <c r="N792" s="1"/>
      <c r="O792" s="1"/>
      <c r="P792" s="1"/>
      <c r="Q792" s="1"/>
    </row>
    <row r="793" ht="15.75" customHeight="1">
      <c r="A793" s="1"/>
      <c r="B793" s="1"/>
      <c r="C793" s="1"/>
      <c r="D793" s="1"/>
      <c r="E793" s="1"/>
      <c r="F793" s="1"/>
      <c r="G793" s="1"/>
      <c r="H793" s="1"/>
      <c r="I793" s="1"/>
      <c r="J793" s="1"/>
      <c r="K793" s="1"/>
      <c r="L793" s="1"/>
      <c r="M793" s="1"/>
      <c r="N793" s="1"/>
      <c r="O793" s="1"/>
      <c r="P793" s="1"/>
      <c r="Q793" s="1"/>
    </row>
    <row r="794" ht="15.75" customHeight="1">
      <c r="A794" s="1"/>
      <c r="B794" s="1"/>
      <c r="C794" s="1"/>
      <c r="D794" s="1"/>
      <c r="E794" s="1"/>
      <c r="F794" s="1"/>
      <c r="G794" s="1"/>
      <c r="H794" s="1"/>
      <c r="I794" s="1"/>
      <c r="J794" s="1"/>
      <c r="K794" s="1"/>
      <c r="L794" s="1"/>
      <c r="M794" s="1"/>
      <c r="N794" s="1"/>
      <c r="O794" s="1"/>
      <c r="P794" s="1"/>
      <c r="Q794" s="1"/>
    </row>
    <row r="795" ht="15.75" customHeight="1">
      <c r="A795" s="1"/>
      <c r="B795" s="1"/>
      <c r="C795" s="1"/>
      <c r="D795" s="1"/>
      <c r="E795" s="1"/>
      <c r="F795" s="1"/>
      <c r="G795" s="1"/>
      <c r="H795" s="1"/>
      <c r="I795" s="1"/>
      <c r="J795" s="1"/>
      <c r="K795" s="1"/>
      <c r="L795" s="1"/>
      <c r="M795" s="1"/>
      <c r="N795" s="1"/>
      <c r="O795" s="1"/>
      <c r="P795" s="1"/>
      <c r="Q795" s="1"/>
    </row>
    <row r="796" ht="15.75" customHeight="1">
      <c r="A796" s="1"/>
      <c r="B796" s="1"/>
      <c r="C796" s="1"/>
      <c r="D796" s="1"/>
      <c r="E796" s="1"/>
      <c r="F796" s="1"/>
      <c r="G796" s="1"/>
      <c r="H796" s="1"/>
      <c r="I796" s="1"/>
      <c r="J796" s="1"/>
      <c r="K796" s="1"/>
      <c r="L796" s="1"/>
      <c r="M796" s="1"/>
      <c r="N796" s="1"/>
      <c r="O796" s="1"/>
      <c r="P796" s="1"/>
      <c r="Q796" s="1"/>
    </row>
    <row r="797" ht="15.75" customHeight="1">
      <c r="A797" s="1"/>
      <c r="B797" s="1"/>
      <c r="C797" s="1"/>
      <c r="D797" s="1"/>
      <c r="E797" s="1"/>
      <c r="F797" s="1"/>
      <c r="G797" s="1"/>
      <c r="H797" s="1"/>
      <c r="I797" s="1"/>
      <c r="J797" s="1"/>
      <c r="K797" s="1"/>
      <c r="L797" s="1"/>
      <c r="M797" s="1"/>
      <c r="N797" s="1"/>
      <c r="O797" s="1"/>
      <c r="P797" s="1"/>
      <c r="Q797" s="1"/>
    </row>
    <row r="798" ht="15.75" customHeight="1">
      <c r="A798" s="1"/>
      <c r="B798" s="1"/>
      <c r="C798" s="1"/>
      <c r="D798" s="1"/>
      <c r="E798" s="1"/>
      <c r="F798" s="1"/>
      <c r="G798" s="1"/>
      <c r="H798" s="1"/>
      <c r="I798" s="1"/>
      <c r="J798" s="1"/>
      <c r="K798" s="1"/>
      <c r="L798" s="1"/>
      <c r="M798" s="1"/>
      <c r="N798" s="1"/>
      <c r="O798" s="1"/>
      <c r="P798" s="1"/>
      <c r="Q798" s="1"/>
    </row>
    <row r="799" ht="15.75" customHeight="1">
      <c r="A799" s="1"/>
      <c r="B799" s="1"/>
      <c r="C799" s="1"/>
      <c r="D799" s="1"/>
      <c r="E799" s="1"/>
      <c r="F799" s="1"/>
      <c r="G799" s="1"/>
      <c r="H799" s="1"/>
      <c r="I799" s="1"/>
      <c r="J799" s="1"/>
      <c r="K799" s="1"/>
      <c r="L799" s="1"/>
      <c r="M799" s="1"/>
      <c r="N799" s="1"/>
      <c r="O799" s="1"/>
      <c r="P799" s="1"/>
      <c r="Q799" s="1"/>
    </row>
    <row r="800" ht="15.75" customHeight="1">
      <c r="A800" s="1"/>
      <c r="B800" s="1"/>
      <c r="C800" s="1"/>
      <c r="D800" s="1"/>
      <c r="E800" s="1"/>
      <c r="F800" s="1"/>
      <c r="G800" s="1"/>
      <c r="H800" s="1"/>
      <c r="I800" s="1"/>
      <c r="J800" s="1"/>
      <c r="K800" s="1"/>
      <c r="L800" s="1"/>
      <c r="M800" s="1"/>
      <c r="N800" s="1"/>
      <c r="O800" s="1"/>
      <c r="P800" s="1"/>
      <c r="Q800" s="1"/>
    </row>
    <row r="801" ht="15.75" customHeight="1">
      <c r="A801" s="1"/>
      <c r="B801" s="1"/>
      <c r="C801" s="1"/>
      <c r="D801" s="1"/>
      <c r="E801" s="1"/>
      <c r="F801" s="1"/>
      <c r="G801" s="1"/>
      <c r="H801" s="1"/>
      <c r="I801" s="1"/>
      <c r="J801" s="1"/>
      <c r="K801" s="1"/>
      <c r="L801" s="1"/>
      <c r="M801" s="1"/>
      <c r="N801" s="1"/>
      <c r="O801" s="1"/>
      <c r="P801" s="1"/>
      <c r="Q801" s="1"/>
    </row>
    <row r="802" ht="15.75" customHeight="1">
      <c r="A802" s="1"/>
      <c r="B802" s="1"/>
      <c r="C802" s="1"/>
      <c r="D802" s="1"/>
      <c r="E802" s="1"/>
      <c r="F802" s="1"/>
      <c r="G802" s="1"/>
      <c r="H802" s="1"/>
      <c r="I802" s="1"/>
      <c r="J802" s="1"/>
      <c r="K802" s="1"/>
      <c r="L802" s="1"/>
      <c r="M802" s="1"/>
      <c r="N802" s="1"/>
      <c r="O802" s="1"/>
      <c r="P802" s="1"/>
      <c r="Q802" s="1"/>
    </row>
    <row r="803" ht="15.75" customHeight="1">
      <c r="A803" s="1"/>
      <c r="B803" s="1"/>
      <c r="C803" s="1"/>
      <c r="D803" s="1"/>
      <c r="E803" s="1"/>
      <c r="F803" s="1"/>
      <c r="G803" s="1"/>
      <c r="H803" s="1"/>
      <c r="I803" s="1"/>
      <c r="J803" s="1"/>
      <c r="K803" s="1"/>
      <c r="L803" s="1"/>
      <c r="M803" s="1"/>
      <c r="N803" s="1"/>
      <c r="O803" s="1"/>
      <c r="P803" s="1"/>
      <c r="Q803" s="1"/>
    </row>
    <row r="804" ht="15.75" customHeight="1">
      <c r="A804" s="1"/>
      <c r="B804" s="1"/>
      <c r="C804" s="1"/>
      <c r="D804" s="1"/>
      <c r="E804" s="1"/>
      <c r="F804" s="1"/>
      <c r="G804" s="1"/>
      <c r="H804" s="1"/>
      <c r="I804" s="1"/>
      <c r="J804" s="1"/>
      <c r="K804" s="1"/>
      <c r="L804" s="1"/>
      <c r="M804" s="1"/>
      <c r="N804" s="1"/>
      <c r="O804" s="1"/>
      <c r="P804" s="1"/>
      <c r="Q804" s="1"/>
    </row>
    <row r="805" ht="15.75" customHeight="1">
      <c r="A805" s="1"/>
      <c r="B805" s="1"/>
      <c r="C805" s="1"/>
      <c r="D805" s="1"/>
      <c r="E805" s="1"/>
      <c r="F805" s="1"/>
      <c r="G805" s="1"/>
      <c r="H805" s="1"/>
      <c r="I805" s="1"/>
      <c r="J805" s="1"/>
      <c r="K805" s="1"/>
      <c r="L805" s="1"/>
      <c r="M805" s="1"/>
      <c r="N805" s="1"/>
      <c r="O805" s="1"/>
      <c r="P805" s="1"/>
      <c r="Q805" s="1"/>
    </row>
    <row r="806" ht="15.75" customHeight="1">
      <c r="A806" s="1"/>
      <c r="B806" s="1"/>
      <c r="C806" s="1"/>
      <c r="D806" s="1"/>
      <c r="E806" s="1"/>
      <c r="F806" s="1"/>
      <c r="G806" s="1"/>
      <c r="H806" s="1"/>
      <c r="I806" s="1"/>
      <c r="J806" s="1"/>
      <c r="K806" s="1"/>
      <c r="L806" s="1"/>
      <c r="M806" s="1"/>
      <c r="N806" s="1"/>
      <c r="O806" s="1"/>
      <c r="P806" s="1"/>
      <c r="Q806" s="1"/>
    </row>
    <row r="807" ht="15.75" customHeight="1">
      <c r="A807" s="1"/>
      <c r="B807" s="1"/>
      <c r="C807" s="1"/>
      <c r="D807" s="1"/>
      <c r="E807" s="1"/>
      <c r="F807" s="1"/>
      <c r="G807" s="1"/>
      <c r="H807" s="1"/>
      <c r="I807" s="1"/>
      <c r="J807" s="1"/>
      <c r="K807" s="1"/>
      <c r="L807" s="1"/>
      <c r="M807" s="1"/>
      <c r="N807" s="1"/>
      <c r="O807" s="1"/>
      <c r="P807" s="1"/>
      <c r="Q807" s="1"/>
    </row>
    <row r="808" ht="15.75" customHeight="1">
      <c r="A808" s="1"/>
      <c r="B808" s="1"/>
      <c r="C808" s="1"/>
      <c r="D808" s="1"/>
      <c r="E808" s="1"/>
      <c r="F808" s="1"/>
      <c r="G808" s="1"/>
      <c r="H808" s="1"/>
      <c r="I808" s="1"/>
      <c r="J808" s="1"/>
      <c r="K808" s="1"/>
      <c r="L808" s="1"/>
      <c r="M808" s="1"/>
      <c r="N808" s="1"/>
      <c r="O808" s="1"/>
      <c r="P808" s="1"/>
      <c r="Q808" s="1"/>
    </row>
    <row r="809" ht="15.75" customHeight="1">
      <c r="A809" s="1"/>
      <c r="B809" s="1"/>
      <c r="C809" s="1"/>
      <c r="D809" s="1"/>
      <c r="E809" s="1"/>
      <c r="F809" s="1"/>
      <c r="G809" s="1"/>
      <c r="H809" s="1"/>
      <c r="I809" s="1"/>
      <c r="J809" s="1"/>
      <c r="K809" s="1"/>
      <c r="L809" s="1"/>
      <c r="M809" s="1"/>
      <c r="N809" s="1"/>
      <c r="O809" s="1"/>
      <c r="P809" s="1"/>
      <c r="Q809" s="1"/>
    </row>
    <row r="810" ht="15.75" customHeight="1">
      <c r="A810" s="1"/>
      <c r="B810" s="1"/>
      <c r="C810" s="1"/>
      <c r="D810" s="1"/>
      <c r="E810" s="1"/>
      <c r="F810" s="1"/>
      <c r="G810" s="1"/>
      <c r="H810" s="1"/>
      <c r="I810" s="1"/>
      <c r="J810" s="1"/>
      <c r="K810" s="1"/>
      <c r="L810" s="1"/>
      <c r="M810" s="1"/>
      <c r="N810" s="1"/>
      <c r="O810" s="1"/>
      <c r="P810" s="1"/>
      <c r="Q810" s="1"/>
    </row>
    <row r="811" ht="15.75" customHeight="1">
      <c r="A811" s="1"/>
      <c r="B811" s="1"/>
      <c r="C811" s="1"/>
      <c r="D811" s="1"/>
      <c r="E811" s="1"/>
      <c r="F811" s="1"/>
      <c r="G811" s="1"/>
      <c r="H811" s="1"/>
      <c r="I811" s="1"/>
      <c r="J811" s="1"/>
      <c r="K811" s="1"/>
      <c r="L811" s="1"/>
      <c r="M811" s="1"/>
      <c r="N811" s="1"/>
      <c r="O811" s="1"/>
      <c r="P811" s="1"/>
      <c r="Q811" s="1"/>
    </row>
    <row r="812" ht="15.75" customHeight="1">
      <c r="A812" s="1"/>
      <c r="B812" s="1"/>
      <c r="C812" s="1"/>
      <c r="D812" s="1"/>
      <c r="E812" s="1"/>
      <c r="F812" s="1"/>
      <c r="G812" s="1"/>
      <c r="H812" s="1"/>
      <c r="I812" s="1"/>
      <c r="J812" s="1"/>
      <c r="K812" s="1"/>
      <c r="L812" s="1"/>
      <c r="M812" s="1"/>
      <c r="N812" s="1"/>
      <c r="O812" s="1"/>
      <c r="P812" s="1"/>
      <c r="Q812" s="1"/>
    </row>
    <row r="813" ht="15.75" customHeight="1">
      <c r="A813" s="1"/>
      <c r="B813" s="1"/>
      <c r="C813" s="1"/>
      <c r="D813" s="1"/>
      <c r="E813" s="1"/>
      <c r="F813" s="1"/>
      <c r="G813" s="1"/>
      <c r="H813" s="1"/>
      <c r="I813" s="1"/>
      <c r="J813" s="1"/>
      <c r="K813" s="1"/>
      <c r="L813" s="1"/>
      <c r="M813" s="1"/>
      <c r="N813" s="1"/>
      <c r="O813" s="1"/>
      <c r="P813" s="1"/>
      <c r="Q813" s="1"/>
    </row>
    <row r="814" ht="15.75" customHeight="1">
      <c r="A814" s="1"/>
      <c r="B814" s="1"/>
      <c r="C814" s="1"/>
      <c r="D814" s="1"/>
      <c r="E814" s="1"/>
      <c r="F814" s="1"/>
      <c r="G814" s="1"/>
      <c r="H814" s="1"/>
      <c r="I814" s="1"/>
      <c r="J814" s="1"/>
      <c r="K814" s="1"/>
      <c r="L814" s="1"/>
      <c r="M814" s="1"/>
      <c r="N814" s="1"/>
      <c r="O814" s="1"/>
      <c r="P814" s="1"/>
      <c r="Q814" s="1"/>
    </row>
    <row r="815" ht="15.75" customHeight="1">
      <c r="A815" s="1"/>
      <c r="B815" s="1"/>
      <c r="C815" s="1"/>
      <c r="D815" s="1"/>
      <c r="E815" s="1"/>
      <c r="F815" s="1"/>
      <c r="G815" s="1"/>
      <c r="H815" s="1"/>
      <c r="I815" s="1"/>
      <c r="J815" s="1"/>
      <c r="K815" s="1"/>
      <c r="L815" s="1"/>
      <c r="M815" s="1"/>
      <c r="N815" s="1"/>
      <c r="O815" s="1"/>
      <c r="P815" s="1"/>
      <c r="Q815" s="1"/>
    </row>
    <row r="816" ht="15.75" customHeight="1">
      <c r="A816" s="1"/>
      <c r="B816" s="1"/>
      <c r="C816" s="1"/>
      <c r="D816" s="1"/>
      <c r="E816" s="1"/>
      <c r="F816" s="1"/>
      <c r="G816" s="1"/>
      <c r="H816" s="1"/>
      <c r="I816" s="1"/>
      <c r="J816" s="1"/>
      <c r="K816" s="1"/>
      <c r="L816" s="1"/>
      <c r="M816" s="1"/>
      <c r="N816" s="1"/>
      <c r="O816" s="1"/>
      <c r="P816" s="1"/>
      <c r="Q816" s="1"/>
    </row>
    <row r="817" ht="15.75" customHeight="1">
      <c r="A817" s="1"/>
      <c r="B817" s="1"/>
      <c r="C817" s="1"/>
      <c r="D817" s="1"/>
      <c r="E817" s="1"/>
      <c r="F817" s="1"/>
      <c r="G817" s="1"/>
      <c r="H817" s="1"/>
      <c r="I817" s="1"/>
      <c r="J817" s="1"/>
      <c r="K817" s="1"/>
      <c r="L817" s="1"/>
      <c r="M817" s="1"/>
      <c r="N817" s="1"/>
      <c r="O817" s="1"/>
      <c r="P817" s="1"/>
      <c r="Q817" s="1"/>
    </row>
    <row r="818" ht="15.75" customHeight="1">
      <c r="A818" s="1"/>
      <c r="B818" s="1"/>
      <c r="C818" s="1"/>
      <c r="D818" s="1"/>
      <c r="E818" s="1"/>
      <c r="F818" s="1"/>
      <c r="G818" s="1"/>
      <c r="H818" s="1"/>
      <c r="I818" s="1"/>
      <c r="J818" s="1"/>
      <c r="K818" s="1"/>
      <c r="L818" s="1"/>
      <c r="M818" s="1"/>
      <c r="N818" s="1"/>
      <c r="O818" s="1"/>
      <c r="P818" s="1"/>
      <c r="Q818" s="1"/>
    </row>
    <row r="819" ht="15.75" customHeight="1">
      <c r="A819" s="1"/>
      <c r="B819" s="1"/>
      <c r="C819" s="1"/>
      <c r="D819" s="1"/>
      <c r="E819" s="1"/>
      <c r="F819" s="1"/>
      <c r="G819" s="1"/>
      <c r="H819" s="1"/>
      <c r="I819" s="1"/>
      <c r="J819" s="1"/>
      <c r="K819" s="1"/>
      <c r="L819" s="1"/>
      <c r="M819" s="1"/>
      <c r="N819" s="1"/>
      <c r="O819" s="1"/>
      <c r="P819" s="1"/>
      <c r="Q819" s="1"/>
    </row>
    <row r="820" ht="15.75" customHeight="1">
      <c r="A820" s="1"/>
      <c r="B820" s="1"/>
      <c r="C820" s="1"/>
      <c r="D820" s="1"/>
      <c r="E820" s="1"/>
      <c r="F820" s="1"/>
      <c r="G820" s="1"/>
      <c r="H820" s="1"/>
      <c r="I820" s="1"/>
      <c r="J820" s="1"/>
      <c r="K820" s="1"/>
      <c r="L820" s="1"/>
      <c r="M820" s="1"/>
      <c r="N820" s="1"/>
      <c r="O820" s="1"/>
      <c r="P820" s="1"/>
      <c r="Q820" s="1"/>
    </row>
    <row r="821" ht="15.75" customHeight="1">
      <c r="A821" s="1"/>
      <c r="B821" s="1"/>
      <c r="C821" s="1"/>
      <c r="D821" s="1"/>
      <c r="E821" s="1"/>
      <c r="F821" s="1"/>
      <c r="G821" s="1"/>
      <c r="H821" s="1"/>
      <c r="I821" s="1"/>
      <c r="J821" s="1"/>
      <c r="K821" s="1"/>
      <c r="L821" s="1"/>
      <c r="M821" s="1"/>
      <c r="N821" s="1"/>
      <c r="O821" s="1"/>
      <c r="P821" s="1"/>
      <c r="Q821" s="1"/>
    </row>
    <row r="822" ht="15.75" customHeight="1">
      <c r="A822" s="1"/>
      <c r="B822" s="1"/>
      <c r="C822" s="1"/>
      <c r="D822" s="1"/>
      <c r="E822" s="1"/>
      <c r="F822" s="1"/>
      <c r="G822" s="1"/>
      <c r="H822" s="1"/>
      <c r="I822" s="1"/>
      <c r="J822" s="1"/>
      <c r="K822" s="1"/>
      <c r="L822" s="1"/>
      <c r="M822" s="1"/>
      <c r="N822" s="1"/>
      <c r="O822" s="1"/>
      <c r="P822" s="1"/>
      <c r="Q822" s="1"/>
    </row>
    <row r="823" ht="15.75" customHeight="1">
      <c r="A823" s="1"/>
      <c r="B823" s="1"/>
      <c r="C823" s="1"/>
      <c r="D823" s="1"/>
      <c r="E823" s="1"/>
      <c r="F823" s="1"/>
      <c r="G823" s="1"/>
      <c r="H823" s="1"/>
      <c r="I823" s="1"/>
      <c r="J823" s="1"/>
      <c r="K823" s="1"/>
      <c r="L823" s="1"/>
      <c r="M823" s="1"/>
      <c r="N823" s="1"/>
      <c r="O823" s="1"/>
      <c r="P823" s="1"/>
      <c r="Q823" s="1"/>
    </row>
    <row r="824" ht="15.75" customHeight="1">
      <c r="A824" s="1"/>
      <c r="B824" s="1"/>
      <c r="C824" s="1"/>
      <c r="D824" s="1"/>
      <c r="E824" s="1"/>
      <c r="F824" s="1"/>
      <c r="G824" s="1"/>
      <c r="H824" s="1"/>
      <c r="I824" s="1"/>
      <c r="J824" s="1"/>
      <c r="K824" s="1"/>
      <c r="L824" s="1"/>
      <c r="M824" s="1"/>
      <c r="N824" s="1"/>
      <c r="O824" s="1"/>
      <c r="P824" s="1"/>
      <c r="Q824" s="1"/>
    </row>
    <row r="825" ht="15.75" customHeight="1">
      <c r="A825" s="1"/>
      <c r="B825" s="1"/>
      <c r="C825" s="1"/>
      <c r="D825" s="1"/>
      <c r="E825" s="1"/>
      <c r="F825" s="1"/>
      <c r="G825" s="1"/>
      <c r="H825" s="1"/>
      <c r="I825" s="1"/>
      <c r="J825" s="1"/>
      <c r="K825" s="1"/>
      <c r="L825" s="1"/>
      <c r="M825" s="1"/>
      <c r="N825" s="1"/>
      <c r="O825" s="1"/>
      <c r="P825" s="1"/>
      <c r="Q825" s="1"/>
    </row>
    <row r="826" ht="15.75" customHeight="1">
      <c r="A826" s="1"/>
      <c r="B826" s="1"/>
      <c r="C826" s="1"/>
      <c r="D826" s="1"/>
      <c r="E826" s="1"/>
      <c r="F826" s="1"/>
      <c r="G826" s="1"/>
      <c r="H826" s="1"/>
      <c r="I826" s="1"/>
      <c r="J826" s="1"/>
      <c r="K826" s="1"/>
      <c r="L826" s="1"/>
      <c r="M826" s="1"/>
      <c r="N826" s="1"/>
      <c r="O826" s="1"/>
      <c r="P826" s="1"/>
      <c r="Q826" s="1"/>
    </row>
    <row r="827" ht="15.75" customHeight="1">
      <c r="A827" s="1"/>
      <c r="B827" s="1"/>
      <c r="C827" s="1"/>
      <c r="D827" s="1"/>
      <c r="E827" s="1"/>
      <c r="F827" s="1"/>
      <c r="G827" s="1"/>
      <c r="H827" s="1"/>
      <c r="I827" s="1"/>
      <c r="J827" s="1"/>
      <c r="K827" s="1"/>
      <c r="L827" s="1"/>
      <c r="M827" s="1"/>
      <c r="N827" s="1"/>
      <c r="O827" s="1"/>
      <c r="P827" s="1"/>
      <c r="Q827" s="1"/>
    </row>
    <row r="828" ht="15.75" customHeight="1">
      <c r="A828" s="1"/>
      <c r="B828" s="1"/>
      <c r="C828" s="1"/>
      <c r="D828" s="1"/>
      <c r="E828" s="1"/>
      <c r="F828" s="1"/>
      <c r="G828" s="1"/>
      <c r="H828" s="1"/>
      <c r="I828" s="1"/>
      <c r="J828" s="1"/>
      <c r="K828" s="1"/>
      <c r="L828" s="1"/>
      <c r="M828" s="1"/>
      <c r="N828" s="1"/>
      <c r="O828" s="1"/>
      <c r="P828" s="1"/>
      <c r="Q828" s="1"/>
    </row>
    <row r="829" ht="15.75" customHeight="1">
      <c r="A829" s="1"/>
      <c r="B829" s="1"/>
      <c r="C829" s="1"/>
      <c r="D829" s="1"/>
      <c r="E829" s="1"/>
      <c r="F829" s="1"/>
      <c r="G829" s="1"/>
      <c r="H829" s="1"/>
      <c r="I829" s="1"/>
      <c r="J829" s="1"/>
      <c r="K829" s="1"/>
      <c r="L829" s="1"/>
      <c r="M829" s="1"/>
      <c r="N829" s="1"/>
      <c r="O829" s="1"/>
      <c r="P829" s="1"/>
      <c r="Q829" s="1"/>
    </row>
    <row r="830" ht="15.75" customHeight="1">
      <c r="A830" s="1"/>
      <c r="B830" s="1"/>
      <c r="C830" s="1"/>
      <c r="D830" s="1"/>
      <c r="E830" s="1"/>
      <c r="F830" s="1"/>
      <c r="G830" s="1"/>
      <c r="H830" s="1"/>
      <c r="I830" s="1"/>
      <c r="J830" s="1"/>
      <c r="K830" s="1"/>
      <c r="L830" s="1"/>
      <c r="M830" s="1"/>
      <c r="N830" s="1"/>
      <c r="O830" s="1"/>
      <c r="P830" s="1"/>
      <c r="Q830" s="1"/>
    </row>
    <row r="831" ht="15.75" customHeight="1">
      <c r="A831" s="1"/>
      <c r="B831" s="1"/>
      <c r="C831" s="1"/>
      <c r="D831" s="1"/>
      <c r="E831" s="1"/>
      <c r="F831" s="1"/>
      <c r="G831" s="1"/>
      <c r="H831" s="1"/>
      <c r="I831" s="1"/>
      <c r="J831" s="1"/>
      <c r="K831" s="1"/>
      <c r="L831" s="1"/>
      <c r="M831" s="1"/>
      <c r="N831" s="1"/>
      <c r="O831" s="1"/>
      <c r="P831" s="1"/>
      <c r="Q831" s="1"/>
    </row>
    <row r="832" ht="15.75" customHeight="1">
      <c r="A832" s="1"/>
      <c r="B832" s="1"/>
      <c r="C832" s="1"/>
      <c r="D832" s="1"/>
      <c r="E832" s="1"/>
      <c r="F832" s="1"/>
      <c r="G832" s="1"/>
      <c r="H832" s="1"/>
      <c r="I832" s="1"/>
      <c r="J832" s="1"/>
      <c r="K832" s="1"/>
      <c r="L832" s="1"/>
      <c r="M832" s="1"/>
      <c r="N832" s="1"/>
      <c r="O832" s="1"/>
      <c r="P832" s="1"/>
      <c r="Q832" s="1"/>
    </row>
    <row r="833" ht="15.75" customHeight="1">
      <c r="A833" s="1"/>
      <c r="B833" s="1"/>
      <c r="C833" s="1"/>
      <c r="D833" s="1"/>
      <c r="E833" s="1"/>
      <c r="F833" s="1"/>
      <c r="G833" s="1"/>
      <c r="H833" s="1"/>
      <c r="I833" s="1"/>
      <c r="J833" s="1"/>
      <c r="K833" s="1"/>
      <c r="L833" s="1"/>
      <c r="M833" s="1"/>
      <c r="N833" s="1"/>
      <c r="O833" s="1"/>
      <c r="P833" s="1"/>
      <c r="Q833" s="1"/>
    </row>
    <row r="834" ht="15.75" customHeight="1">
      <c r="A834" s="1"/>
      <c r="B834" s="1"/>
      <c r="C834" s="1"/>
      <c r="D834" s="1"/>
      <c r="E834" s="1"/>
      <c r="F834" s="1"/>
      <c r="G834" s="1"/>
      <c r="H834" s="1"/>
      <c r="I834" s="1"/>
      <c r="J834" s="1"/>
      <c r="K834" s="1"/>
      <c r="L834" s="1"/>
      <c r="M834" s="1"/>
      <c r="N834" s="1"/>
      <c r="O834" s="1"/>
      <c r="P834" s="1"/>
      <c r="Q834" s="1"/>
    </row>
    <row r="835" ht="15.75" customHeight="1">
      <c r="A835" s="1"/>
      <c r="B835" s="1"/>
      <c r="C835" s="1"/>
      <c r="D835" s="1"/>
      <c r="E835" s="1"/>
      <c r="F835" s="1"/>
      <c r="G835" s="1"/>
      <c r="H835" s="1"/>
      <c r="I835" s="1"/>
      <c r="J835" s="1"/>
      <c r="K835" s="1"/>
      <c r="L835" s="1"/>
      <c r="M835" s="1"/>
      <c r="N835" s="1"/>
      <c r="O835" s="1"/>
      <c r="P835" s="1"/>
      <c r="Q835" s="1"/>
    </row>
    <row r="836" ht="15.75" customHeight="1">
      <c r="A836" s="1"/>
      <c r="B836" s="1"/>
      <c r="C836" s="1"/>
      <c r="D836" s="1"/>
      <c r="E836" s="1"/>
      <c r="F836" s="1"/>
      <c r="G836" s="1"/>
      <c r="H836" s="1"/>
      <c r="I836" s="1"/>
      <c r="J836" s="1"/>
      <c r="K836" s="1"/>
      <c r="L836" s="1"/>
      <c r="M836" s="1"/>
      <c r="N836" s="1"/>
      <c r="O836" s="1"/>
      <c r="P836" s="1"/>
      <c r="Q836" s="1"/>
    </row>
    <row r="837" ht="15.75" customHeight="1">
      <c r="A837" s="1"/>
      <c r="B837" s="1"/>
      <c r="C837" s="1"/>
      <c r="D837" s="1"/>
      <c r="E837" s="1"/>
      <c r="F837" s="1"/>
      <c r="G837" s="1"/>
      <c r="H837" s="1"/>
      <c r="I837" s="1"/>
      <c r="J837" s="1"/>
      <c r="K837" s="1"/>
      <c r="L837" s="1"/>
      <c r="M837" s="1"/>
      <c r="N837" s="1"/>
      <c r="O837" s="1"/>
      <c r="P837" s="1"/>
      <c r="Q837" s="1"/>
    </row>
    <row r="838" ht="15.75" customHeight="1">
      <c r="A838" s="1"/>
      <c r="B838" s="1"/>
      <c r="C838" s="1"/>
      <c r="D838" s="1"/>
      <c r="E838" s="1"/>
      <c r="F838" s="1"/>
      <c r="G838" s="1"/>
      <c r="H838" s="1"/>
      <c r="I838" s="1"/>
      <c r="J838" s="1"/>
      <c r="K838" s="1"/>
      <c r="L838" s="1"/>
      <c r="M838" s="1"/>
      <c r="N838" s="1"/>
      <c r="O838" s="1"/>
      <c r="P838" s="1"/>
      <c r="Q838" s="1"/>
    </row>
    <row r="839" ht="15.75" customHeight="1">
      <c r="A839" s="1"/>
      <c r="B839" s="1"/>
      <c r="C839" s="1"/>
      <c r="D839" s="1"/>
      <c r="E839" s="1"/>
      <c r="F839" s="1"/>
      <c r="G839" s="1"/>
      <c r="H839" s="1"/>
      <c r="I839" s="1"/>
      <c r="J839" s="1"/>
      <c r="K839" s="1"/>
      <c r="L839" s="1"/>
      <c r="M839" s="1"/>
      <c r="N839" s="1"/>
      <c r="O839" s="1"/>
      <c r="P839" s="1"/>
      <c r="Q839" s="1"/>
    </row>
    <row r="840" ht="15.75" customHeight="1">
      <c r="A840" s="1"/>
      <c r="B840" s="1"/>
      <c r="C840" s="1"/>
      <c r="D840" s="1"/>
      <c r="E840" s="1"/>
      <c r="F840" s="1"/>
      <c r="G840" s="1"/>
      <c r="H840" s="1"/>
      <c r="I840" s="1"/>
      <c r="J840" s="1"/>
      <c r="K840" s="1"/>
      <c r="L840" s="1"/>
      <c r="M840" s="1"/>
      <c r="N840" s="1"/>
      <c r="O840" s="1"/>
      <c r="P840" s="1"/>
      <c r="Q840" s="1"/>
    </row>
    <row r="841" ht="15.75" customHeight="1">
      <c r="A841" s="1"/>
      <c r="B841" s="1"/>
      <c r="C841" s="1"/>
      <c r="D841" s="1"/>
      <c r="E841" s="1"/>
      <c r="F841" s="1"/>
      <c r="G841" s="1"/>
      <c r="H841" s="1"/>
      <c r="I841" s="1"/>
      <c r="J841" s="1"/>
      <c r="K841" s="1"/>
      <c r="L841" s="1"/>
      <c r="M841" s="1"/>
      <c r="N841" s="1"/>
      <c r="O841" s="1"/>
      <c r="P841" s="1"/>
      <c r="Q841" s="1"/>
    </row>
    <row r="842" ht="15.75" customHeight="1">
      <c r="A842" s="1"/>
      <c r="B842" s="1"/>
      <c r="C842" s="1"/>
      <c r="D842" s="1"/>
      <c r="E842" s="1"/>
      <c r="F842" s="1"/>
      <c r="G842" s="1"/>
      <c r="H842" s="1"/>
      <c r="I842" s="1"/>
      <c r="J842" s="1"/>
      <c r="K842" s="1"/>
      <c r="L842" s="1"/>
      <c r="M842" s="1"/>
      <c r="N842" s="1"/>
      <c r="O842" s="1"/>
      <c r="P842" s="1"/>
      <c r="Q842" s="1"/>
    </row>
    <row r="843" ht="15.75" customHeight="1">
      <c r="A843" s="1"/>
      <c r="B843" s="1"/>
      <c r="C843" s="1"/>
      <c r="D843" s="1"/>
      <c r="E843" s="1"/>
      <c r="F843" s="1"/>
      <c r="G843" s="1"/>
      <c r="H843" s="1"/>
      <c r="I843" s="1"/>
      <c r="J843" s="1"/>
      <c r="K843" s="1"/>
      <c r="L843" s="1"/>
      <c r="M843" s="1"/>
      <c r="N843" s="1"/>
      <c r="O843" s="1"/>
      <c r="P843" s="1"/>
      <c r="Q843" s="1"/>
    </row>
    <row r="844" ht="15.75" customHeight="1">
      <c r="A844" s="1"/>
      <c r="B844" s="1"/>
      <c r="C844" s="1"/>
      <c r="D844" s="1"/>
      <c r="E844" s="1"/>
      <c r="F844" s="1"/>
      <c r="G844" s="1"/>
      <c r="H844" s="1"/>
      <c r="I844" s="1"/>
      <c r="J844" s="1"/>
      <c r="K844" s="1"/>
      <c r="L844" s="1"/>
      <c r="M844" s="1"/>
      <c r="N844" s="1"/>
      <c r="O844" s="1"/>
      <c r="P844" s="1"/>
      <c r="Q844" s="1"/>
    </row>
    <row r="845" ht="15.75" customHeight="1">
      <c r="A845" s="1"/>
      <c r="B845" s="1"/>
      <c r="C845" s="1"/>
      <c r="D845" s="1"/>
      <c r="E845" s="1"/>
      <c r="F845" s="1"/>
      <c r="G845" s="1"/>
      <c r="H845" s="1"/>
      <c r="I845" s="1"/>
      <c r="J845" s="1"/>
      <c r="K845" s="1"/>
      <c r="L845" s="1"/>
      <c r="M845" s="1"/>
      <c r="N845" s="1"/>
      <c r="O845" s="1"/>
      <c r="P845" s="1"/>
      <c r="Q845" s="1"/>
    </row>
    <row r="846" ht="15.75" customHeight="1">
      <c r="A846" s="1"/>
      <c r="B846" s="1"/>
      <c r="C846" s="1"/>
      <c r="D846" s="1"/>
      <c r="E846" s="1"/>
      <c r="F846" s="1"/>
      <c r="G846" s="1"/>
      <c r="H846" s="1"/>
      <c r="I846" s="1"/>
      <c r="J846" s="1"/>
      <c r="K846" s="1"/>
      <c r="L846" s="1"/>
      <c r="M846" s="1"/>
      <c r="N846" s="1"/>
      <c r="O846" s="1"/>
      <c r="P846" s="1"/>
      <c r="Q846" s="1"/>
    </row>
    <row r="847" ht="15.75" customHeight="1">
      <c r="A847" s="1"/>
      <c r="B847" s="1"/>
      <c r="C847" s="1"/>
      <c r="D847" s="1"/>
      <c r="E847" s="1"/>
      <c r="F847" s="1"/>
      <c r="G847" s="1"/>
      <c r="H847" s="1"/>
      <c r="I847" s="1"/>
      <c r="J847" s="1"/>
      <c r="K847" s="1"/>
      <c r="L847" s="1"/>
      <c r="M847" s="1"/>
      <c r="N847" s="1"/>
      <c r="O847" s="1"/>
      <c r="P847" s="1"/>
      <c r="Q847" s="1"/>
    </row>
    <row r="848" ht="15.75" customHeight="1">
      <c r="A848" s="1"/>
      <c r="B848" s="1"/>
      <c r="C848" s="1"/>
      <c r="D848" s="1"/>
      <c r="E848" s="1"/>
      <c r="F848" s="1"/>
      <c r="G848" s="1"/>
      <c r="H848" s="1"/>
      <c r="I848" s="1"/>
      <c r="J848" s="1"/>
      <c r="K848" s="1"/>
      <c r="L848" s="1"/>
      <c r="M848" s="1"/>
      <c r="N848" s="1"/>
      <c r="O848" s="1"/>
      <c r="P848" s="1"/>
      <c r="Q848" s="1"/>
    </row>
    <row r="849" ht="15.75" customHeight="1">
      <c r="A849" s="1"/>
      <c r="B849" s="1"/>
      <c r="C849" s="1"/>
      <c r="D849" s="1"/>
      <c r="E849" s="1"/>
      <c r="F849" s="1"/>
      <c r="G849" s="1"/>
      <c r="H849" s="1"/>
      <c r="I849" s="1"/>
      <c r="J849" s="1"/>
      <c r="K849" s="1"/>
      <c r="L849" s="1"/>
      <c r="M849" s="1"/>
      <c r="N849" s="1"/>
      <c r="O849" s="1"/>
      <c r="P849" s="1"/>
      <c r="Q849" s="1"/>
    </row>
    <row r="850" ht="15.75" customHeight="1">
      <c r="A850" s="1"/>
      <c r="B850" s="1"/>
      <c r="C850" s="1"/>
      <c r="D850" s="1"/>
      <c r="E850" s="1"/>
      <c r="F850" s="1"/>
      <c r="G850" s="1"/>
      <c r="H850" s="1"/>
      <c r="I850" s="1"/>
      <c r="J850" s="1"/>
      <c r="K850" s="1"/>
      <c r="L850" s="1"/>
      <c r="M850" s="1"/>
      <c r="N850" s="1"/>
      <c r="O850" s="1"/>
      <c r="P850" s="1"/>
      <c r="Q850" s="1"/>
    </row>
    <row r="851" ht="15.75" customHeight="1">
      <c r="A851" s="1"/>
      <c r="B851" s="1"/>
      <c r="C851" s="1"/>
      <c r="D851" s="1"/>
      <c r="E851" s="1"/>
      <c r="F851" s="1"/>
      <c r="G851" s="1"/>
      <c r="H851" s="1"/>
      <c r="I851" s="1"/>
      <c r="J851" s="1"/>
      <c r="K851" s="1"/>
      <c r="L851" s="1"/>
      <c r="M851" s="1"/>
      <c r="N851" s="1"/>
      <c r="O851" s="1"/>
      <c r="P851" s="1"/>
      <c r="Q851" s="1"/>
    </row>
    <row r="852" ht="15.75" customHeight="1">
      <c r="A852" s="1"/>
      <c r="B852" s="1"/>
      <c r="C852" s="1"/>
      <c r="D852" s="1"/>
      <c r="E852" s="1"/>
      <c r="F852" s="1"/>
      <c r="G852" s="1"/>
      <c r="H852" s="1"/>
      <c r="I852" s="1"/>
      <c r="J852" s="1"/>
      <c r="K852" s="1"/>
      <c r="L852" s="1"/>
      <c r="M852" s="1"/>
      <c r="N852" s="1"/>
      <c r="O852" s="1"/>
      <c r="P852" s="1"/>
      <c r="Q852" s="1"/>
    </row>
    <row r="853" ht="15.75" customHeight="1">
      <c r="A853" s="1"/>
      <c r="B853" s="1"/>
      <c r="C853" s="1"/>
      <c r="D853" s="1"/>
      <c r="E853" s="1"/>
      <c r="F853" s="1"/>
      <c r="G853" s="1"/>
      <c r="H853" s="1"/>
      <c r="I853" s="1"/>
      <c r="J853" s="1"/>
      <c r="K853" s="1"/>
      <c r="L853" s="1"/>
      <c r="M853" s="1"/>
      <c r="N853" s="1"/>
      <c r="O853" s="1"/>
      <c r="P853" s="1"/>
      <c r="Q853" s="1"/>
    </row>
    <row r="854" ht="15.75" customHeight="1">
      <c r="A854" s="1"/>
      <c r="B854" s="1"/>
      <c r="C854" s="1"/>
      <c r="D854" s="1"/>
      <c r="E854" s="1"/>
      <c r="F854" s="1"/>
      <c r="G854" s="1"/>
      <c r="H854" s="1"/>
      <c r="I854" s="1"/>
      <c r="J854" s="1"/>
      <c r="K854" s="1"/>
      <c r="L854" s="1"/>
      <c r="M854" s="1"/>
      <c r="N854" s="1"/>
      <c r="O854" s="1"/>
      <c r="P854" s="1"/>
      <c r="Q854" s="1"/>
    </row>
    <row r="855" ht="15.75" customHeight="1">
      <c r="A855" s="1"/>
      <c r="B855" s="1"/>
      <c r="C855" s="1"/>
      <c r="D855" s="1"/>
      <c r="E855" s="1"/>
      <c r="F855" s="1"/>
      <c r="G855" s="1"/>
      <c r="H855" s="1"/>
      <c r="I855" s="1"/>
      <c r="J855" s="1"/>
      <c r="K855" s="1"/>
      <c r="L855" s="1"/>
      <c r="M855" s="1"/>
      <c r="N855" s="1"/>
      <c r="O855" s="1"/>
      <c r="P855" s="1"/>
      <c r="Q855" s="1"/>
    </row>
    <row r="856" ht="15.75" customHeight="1">
      <c r="A856" s="1"/>
      <c r="B856" s="1"/>
      <c r="C856" s="1"/>
      <c r="D856" s="1"/>
      <c r="E856" s="1"/>
      <c r="F856" s="1"/>
      <c r="G856" s="1"/>
      <c r="H856" s="1"/>
      <c r="I856" s="1"/>
      <c r="J856" s="1"/>
      <c r="K856" s="1"/>
      <c r="L856" s="1"/>
      <c r="M856" s="1"/>
      <c r="N856" s="1"/>
      <c r="O856" s="1"/>
      <c r="P856" s="1"/>
      <c r="Q856" s="1"/>
    </row>
    <row r="857" ht="15.75" customHeight="1">
      <c r="A857" s="1"/>
      <c r="B857" s="1"/>
      <c r="C857" s="1"/>
      <c r="D857" s="1"/>
      <c r="E857" s="1"/>
      <c r="F857" s="1"/>
      <c r="G857" s="1"/>
      <c r="H857" s="1"/>
      <c r="I857" s="1"/>
      <c r="J857" s="1"/>
      <c r="K857" s="1"/>
      <c r="L857" s="1"/>
      <c r="M857" s="1"/>
      <c r="N857" s="1"/>
      <c r="O857" s="1"/>
      <c r="P857" s="1"/>
      <c r="Q857" s="1"/>
    </row>
    <row r="858" ht="15.75" customHeight="1">
      <c r="A858" s="1"/>
      <c r="B858" s="1"/>
      <c r="C858" s="1"/>
      <c r="D858" s="1"/>
      <c r="E858" s="1"/>
      <c r="F858" s="1"/>
      <c r="G858" s="1"/>
      <c r="H858" s="1"/>
      <c r="I858" s="1"/>
      <c r="J858" s="1"/>
      <c r="K858" s="1"/>
      <c r="L858" s="1"/>
      <c r="M858" s="1"/>
      <c r="N858" s="1"/>
      <c r="O858" s="1"/>
      <c r="P858" s="1"/>
      <c r="Q858" s="1"/>
    </row>
    <row r="859" ht="15.75" customHeight="1">
      <c r="A859" s="1"/>
      <c r="B859" s="1"/>
      <c r="C859" s="1"/>
      <c r="D859" s="1"/>
      <c r="E859" s="1"/>
      <c r="F859" s="1"/>
      <c r="G859" s="1"/>
      <c r="H859" s="1"/>
      <c r="I859" s="1"/>
      <c r="J859" s="1"/>
      <c r="K859" s="1"/>
      <c r="L859" s="1"/>
      <c r="M859" s="1"/>
      <c r="N859" s="1"/>
      <c r="O859" s="1"/>
      <c r="P859" s="1"/>
      <c r="Q859" s="1"/>
    </row>
    <row r="860" ht="15.75" customHeight="1">
      <c r="A860" s="1"/>
      <c r="B860" s="1"/>
      <c r="C860" s="1"/>
      <c r="D860" s="1"/>
      <c r="E860" s="1"/>
      <c r="F860" s="1"/>
      <c r="G860" s="1"/>
      <c r="H860" s="1"/>
      <c r="I860" s="1"/>
      <c r="J860" s="1"/>
      <c r="K860" s="1"/>
      <c r="L860" s="1"/>
      <c r="M860" s="1"/>
      <c r="N860" s="1"/>
      <c r="O860" s="1"/>
      <c r="P860" s="1"/>
      <c r="Q860" s="1"/>
    </row>
    <row r="861" ht="15.75" customHeight="1">
      <c r="A861" s="1"/>
      <c r="B861" s="1"/>
      <c r="C861" s="1"/>
      <c r="D861" s="1"/>
      <c r="E861" s="1"/>
      <c r="F861" s="1"/>
      <c r="G861" s="1"/>
      <c r="H861" s="1"/>
      <c r="I861" s="1"/>
      <c r="J861" s="1"/>
      <c r="K861" s="1"/>
      <c r="L861" s="1"/>
      <c r="M861" s="1"/>
      <c r="N861" s="1"/>
      <c r="O861" s="1"/>
      <c r="P861" s="1"/>
      <c r="Q861" s="1"/>
    </row>
    <row r="862" ht="15.75" customHeight="1">
      <c r="A862" s="1"/>
      <c r="B862" s="1"/>
      <c r="C862" s="1"/>
      <c r="D862" s="1"/>
      <c r="E862" s="1"/>
      <c r="F862" s="1"/>
      <c r="G862" s="1"/>
      <c r="H862" s="1"/>
      <c r="I862" s="1"/>
      <c r="J862" s="1"/>
      <c r="K862" s="1"/>
      <c r="L862" s="1"/>
      <c r="M862" s="1"/>
      <c r="N862" s="1"/>
      <c r="O862" s="1"/>
      <c r="P862" s="1"/>
      <c r="Q862" s="1"/>
    </row>
    <row r="863" ht="15.75" customHeight="1">
      <c r="A863" s="1"/>
      <c r="B863" s="1"/>
      <c r="C863" s="1"/>
      <c r="D863" s="1"/>
      <c r="E863" s="1"/>
      <c r="F863" s="1"/>
      <c r="G863" s="1"/>
      <c r="H863" s="1"/>
      <c r="I863" s="1"/>
      <c r="J863" s="1"/>
      <c r="K863" s="1"/>
      <c r="L863" s="1"/>
      <c r="M863" s="1"/>
      <c r="N863" s="1"/>
      <c r="O863" s="1"/>
      <c r="P863" s="1"/>
      <c r="Q863" s="1"/>
    </row>
    <row r="864" ht="15.75" customHeight="1">
      <c r="A864" s="1"/>
      <c r="B864" s="1"/>
      <c r="C864" s="1"/>
      <c r="D864" s="1"/>
      <c r="E864" s="1"/>
      <c r="F864" s="1"/>
      <c r="G864" s="1"/>
      <c r="H864" s="1"/>
      <c r="I864" s="1"/>
      <c r="J864" s="1"/>
      <c r="K864" s="1"/>
      <c r="L864" s="1"/>
      <c r="M864" s="1"/>
      <c r="N864" s="1"/>
      <c r="O864" s="1"/>
      <c r="P864" s="1"/>
      <c r="Q864" s="1"/>
    </row>
    <row r="865" ht="15.75" customHeight="1">
      <c r="A865" s="1"/>
      <c r="B865" s="1"/>
      <c r="C865" s="1"/>
      <c r="D865" s="1"/>
      <c r="E865" s="1"/>
      <c r="F865" s="1"/>
      <c r="G865" s="1"/>
      <c r="H865" s="1"/>
      <c r="I865" s="1"/>
      <c r="J865" s="1"/>
      <c r="K865" s="1"/>
      <c r="L865" s="1"/>
      <c r="M865" s="1"/>
      <c r="N865" s="1"/>
      <c r="O865" s="1"/>
      <c r="P865" s="1"/>
      <c r="Q865" s="1"/>
    </row>
    <row r="866" ht="15.75" customHeight="1">
      <c r="A866" s="1"/>
      <c r="B866" s="1"/>
      <c r="C866" s="1"/>
      <c r="D866" s="1"/>
      <c r="E866" s="1"/>
      <c r="F866" s="1"/>
      <c r="G866" s="1"/>
      <c r="H866" s="1"/>
      <c r="I866" s="1"/>
      <c r="J866" s="1"/>
      <c r="K866" s="1"/>
      <c r="L866" s="1"/>
      <c r="M866" s="1"/>
      <c r="N866" s="1"/>
      <c r="O866" s="1"/>
      <c r="P866" s="1"/>
      <c r="Q866" s="1"/>
    </row>
    <row r="867" ht="15.75" customHeight="1">
      <c r="A867" s="1"/>
      <c r="B867" s="1"/>
      <c r="C867" s="1"/>
      <c r="D867" s="1"/>
      <c r="E867" s="1"/>
      <c r="F867" s="1"/>
      <c r="G867" s="1"/>
      <c r="H867" s="1"/>
      <c r="I867" s="1"/>
      <c r="J867" s="1"/>
      <c r="K867" s="1"/>
      <c r="L867" s="1"/>
      <c r="M867" s="1"/>
      <c r="N867" s="1"/>
      <c r="O867" s="1"/>
      <c r="P867" s="1"/>
      <c r="Q867" s="1"/>
    </row>
    <row r="868" ht="15.75" customHeight="1">
      <c r="A868" s="1"/>
      <c r="B868" s="1"/>
      <c r="C868" s="1"/>
      <c r="D868" s="1"/>
      <c r="E868" s="1"/>
      <c r="F868" s="1"/>
      <c r="G868" s="1"/>
      <c r="H868" s="1"/>
      <c r="I868" s="1"/>
      <c r="J868" s="1"/>
      <c r="K868" s="1"/>
      <c r="L868" s="1"/>
      <c r="M868" s="1"/>
      <c r="N868" s="1"/>
      <c r="O868" s="1"/>
      <c r="P868" s="1"/>
      <c r="Q868" s="1"/>
    </row>
    <row r="869" ht="15.75" customHeight="1">
      <c r="A869" s="1"/>
      <c r="B869" s="1"/>
      <c r="C869" s="1"/>
      <c r="D869" s="1"/>
      <c r="E869" s="1"/>
      <c r="F869" s="1"/>
      <c r="G869" s="1"/>
      <c r="H869" s="1"/>
      <c r="I869" s="1"/>
      <c r="J869" s="1"/>
      <c r="K869" s="1"/>
      <c r="L869" s="1"/>
      <c r="M869" s="1"/>
      <c r="N869" s="1"/>
      <c r="O869" s="1"/>
      <c r="P869" s="1"/>
      <c r="Q869" s="1"/>
    </row>
    <row r="870" ht="15.75" customHeight="1">
      <c r="A870" s="1"/>
      <c r="B870" s="1"/>
      <c r="C870" s="1"/>
      <c r="D870" s="1"/>
      <c r="E870" s="1"/>
      <c r="F870" s="1"/>
      <c r="G870" s="1"/>
      <c r="H870" s="1"/>
      <c r="I870" s="1"/>
      <c r="J870" s="1"/>
      <c r="K870" s="1"/>
      <c r="L870" s="1"/>
      <c r="M870" s="1"/>
      <c r="N870" s="1"/>
      <c r="O870" s="1"/>
      <c r="P870" s="1"/>
      <c r="Q870" s="1"/>
    </row>
    <row r="871" ht="15.75" customHeight="1">
      <c r="A871" s="1"/>
      <c r="B871" s="1"/>
      <c r="C871" s="1"/>
      <c r="D871" s="1"/>
      <c r="E871" s="1"/>
      <c r="F871" s="1"/>
      <c r="G871" s="1"/>
      <c r="H871" s="1"/>
      <c r="I871" s="1"/>
      <c r="J871" s="1"/>
      <c r="K871" s="1"/>
      <c r="L871" s="1"/>
      <c r="M871" s="1"/>
      <c r="N871" s="1"/>
      <c r="O871" s="1"/>
      <c r="P871" s="1"/>
      <c r="Q871" s="1"/>
    </row>
    <row r="872" ht="15.75" customHeight="1">
      <c r="A872" s="1"/>
      <c r="B872" s="1"/>
      <c r="C872" s="1"/>
      <c r="D872" s="1"/>
      <c r="E872" s="1"/>
      <c r="F872" s="1"/>
      <c r="G872" s="1"/>
      <c r="H872" s="1"/>
      <c r="I872" s="1"/>
      <c r="J872" s="1"/>
      <c r="K872" s="1"/>
      <c r="L872" s="1"/>
      <c r="M872" s="1"/>
      <c r="N872" s="1"/>
      <c r="O872" s="1"/>
      <c r="P872" s="1"/>
      <c r="Q872" s="1"/>
    </row>
    <row r="873" ht="15.75" customHeight="1">
      <c r="A873" s="1"/>
      <c r="B873" s="1"/>
      <c r="C873" s="1"/>
      <c r="D873" s="1"/>
      <c r="E873" s="1"/>
      <c r="F873" s="1"/>
      <c r="G873" s="1"/>
      <c r="H873" s="1"/>
      <c r="I873" s="1"/>
      <c r="J873" s="1"/>
      <c r="K873" s="1"/>
      <c r="L873" s="1"/>
      <c r="M873" s="1"/>
      <c r="N873" s="1"/>
      <c r="O873" s="1"/>
      <c r="P873" s="1"/>
      <c r="Q873" s="1"/>
    </row>
    <row r="874" ht="15.75" customHeight="1">
      <c r="A874" s="1"/>
      <c r="B874" s="1"/>
      <c r="C874" s="1"/>
      <c r="D874" s="1"/>
      <c r="E874" s="1"/>
      <c r="F874" s="1"/>
      <c r="G874" s="1"/>
      <c r="H874" s="1"/>
      <c r="I874" s="1"/>
      <c r="J874" s="1"/>
      <c r="K874" s="1"/>
      <c r="L874" s="1"/>
      <c r="M874" s="1"/>
      <c r="N874" s="1"/>
      <c r="O874" s="1"/>
      <c r="P874" s="1"/>
      <c r="Q874" s="1"/>
    </row>
    <row r="875" ht="15.75" customHeight="1">
      <c r="A875" s="1"/>
      <c r="B875" s="1"/>
      <c r="C875" s="1"/>
      <c r="D875" s="1"/>
      <c r="E875" s="1"/>
      <c r="F875" s="1"/>
      <c r="G875" s="1"/>
      <c r="H875" s="1"/>
      <c r="I875" s="1"/>
      <c r="J875" s="1"/>
      <c r="K875" s="1"/>
      <c r="L875" s="1"/>
      <c r="M875" s="1"/>
      <c r="N875" s="1"/>
      <c r="O875" s="1"/>
      <c r="P875" s="1"/>
      <c r="Q875" s="1"/>
    </row>
    <row r="876" ht="15.75" customHeight="1">
      <c r="A876" s="1"/>
      <c r="B876" s="1"/>
      <c r="C876" s="1"/>
      <c r="D876" s="1"/>
      <c r="E876" s="1"/>
      <c r="F876" s="1"/>
      <c r="G876" s="1"/>
      <c r="H876" s="1"/>
      <c r="I876" s="1"/>
      <c r="J876" s="1"/>
      <c r="K876" s="1"/>
      <c r="L876" s="1"/>
      <c r="M876" s="1"/>
      <c r="N876" s="1"/>
      <c r="O876" s="1"/>
      <c r="P876" s="1"/>
      <c r="Q876" s="1"/>
    </row>
    <row r="877" ht="15.75" customHeight="1">
      <c r="A877" s="1"/>
      <c r="B877" s="1"/>
      <c r="C877" s="1"/>
      <c r="D877" s="1"/>
      <c r="E877" s="1"/>
      <c r="F877" s="1"/>
      <c r="G877" s="1"/>
      <c r="H877" s="1"/>
      <c r="I877" s="1"/>
      <c r="J877" s="1"/>
      <c r="K877" s="1"/>
      <c r="L877" s="1"/>
      <c r="M877" s="1"/>
      <c r="N877" s="1"/>
      <c r="O877" s="1"/>
      <c r="P877" s="1"/>
      <c r="Q877" s="1"/>
    </row>
    <row r="878" ht="15.75" customHeight="1">
      <c r="A878" s="1"/>
      <c r="B878" s="1"/>
      <c r="C878" s="1"/>
      <c r="D878" s="1"/>
      <c r="E878" s="1"/>
      <c r="F878" s="1"/>
      <c r="G878" s="1"/>
      <c r="H878" s="1"/>
      <c r="I878" s="1"/>
      <c r="J878" s="1"/>
      <c r="K878" s="1"/>
      <c r="L878" s="1"/>
      <c r="M878" s="1"/>
      <c r="N878" s="1"/>
      <c r="O878" s="1"/>
      <c r="P878" s="1"/>
      <c r="Q878" s="1"/>
    </row>
    <row r="879" ht="15.75" customHeight="1">
      <c r="A879" s="1"/>
      <c r="B879" s="1"/>
      <c r="C879" s="1"/>
      <c r="D879" s="1"/>
      <c r="E879" s="1"/>
      <c r="F879" s="1"/>
      <c r="G879" s="1"/>
      <c r="H879" s="1"/>
      <c r="I879" s="1"/>
      <c r="J879" s="1"/>
      <c r="K879" s="1"/>
      <c r="L879" s="1"/>
      <c r="M879" s="1"/>
      <c r="N879" s="1"/>
      <c r="O879" s="1"/>
      <c r="P879" s="1"/>
      <c r="Q879" s="1"/>
    </row>
    <row r="880" ht="15.75" customHeight="1">
      <c r="A880" s="1"/>
      <c r="B880" s="1"/>
      <c r="C880" s="1"/>
      <c r="D880" s="1"/>
      <c r="E880" s="1"/>
      <c r="F880" s="1"/>
      <c r="G880" s="1"/>
      <c r="H880" s="1"/>
      <c r="I880" s="1"/>
      <c r="J880" s="1"/>
      <c r="K880" s="1"/>
      <c r="L880" s="1"/>
      <c r="M880" s="1"/>
      <c r="N880" s="1"/>
      <c r="O880" s="1"/>
      <c r="P880" s="1"/>
      <c r="Q880" s="1"/>
    </row>
    <row r="881" ht="15.75" customHeight="1">
      <c r="A881" s="1"/>
      <c r="B881" s="1"/>
      <c r="C881" s="1"/>
      <c r="D881" s="1"/>
      <c r="E881" s="1"/>
      <c r="F881" s="1"/>
      <c r="G881" s="1"/>
      <c r="H881" s="1"/>
      <c r="I881" s="1"/>
      <c r="J881" s="1"/>
      <c r="K881" s="1"/>
      <c r="L881" s="1"/>
      <c r="M881" s="1"/>
      <c r="N881" s="1"/>
      <c r="O881" s="1"/>
      <c r="P881" s="1"/>
      <c r="Q881" s="1"/>
    </row>
    <row r="882" ht="15.75" customHeight="1">
      <c r="A882" s="1"/>
      <c r="B882" s="1"/>
      <c r="C882" s="1"/>
      <c r="D882" s="1"/>
      <c r="E882" s="1"/>
      <c r="F882" s="1"/>
      <c r="G882" s="1"/>
      <c r="H882" s="1"/>
      <c r="I882" s="1"/>
      <c r="J882" s="1"/>
      <c r="K882" s="1"/>
      <c r="L882" s="1"/>
      <c r="M882" s="1"/>
      <c r="N882" s="1"/>
      <c r="O882" s="1"/>
      <c r="P882" s="1"/>
      <c r="Q882" s="1"/>
    </row>
    <row r="883" ht="15.75" customHeight="1">
      <c r="A883" s="1"/>
      <c r="B883" s="1"/>
      <c r="C883" s="1"/>
      <c r="D883" s="1"/>
      <c r="E883" s="1"/>
      <c r="F883" s="1"/>
      <c r="G883" s="1"/>
      <c r="H883" s="1"/>
      <c r="I883" s="1"/>
      <c r="J883" s="1"/>
      <c r="K883" s="1"/>
      <c r="L883" s="1"/>
      <c r="M883" s="1"/>
      <c r="N883" s="1"/>
      <c r="O883" s="1"/>
      <c r="P883" s="1"/>
      <c r="Q883" s="1"/>
    </row>
    <row r="884" ht="15.75" customHeight="1">
      <c r="A884" s="1"/>
      <c r="B884" s="1"/>
      <c r="C884" s="1"/>
      <c r="D884" s="1"/>
      <c r="E884" s="1"/>
      <c r="F884" s="1"/>
      <c r="G884" s="1"/>
      <c r="H884" s="1"/>
      <c r="I884" s="1"/>
      <c r="J884" s="1"/>
      <c r="K884" s="1"/>
      <c r="L884" s="1"/>
      <c r="M884" s="1"/>
      <c r="N884" s="1"/>
      <c r="O884" s="1"/>
      <c r="P884" s="1"/>
      <c r="Q884" s="1"/>
    </row>
    <row r="885" ht="15.75" customHeight="1">
      <c r="A885" s="1"/>
      <c r="B885" s="1"/>
      <c r="C885" s="1"/>
      <c r="D885" s="1"/>
      <c r="E885" s="1"/>
      <c r="F885" s="1"/>
      <c r="G885" s="1"/>
      <c r="H885" s="1"/>
      <c r="I885" s="1"/>
      <c r="J885" s="1"/>
      <c r="K885" s="1"/>
      <c r="L885" s="1"/>
      <c r="M885" s="1"/>
      <c r="N885" s="1"/>
      <c r="O885" s="1"/>
      <c r="P885" s="1"/>
      <c r="Q885" s="1"/>
    </row>
    <row r="886" ht="15.75" customHeight="1">
      <c r="A886" s="1"/>
      <c r="B886" s="1"/>
      <c r="C886" s="1"/>
      <c r="D886" s="1"/>
      <c r="E886" s="1"/>
      <c r="F886" s="1"/>
      <c r="G886" s="1"/>
      <c r="H886" s="1"/>
      <c r="I886" s="1"/>
      <c r="J886" s="1"/>
      <c r="K886" s="1"/>
      <c r="L886" s="1"/>
      <c r="M886" s="1"/>
      <c r="N886" s="1"/>
      <c r="O886" s="1"/>
      <c r="P886" s="1"/>
      <c r="Q886" s="1"/>
    </row>
    <row r="887" ht="15.75" customHeight="1">
      <c r="A887" s="1"/>
      <c r="B887" s="1"/>
      <c r="C887" s="1"/>
      <c r="D887" s="1"/>
      <c r="E887" s="1"/>
      <c r="F887" s="1"/>
      <c r="G887" s="1"/>
      <c r="H887" s="1"/>
      <c r="I887" s="1"/>
      <c r="J887" s="1"/>
      <c r="K887" s="1"/>
      <c r="L887" s="1"/>
      <c r="M887" s="1"/>
      <c r="N887" s="1"/>
      <c r="O887" s="1"/>
      <c r="P887" s="1"/>
      <c r="Q887" s="1"/>
    </row>
    <row r="888" ht="15.75" customHeight="1">
      <c r="A888" s="1"/>
      <c r="B888" s="1"/>
      <c r="C888" s="1"/>
      <c r="D888" s="1"/>
      <c r="E888" s="1"/>
      <c r="F888" s="1"/>
      <c r="G888" s="1"/>
      <c r="H888" s="1"/>
      <c r="I888" s="1"/>
      <c r="J888" s="1"/>
      <c r="K888" s="1"/>
      <c r="L888" s="1"/>
      <c r="M888" s="1"/>
      <c r="N888" s="1"/>
      <c r="O888" s="1"/>
      <c r="P888" s="1"/>
      <c r="Q888" s="1"/>
    </row>
    <row r="889" ht="15.75" customHeight="1">
      <c r="A889" s="1"/>
      <c r="B889" s="1"/>
      <c r="C889" s="1"/>
      <c r="D889" s="1"/>
      <c r="E889" s="1"/>
      <c r="F889" s="1"/>
      <c r="G889" s="1"/>
      <c r="H889" s="1"/>
      <c r="I889" s="1"/>
      <c r="J889" s="1"/>
      <c r="K889" s="1"/>
      <c r="L889" s="1"/>
      <c r="M889" s="1"/>
      <c r="N889" s="1"/>
      <c r="O889" s="1"/>
      <c r="P889" s="1"/>
      <c r="Q889" s="1"/>
    </row>
    <row r="890" ht="15.75" customHeight="1">
      <c r="A890" s="1"/>
      <c r="B890" s="1"/>
      <c r="C890" s="1"/>
      <c r="D890" s="1"/>
      <c r="E890" s="1"/>
      <c r="F890" s="1"/>
      <c r="G890" s="1"/>
      <c r="H890" s="1"/>
      <c r="I890" s="1"/>
      <c r="J890" s="1"/>
      <c r="K890" s="1"/>
      <c r="L890" s="1"/>
      <c r="M890" s="1"/>
      <c r="N890" s="1"/>
      <c r="O890" s="1"/>
      <c r="P890" s="1"/>
      <c r="Q890" s="1"/>
    </row>
    <row r="891" ht="15.75" customHeight="1">
      <c r="A891" s="1"/>
      <c r="B891" s="1"/>
      <c r="C891" s="1"/>
      <c r="D891" s="1"/>
      <c r="E891" s="1"/>
      <c r="F891" s="1"/>
      <c r="G891" s="1"/>
      <c r="H891" s="1"/>
      <c r="I891" s="1"/>
      <c r="J891" s="1"/>
      <c r="K891" s="1"/>
      <c r="L891" s="1"/>
      <c r="M891" s="1"/>
      <c r="N891" s="1"/>
      <c r="O891" s="1"/>
      <c r="P891" s="1"/>
      <c r="Q891" s="1"/>
    </row>
    <row r="892" ht="15.75" customHeight="1">
      <c r="A892" s="1"/>
      <c r="B892" s="1"/>
      <c r="C892" s="1"/>
      <c r="D892" s="1"/>
      <c r="E892" s="1"/>
      <c r="F892" s="1"/>
      <c r="G892" s="1"/>
      <c r="H892" s="1"/>
      <c r="I892" s="1"/>
      <c r="J892" s="1"/>
      <c r="K892" s="1"/>
      <c r="L892" s="1"/>
      <c r="M892" s="1"/>
      <c r="N892" s="1"/>
      <c r="O892" s="1"/>
      <c r="P892" s="1"/>
      <c r="Q892" s="1"/>
    </row>
    <row r="893" ht="15.75" customHeight="1">
      <c r="A893" s="1"/>
      <c r="B893" s="1"/>
      <c r="C893" s="1"/>
      <c r="D893" s="1"/>
      <c r="E893" s="1"/>
      <c r="F893" s="1"/>
      <c r="G893" s="1"/>
      <c r="H893" s="1"/>
      <c r="I893" s="1"/>
      <c r="J893" s="1"/>
      <c r="K893" s="1"/>
      <c r="L893" s="1"/>
      <c r="M893" s="1"/>
      <c r="N893" s="1"/>
      <c r="O893" s="1"/>
      <c r="P893" s="1"/>
      <c r="Q893" s="1"/>
    </row>
    <row r="894" ht="15.75" customHeight="1">
      <c r="A894" s="1"/>
      <c r="B894" s="1"/>
      <c r="C894" s="1"/>
      <c r="D894" s="1"/>
      <c r="E894" s="1"/>
      <c r="F894" s="1"/>
      <c r="G894" s="1"/>
      <c r="H894" s="1"/>
      <c r="I894" s="1"/>
      <c r="J894" s="1"/>
      <c r="K894" s="1"/>
      <c r="L894" s="1"/>
      <c r="M894" s="1"/>
      <c r="N894" s="1"/>
      <c r="O894" s="1"/>
      <c r="P894" s="1"/>
      <c r="Q894" s="1"/>
    </row>
    <row r="895" ht="15.75" customHeight="1">
      <c r="A895" s="1"/>
      <c r="B895" s="1"/>
      <c r="C895" s="1"/>
      <c r="D895" s="1"/>
      <c r="E895" s="1"/>
      <c r="F895" s="1"/>
      <c r="G895" s="1"/>
      <c r="H895" s="1"/>
      <c r="I895" s="1"/>
      <c r="J895" s="1"/>
      <c r="K895" s="1"/>
      <c r="L895" s="1"/>
      <c r="M895" s="1"/>
      <c r="N895" s="1"/>
      <c r="O895" s="1"/>
      <c r="P895" s="1"/>
      <c r="Q895" s="1"/>
    </row>
    <row r="896" ht="15.75" customHeight="1">
      <c r="A896" s="1"/>
      <c r="B896" s="1"/>
      <c r="C896" s="1"/>
      <c r="D896" s="1"/>
      <c r="E896" s="1"/>
      <c r="F896" s="1"/>
      <c r="G896" s="1"/>
      <c r="H896" s="1"/>
      <c r="I896" s="1"/>
      <c r="J896" s="1"/>
      <c r="K896" s="1"/>
      <c r="L896" s="1"/>
      <c r="M896" s="1"/>
      <c r="N896" s="1"/>
      <c r="O896" s="1"/>
      <c r="P896" s="1"/>
      <c r="Q896" s="1"/>
    </row>
    <row r="897" ht="15.75" customHeight="1">
      <c r="A897" s="1"/>
      <c r="B897" s="1"/>
      <c r="C897" s="1"/>
      <c r="D897" s="1"/>
      <c r="E897" s="1"/>
      <c r="F897" s="1"/>
      <c r="G897" s="1"/>
      <c r="H897" s="1"/>
      <c r="I897" s="1"/>
      <c r="J897" s="1"/>
      <c r="K897" s="1"/>
      <c r="L897" s="1"/>
      <c r="M897" s="1"/>
      <c r="N897" s="1"/>
      <c r="O897" s="1"/>
      <c r="P897" s="1"/>
      <c r="Q897" s="1"/>
    </row>
    <row r="898" ht="15.75" customHeight="1">
      <c r="A898" s="1"/>
      <c r="B898" s="1"/>
      <c r="C898" s="1"/>
      <c r="D898" s="1"/>
      <c r="E898" s="1"/>
      <c r="F898" s="1"/>
      <c r="G898" s="1"/>
      <c r="H898" s="1"/>
      <c r="I898" s="1"/>
      <c r="J898" s="1"/>
      <c r="K898" s="1"/>
      <c r="L898" s="1"/>
      <c r="M898" s="1"/>
      <c r="N898" s="1"/>
      <c r="O898" s="1"/>
      <c r="P898" s="1"/>
      <c r="Q898" s="1"/>
    </row>
    <row r="899" ht="15.75" customHeight="1">
      <c r="A899" s="1"/>
      <c r="B899" s="1"/>
      <c r="C899" s="1"/>
      <c r="D899" s="1"/>
      <c r="E899" s="1"/>
      <c r="F899" s="1"/>
      <c r="G899" s="1"/>
      <c r="H899" s="1"/>
      <c r="I899" s="1"/>
      <c r="J899" s="1"/>
      <c r="K899" s="1"/>
      <c r="L899" s="1"/>
      <c r="M899" s="1"/>
      <c r="N899" s="1"/>
      <c r="O899" s="1"/>
      <c r="P899" s="1"/>
      <c r="Q899" s="1"/>
    </row>
    <row r="900" ht="15.75" customHeight="1">
      <c r="A900" s="1"/>
      <c r="B900" s="1"/>
      <c r="C900" s="1"/>
      <c r="D900" s="1"/>
      <c r="E900" s="1"/>
      <c r="F900" s="1"/>
      <c r="G900" s="1"/>
      <c r="H900" s="1"/>
      <c r="I900" s="1"/>
      <c r="J900" s="1"/>
      <c r="K900" s="1"/>
      <c r="L900" s="1"/>
      <c r="M900" s="1"/>
      <c r="N900" s="1"/>
      <c r="O900" s="1"/>
      <c r="P900" s="1"/>
      <c r="Q900" s="1"/>
    </row>
    <row r="901" ht="15.75" customHeight="1">
      <c r="A901" s="1"/>
      <c r="B901" s="1"/>
      <c r="C901" s="1"/>
      <c r="D901" s="1"/>
      <c r="E901" s="1"/>
      <c r="F901" s="1"/>
      <c r="G901" s="1"/>
      <c r="H901" s="1"/>
      <c r="I901" s="1"/>
      <c r="J901" s="1"/>
      <c r="K901" s="1"/>
      <c r="L901" s="1"/>
      <c r="M901" s="1"/>
      <c r="N901" s="1"/>
      <c r="O901" s="1"/>
      <c r="P901" s="1"/>
      <c r="Q901" s="1"/>
    </row>
    <row r="902" ht="15.75" customHeight="1">
      <c r="A902" s="1"/>
      <c r="B902" s="1"/>
      <c r="C902" s="1"/>
      <c r="D902" s="1"/>
      <c r="E902" s="1"/>
      <c r="F902" s="1"/>
      <c r="G902" s="1"/>
      <c r="H902" s="1"/>
      <c r="I902" s="1"/>
      <c r="J902" s="1"/>
      <c r="K902" s="1"/>
      <c r="L902" s="1"/>
      <c r="M902" s="1"/>
      <c r="N902" s="1"/>
      <c r="O902" s="1"/>
      <c r="P902" s="1"/>
      <c r="Q902" s="1"/>
    </row>
    <row r="903" ht="15.75" customHeight="1">
      <c r="A903" s="1"/>
      <c r="B903" s="1"/>
      <c r="C903" s="1"/>
      <c r="D903" s="1"/>
      <c r="E903" s="1"/>
      <c r="F903" s="1"/>
      <c r="G903" s="1"/>
      <c r="H903" s="1"/>
      <c r="I903" s="1"/>
      <c r="J903" s="1"/>
      <c r="K903" s="1"/>
      <c r="L903" s="1"/>
      <c r="M903" s="1"/>
      <c r="N903" s="1"/>
      <c r="O903" s="1"/>
      <c r="P903" s="1"/>
      <c r="Q903" s="1"/>
    </row>
    <row r="904" ht="15.75" customHeight="1">
      <c r="A904" s="1"/>
      <c r="B904" s="1"/>
      <c r="C904" s="1"/>
      <c r="D904" s="1"/>
      <c r="E904" s="1"/>
      <c r="F904" s="1"/>
      <c r="G904" s="1"/>
      <c r="H904" s="1"/>
      <c r="I904" s="1"/>
      <c r="J904" s="1"/>
      <c r="K904" s="1"/>
      <c r="L904" s="1"/>
      <c r="M904" s="1"/>
      <c r="N904" s="1"/>
      <c r="O904" s="1"/>
      <c r="P904" s="1"/>
      <c r="Q904" s="1"/>
    </row>
    <row r="905" ht="15.75" customHeight="1">
      <c r="A905" s="1"/>
      <c r="B905" s="1"/>
      <c r="C905" s="1"/>
      <c r="D905" s="1"/>
      <c r="E905" s="1"/>
      <c r="F905" s="1"/>
      <c r="G905" s="1"/>
      <c r="H905" s="1"/>
      <c r="I905" s="1"/>
      <c r="J905" s="1"/>
      <c r="K905" s="1"/>
      <c r="L905" s="1"/>
      <c r="M905" s="1"/>
      <c r="N905" s="1"/>
      <c r="O905" s="1"/>
      <c r="P905" s="1"/>
      <c r="Q905" s="1"/>
    </row>
    <row r="906" ht="15.75" customHeight="1">
      <c r="A906" s="1"/>
      <c r="B906" s="1"/>
      <c r="C906" s="1"/>
      <c r="D906" s="1"/>
      <c r="E906" s="1"/>
      <c r="F906" s="1"/>
      <c r="G906" s="1"/>
      <c r="H906" s="1"/>
      <c r="I906" s="1"/>
      <c r="J906" s="1"/>
      <c r="K906" s="1"/>
      <c r="L906" s="1"/>
      <c r="M906" s="1"/>
      <c r="N906" s="1"/>
      <c r="O906" s="1"/>
      <c r="P906" s="1"/>
      <c r="Q906" s="1"/>
    </row>
    <row r="907" ht="15.75" customHeight="1">
      <c r="A907" s="1"/>
      <c r="B907" s="1"/>
      <c r="C907" s="1"/>
      <c r="D907" s="1"/>
      <c r="E907" s="1"/>
      <c r="F907" s="1"/>
      <c r="G907" s="1"/>
      <c r="H907" s="1"/>
      <c r="I907" s="1"/>
      <c r="J907" s="1"/>
      <c r="K907" s="1"/>
      <c r="L907" s="1"/>
      <c r="M907" s="1"/>
      <c r="N907" s="1"/>
      <c r="O907" s="1"/>
      <c r="P907" s="1"/>
      <c r="Q907" s="1"/>
    </row>
    <row r="908" ht="15.75" customHeight="1">
      <c r="A908" s="1"/>
      <c r="B908" s="1"/>
      <c r="C908" s="1"/>
      <c r="D908" s="1"/>
      <c r="E908" s="1"/>
      <c r="F908" s="1"/>
      <c r="G908" s="1"/>
      <c r="H908" s="1"/>
      <c r="I908" s="1"/>
      <c r="J908" s="1"/>
      <c r="K908" s="1"/>
      <c r="L908" s="1"/>
      <c r="M908" s="1"/>
      <c r="N908" s="1"/>
      <c r="O908" s="1"/>
      <c r="P908" s="1"/>
      <c r="Q908" s="1"/>
    </row>
    <row r="909" ht="15.75" customHeight="1">
      <c r="A909" s="1"/>
      <c r="B909" s="1"/>
      <c r="C909" s="1"/>
      <c r="D909" s="1"/>
      <c r="E909" s="1"/>
      <c r="F909" s="1"/>
      <c r="G909" s="1"/>
      <c r="H909" s="1"/>
      <c r="I909" s="1"/>
      <c r="J909" s="1"/>
      <c r="K909" s="1"/>
      <c r="L909" s="1"/>
      <c r="M909" s="1"/>
      <c r="N909" s="1"/>
      <c r="O909" s="1"/>
      <c r="P909" s="1"/>
      <c r="Q909" s="1"/>
    </row>
    <row r="910" ht="15.75" customHeight="1">
      <c r="A910" s="1"/>
      <c r="B910" s="1"/>
      <c r="C910" s="1"/>
      <c r="D910" s="1"/>
      <c r="E910" s="1"/>
      <c r="F910" s="1"/>
      <c r="G910" s="1"/>
      <c r="H910" s="1"/>
      <c r="I910" s="1"/>
      <c r="J910" s="1"/>
      <c r="K910" s="1"/>
      <c r="L910" s="1"/>
      <c r="M910" s="1"/>
      <c r="N910" s="1"/>
      <c r="O910" s="1"/>
      <c r="P910" s="1"/>
      <c r="Q910" s="1"/>
    </row>
    <row r="911" ht="15.75" customHeight="1">
      <c r="A911" s="1"/>
      <c r="B911" s="1"/>
      <c r="C911" s="1"/>
      <c r="D911" s="1"/>
      <c r="E911" s="1"/>
      <c r="F911" s="1"/>
      <c r="G911" s="1"/>
      <c r="H911" s="1"/>
      <c r="I911" s="1"/>
      <c r="J911" s="1"/>
      <c r="K911" s="1"/>
      <c r="L911" s="1"/>
      <c r="M911" s="1"/>
      <c r="N911" s="1"/>
      <c r="O911" s="1"/>
      <c r="P911" s="1"/>
      <c r="Q911" s="1"/>
    </row>
    <row r="912" ht="15.75" customHeight="1">
      <c r="A912" s="1"/>
      <c r="B912" s="1"/>
      <c r="C912" s="1"/>
      <c r="D912" s="1"/>
      <c r="E912" s="1"/>
      <c r="F912" s="1"/>
      <c r="G912" s="1"/>
      <c r="H912" s="1"/>
      <c r="I912" s="1"/>
      <c r="J912" s="1"/>
      <c r="K912" s="1"/>
      <c r="L912" s="1"/>
      <c r="M912" s="1"/>
      <c r="N912" s="1"/>
      <c r="O912" s="1"/>
      <c r="P912" s="1"/>
      <c r="Q912" s="1"/>
    </row>
    <row r="913" ht="15.75" customHeight="1">
      <c r="A913" s="1"/>
      <c r="B913" s="1"/>
      <c r="C913" s="1"/>
      <c r="D913" s="1"/>
      <c r="E913" s="1"/>
      <c r="F913" s="1"/>
      <c r="G913" s="1"/>
      <c r="H913" s="1"/>
      <c r="I913" s="1"/>
      <c r="J913" s="1"/>
      <c r="K913" s="1"/>
      <c r="L913" s="1"/>
      <c r="M913" s="1"/>
      <c r="N913" s="1"/>
      <c r="O913" s="1"/>
      <c r="P913" s="1"/>
      <c r="Q913" s="1"/>
    </row>
    <row r="914" ht="15.75" customHeight="1">
      <c r="A914" s="1"/>
      <c r="B914" s="1"/>
      <c r="C914" s="1"/>
      <c r="D914" s="1"/>
      <c r="E914" s="1"/>
      <c r="F914" s="1"/>
      <c r="G914" s="1"/>
      <c r="H914" s="1"/>
      <c r="I914" s="1"/>
      <c r="J914" s="1"/>
      <c r="K914" s="1"/>
      <c r="L914" s="1"/>
      <c r="M914" s="1"/>
      <c r="N914" s="1"/>
      <c r="O914" s="1"/>
      <c r="P914" s="1"/>
      <c r="Q914" s="1"/>
    </row>
    <row r="915" ht="15.75" customHeight="1">
      <c r="A915" s="1"/>
      <c r="B915" s="1"/>
      <c r="C915" s="1"/>
      <c r="D915" s="1"/>
      <c r="E915" s="1"/>
      <c r="F915" s="1"/>
      <c r="G915" s="1"/>
      <c r="H915" s="1"/>
      <c r="I915" s="1"/>
      <c r="J915" s="1"/>
      <c r="K915" s="1"/>
      <c r="L915" s="1"/>
      <c r="M915" s="1"/>
      <c r="N915" s="1"/>
      <c r="O915" s="1"/>
      <c r="P915" s="1"/>
      <c r="Q915" s="1"/>
    </row>
    <row r="916" ht="15.75" customHeight="1">
      <c r="A916" s="1"/>
      <c r="B916" s="1"/>
      <c r="C916" s="1"/>
      <c r="D916" s="1"/>
      <c r="E916" s="1"/>
      <c r="F916" s="1"/>
      <c r="G916" s="1"/>
      <c r="H916" s="1"/>
      <c r="I916" s="1"/>
      <c r="J916" s="1"/>
      <c r="K916" s="1"/>
      <c r="L916" s="1"/>
      <c r="M916" s="1"/>
      <c r="N916" s="1"/>
      <c r="O916" s="1"/>
      <c r="P916" s="1"/>
      <c r="Q916" s="1"/>
    </row>
    <row r="917" ht="15.75" customHeight="1">
      <c r="A917" s="1"/>
      <c r="B917" s="1"/>
      <c r="C917" s="1"/>
      <c r="D917" s="1"/>
      <c r="E917" s="1"/>
      <c r="F917" s="1"/>
      <c r="G917" s="1"/>
      <c r="H917" s="1"/>
      <c r="I917" s="1"/>
      <c r="J917" s="1"/>
      <c r="K917" s="1"/>
      <c r="L917" s="1"/>
      <c r="M917" s="1"/>
      <c r="N917" s="1"/>
      <c r="O917" s="1"/>
      <c r="P917" s="1"/>
      <c r="Q917" s="1"/>
    </row>
    <row r="918" ht="15.75" customHeight="1">
      <c r="A918" s="1"/>
      <c r="B918" s="1"/>
      <c r="C918" s="1"/>
      <c r="D918" s="1"/>
      <c r="E918" s="1"/>
      <c r="F918" s="1"/>
      <c r="G918" s="1"/>
      <c r="H918" s="1"/>
      <c r="I918" s="1"/>
      <c r="J918" s="1"/>
      <c r="K918" s="1"/>
      <c r="L918" s="1"/>
      <c r="M918" s="1"/>
      <c r="N918" s="1"/>
      <c r="O918" s="1"/>
      <c r="P918" s="1"/>
      <c r="Q918" s="1"/>
    </row>
    <row r="919" ht="15.75" customHeight="1">
      <c r="A919" s="1"/>
      <c r="B919" s="1"/>
      <c r="C919" s="1"/>
      <c r="D919" s="1"/>
      <c r="E919" s="1"/>
      <c r="F919" s="1"/>
      <c r="G919" s="1"/>
      <c r="H919" s="1"/>
      <c r="I919" s="1"/>
      <c r="J919" s="1"/>
      <c r="K919" s="1"/>
      <c r="L919" s="1"/>
      <c r="M919" s="1"/>
      <c r="N919" s="1"/>
      <c r="O919" s="1"/>
      <c r="P919" s="1"/>
      <c r="Q919" s="1"/>
    </row>
    <row r="920" ht="15.75" customHeight="1">
      <c r="A920" s="1"/>
      <c r="B920" s="1"/>
      <c r="C920" s="1"/>
      <c r="D920" s="1"/>
      <c r="E920" s="1"/>
      <c r="F920" s="1"/>
      <c r="G920" s="1"/>
      <c r="H920" s="1"/>
      <c r="I920" s="1"/>
      <c r="J920" s="1"/>
      <c r="K920" s="1"/>
      <c r="L920" s="1"/>
      <c r="M920" s="1"/>
      <c r="N920" s="1"/>
      <c r="O920" s="1"/>
      <c r="P920" s="1"/>
      <c r="Q920" s="1"/>
    </row>
    <row r="921" ht="15.75" customHeight="1">
      <c r="A921" s="1"/>
      <c r="B921" s="1"/>
      <c r="C921" s="1"/>
      <c r="D921" s="1"/>
      <c r="E921" s="1"/>
      <c r="F921" s="1"/>
      <c r="G921" s="1"/>
      <c r="H921" s="1"/>
      <c r="I921" s="1"/>
      <c r="J921" s="1"/>
      <c r="K921" s="1"/>
      <c r="L921" s="1"/>
      <c r="M921" s="1"/>
      <c r="N921" s="1"/>
      <c r="O921" s="1"/>
      <c r="P921" s="1"/>
      <c r="Q921" s="1"/>
    </row>
    <row r="922" ht="15.75" customHeight="1">
      <c r="A922" s="1"/>
      <c r="B922" s="1"/>
      <c r="C922" s="1"/>
      <c r="D922" s="1"/>
      <c r="E922" s="1"/>
      <c r="F922" s="1"/>
      <c r="G922" s="1"/>
      <c r="H922" s="1"/>
      <c r="I922" s="1"/>
      <c r="J922" s="1"/>
      <c r="K922" s="1"/>
      <c r="L922" s="1"/>
      <c r="M922" s="1"/>
      <c r="N922" s="1"/>
      <c r="O922" s="1"/>
      <c r="P922" s="1"/>
      <c r="Q922" s="1"/>
    </row>
    <row r="923" ht="15.75" customHeight="1">
      <c r="A923" s="1"/>
      <c r="B923" s="1"/>
      <c r="C923" s="1"/>
      <c r="D923" s="1"/>
      <c r="E923" s="1"/>
      <c r="F923" s="1"/>
      <c r="G923" s="1"/>
      <c r="H923" s="1"/>
      <c r="I923" s="1"/>
      <c r="J923" s="1"/>
      <c r="K923" s="1"/>
      <c r="L923" s="1"/>
      <c r="M923" s="1"/>
      <c r="N923" s="1"/>
      <c r="O923" s="1"/>
      <c r="P923" s="1"/>
      <c r="Q923" s="1"/>
    </row>
    <row r="924" ht="15.75" customHeight="1">
      <c r="A924" s="1"/>
      <c r="B924" s="1"/>
      <c r="C924" s="1"/>
      <c r="D924" s="1"/>
      <c r="E924" s="1"/>
      <c r="F924" s="1"/>
      <c r="G924" s="1"/>
      <c r="H924" s="1"/>
      <c r="I924" s="1"/>
      <c r="J924" s="1"/>
      <c r="K924" s="1"/>
      <c r="L924" s="1"/>
      <c r="M924" s="1"/>
      <c r="N924" s="1"/>
      <c r="O924" s="1"/>
      <c r="P924" s="1"/>
      <c r="Q924" s="1"/>
    </row>
    <row r="925" ht="15.75" customHeight="1">
      <c r="A925" s="1"/>
      <c r="B925" s="1"/>
      <c r="C925" s="1"/>
      <c r="D925" s="1"/>
      <c r="E925" s="1"/>
      <c r="F925" s="1"/>
      <c r="G925" s="1"/>
      <c r="H925" s="1"/>
      <c r="I925" s="1"/>
      <c r="J925" s="1"/>
      <c r="K925" s="1"/>
      <c r="L925" s="1"/>
      <c r="M925" s="1"/>
      <c r="N925" s="1"/>
      <c r="O925" s="1"/>
      <c r="P925" s="1"/>
      <c r="Q925" s="1"/>
    </row>
    <row r="926" ht="15.75" customHeight="1">
      <c r="A926" s="1"/>
      <c r="B926" s="1"/>
      <c r="C926" s="1"/>
      <c r="D926" s="1"/>
      <c r="E926" s="1"/>
      <c r="F926" s="1"/>
      <c r="G926" s="1"/>
      <c r="H926" s="1"/>
      <c r="I926" s="1"/>
      <c r="J926" s="1"/>
      <c r="K926" s="1"/>
      <c r="L926" s="1"/>
      <c r="M926" s="1"/>
      <c r="N926" s="1"/>
      <c r="O926" s="1"/>
      <c r="P926" s="1"/>
      <c r="Q926" s="1"/>
    </row>
    <row r="927" ht="15.75" customHeight="1">
      <c r="A927" s="1"/>
      <c r="B927" s="1"/>
      <c r="C927" s="1"/>
      <c r="D927" s="1"/>
      <c r="E927" s="1"/>
      <c r="F927" s="1"/>
      <c r="G927" s="1"/>
      <c r="H927" s="1"/>
      <c r="I927" s="1"/>
      <c r="J927" s="1"/>
      <c r="K927" s="1"/>
      <c r="L927" s="1"/>
      <c r="M927" s="1"/>
      <c r="N927" s="1"/>
      <c r="O927" s="1"/>
      <c r="P927" s="1"/>
      <c r="Q927" s="1"/>
    </row>
    <row r="928" ht="15.75" customHeight="1">
      <c r="A928" s="1"/>
      <c r="B928" s="1"/>
      <c r="C928" s="1"/>
      <c r="D928" s="1"/>
      <c r="E928" s="1"/>
      <c r="F928" s="1"/>
      <c r="G928" s="1"/>
      <c r="H928" s="1"/>
      <c r="I928" s="1"/>
      <c r="J928" s="1"/>
      <c r="K928" s="1"/>
      <c r="L928" s="1"/>
      <c r="M928" s="1"/>
      <c r="N928" s="1"/>
      <c r="O928" s="1"/>
      <c r="P928" s="1"/>
      <c r="Q928" s="1"/>
    </row>
    <row r="929" ht="15.75" customHeight="1">
      <c r="A929" s="1"/>
      <c r="B929" s="1"/>
      <c r="C929" s="1"/>
      <c r="D929" s="1"/>
      <c r="E929" s="1"/>
      <c r="F929" s="1"/>
      <c r="G929" s="1"/>
      <c r="H929" s="1"/>
      <c r="I929" s="1"/>
      <c r="J929" s="1"/>
      <c r="K929" s="1"/>
      <c r="L929" s="1"/>
      <c r="M929" s="1"/>
      <c r="N929" s="1"/>
      <c r="O929" s="1"/>
      <c r="P929" s="1"/>
      <c r="Q929" s="1"/>
    </row>
    <row r="930" ht="15.75" customHeight="1">
      <c r="A930" s="1"/>
      <c r="B930" s="1"/>
      <c r="C930" s="1"/>
      <c r="D930" s="1"/>
      <c r="E930" s="1"/>
      <c r="F930" s="1"/>
      <c r="G930" s="1"/>
      <c r="H930" s="1"/>
      <c r="I930" s="1"/>
      <c r="J930" s="1"/>
      <c r="K930" s="1"/>
      <c r="L930" s="1"/>
      <c r="M930" s="1"/>
      <c r="N930" s="1"/>
      <c r="O930" s="1"/>
      <c r="P930" s="1"/>
      <c r="Q930" s="1"/>
    </row>
    <row r="931" ht="15.75" customHeight="1">
      <c r="A931" s="1"/>
      <c r="B931" s="1"/>
      <c r="C931" s="1"/>
      <c r="D931" s="1"/>
      <c r="E931" s="1"/>
      <c r="F931" s="1"/>
      <c r="G931" s="1"/>
      <c r="H931" s="1"/>
      <c r="I931" s="1"/>
      <c r="J931" s="1"/>
      <c r="K931" s="1"/>
      <c r="L931" s="1"/>
      <c r="M931" s="1"/>
      <c r="N931" s="1"/>
      <c r="O931" s="1"/>
      <c r="P931" s="1"/>
      <c r="Q931" s="1"/>
    </row>
    <row r="932" ht="15.75" customHeight="1">
      <c r="A932" s="1"/>
      <c r="B932" s="1"/>
      <c r="C932" s="1"/>
      <c r="D932" s="1"/>
      <c r="E932" s="1"/>
      <c r="F932" s="1"/>
      <c r="G932" s="1"/>
      <c r="H932" s="1"/>
      <c r="I932" s="1"/>
      <c r="J932" s="1"/>
      <c r="K932" s="1"/>
      <c r="L932" s="1"/>
      <c r="M932" s="1"/>
      <c r="N932" s="1"/>
      <c r="O932" s="1"/>
      <c r="P932" s="1"/>
      <c r="Q932" s="1"/>
    </row>
    <row r="933" ht="15.75" customHeight="1">
      <c r="A933" s="1"/>
      <c r="B933" s="1"/>
      <c r="C933" s="1"/>
      <c r="D933" s="1"/>
      <c r="E933" s="1"/>
      <c r="F933" s="1"/>
      <c r="G933" s="1"/>
      <c r="H933" s="1"/>
      <c r="I933" s="1"/>
      <c r="J933" s="1"/>
      <c r="K933" s="1"/>
      <c r="L933" s="1"/>
      <c r="M933" s="1"/>
      <c r="N933" s="1"/>
      <c r="O933" s="1"/>
      <c r="P933" s="1"/>
      <c r="Q933" s="1"/>
    </row>
    <row r="934" ht="15.75" customHeight="1">
      <c r="A934" s="1"/>
      <c r="B934" s="1"/>
      <c r="C934" s="1"/>
      <c r="D934" s="1"/>
      <c r="E934" s="1"/>
      <c r="F934" s="1"/>
      <c r="G934" s="1"/>
      <c r="H934" s="1"/>
      <c r="I934" s="1"/>
      <c r="J934" s="1"/>
      <c r="K934" s="1"/>
      <c r="L934" s="1"/>
      <c r="M934" s="1"/>
      <c r="N934" s="1"/>
      <c r="O934" s="1"/>
      <c r="P934" s="1"/>
      <c r="Q934" s="1"/>
    </row>
    <row r="935" ht="15.75" customHeight="1">
      <c r="A935" s="1"/>
      <c r="B935" s="1"/>
      <c r="C935" s="1"/>
      <c r="D935" s="1"/>
      <c r="E935" s="1"/>
      <c r="F935" s="1"/>
      <c r="G935" s="1"/>
      <c r="H935" s="1"/>
      <c r="I935" s="1"/>
      <c r="J935" s="1"/>
      <c r="K935" s="1"/>
      <c r="L935" s="1"/>
      <c r="M935" s="1"/>
      <c r="N935" s="1"/>
      <c r="O935" s="1"/>
      <c r="P935" s="1"/>
      <c r="Q935" s="1"/>
    </row>
    <row r="936" ht="15.75" customHeight="1">
      <c r="A936" s="1"/>
      <c r="B936" s="1"/>
      <c r="C936" s="1"/>
      <c r="D936" s="1"/>
      <c r="E936" s="1"/>
      <c r="F936" s="1"/>
      <c r="G936" s="1"/>
      <c r="H936" s="1"/>
      <c r="I936" s="1"/>
      <c r="J936" s="1"/>
      <c r="K936" s="1"/>
      <c r="L936" s="1"/>
      <c r="M936" s="1"/>
      <c r="N936" s="1"/>
      <c r="O936" s="1"/>
      <c r="P936" s="1"/>
      <c r="Q936" s="1"/>
    </row>
    <row r="937" ht="15.75" customHeight="1">
      <c r="A937" s="1"/>
      <c r="B937" s="1"/>
      <c r="C937" s="1"/>
      <c r="D937" s="1"/>
      <c r="E937" s="1"/>
      <c r="F937" s="1"/>
      <c r="G937" s="1"/>
      <c r="H937" s="1"/>
      <c r="I937" s="1"/>
      <c r="J937" s="1"/>
      <c r="K937" s="1"/>
      <c r="L937" s="1"/>
      <c r="M937" s="1"/>
      <c r="N937" s="1"/>
      <c r="O937" s="1"/>
      <c r="P937" s="1"/>
      <c r="Q937" s="1"/>
    </row>
    <row r="938" ht="15.75" customHeight="1">
      <c r="A938" s="1"/>
      <c r="B938" s="1"/>
      <c r="C938" s="1"/>
      <c r="D938" s="1"/>
      <c r="E938" s="1"/>
      <c r="F938" s="1"/>
      <c r="G938" s="1"/>
      <c r="H938" s="1"/>
      <c r="I938" s="1"/>
      <c r="J938" s="1"/>
      <c r="K938" s="1"/>
      <c r="L938" s="1"/>
      <c r="M938" s="1"/>
      <c r="N938" s="1"/>
      <c r="O938" s="1"/>
      <c r="P938" s="1"/>
      <c r="Q938" s="1"/>
    </row>
    <row r="939" ht="15.75" customHeight="1">
      <c r="A939" s="1"/>
      <c r="B939" s="1"/>
      <c r="C939" s="1"/>
      <c r="D939" s="1"/>
      <c r="E939" s="1"/>
      <c r="F939" s="1"/>
      <c r="G939" s="1"/>
      <c r="H939" s="1"/>
      <c r="I939" s="1"/>
      <c r="J939" s="1"/>
      <c r="K939" s="1"/>
      <c r="L939" s="1"/>
      <c r="M939" s="1"/>
      <c r="N939" s="1"/>
      <c r="O939" s="1"/>
      <c r="P939" s="1"/>
      <c r="Q939" s="1"/>
    </row>
    <row r="940" ht="15.75" customHeight="1">
      <c r="A940" s="1"/>
      <c r="B940" s="1"/>
      <c r="C940" s="1"/>
      <c r="D940" s="1"/>
      <c r="E940" s="1"/>
      <c r="F940" s="1"/>
      <c r="G940" s="1"/>
      <c r="H940" s="1"/>
      <c r="I940" s="1"/>
      <c r="J940" s="1"/>
      <c r="K940" s="1"/>
      <c r="L940" s="1"/>
      <c r="M940" s="1"/>
      <c r="N940" s="1"/>
      <c r="O940" s="1"/>
      <c r="P940" s="1"/>
      <c r="Q940" s="1"/>
    </row>
    <row r="941" ht="15.75" customHeight="1">
      <c r="A941" s="1"/>
      <c r="B941" s="1"/>
      <c r="C941" s="1"/>
      <c r="D941" s="1"/>
      <c r="E941" s="1"/>
      <c r="F941" s="1"/>
      <c r="G941" s="1"/>
      <c r="H941" s="1"/>
      <c r="I941" s="1"/>
      <c r="J941" s="1"/>
      <c r="K941" s="1"/>
      <c r="L941" s="1"/>
      <c r="M941" s="1"/>
      <c r="N941" s="1"/>
      <c r="O941" s="1"/>
      <c r="P941" s="1"/>
      <c r="Q941" s="1"/>
    </row>
    <row r="942" ht="15.75" customHeight="1">
      <c r="A942" s="1"/>
      <c r="B942" s="1"/>
      <c r="C942" s="1"/>
      <c r="D942" s="1"/>
      <c r="E942" s="1"/>
      <c r="F942" s="1"/>
      <c r="G942" s="1"/>
      <c r="H942" s="1"/>
      <c r="I942" s="1"/>
      <c r="J942" s="1"/>
      <c r="K942" s="1"/>
      <c r="L942" s="1"/>
      <c r="M942" s="1"/>
      <c r="N942" s="1"/>
      <c r="O942" s="1"/>
      <c r="P942" s="1"/>
      <c r="Q942" s="1"/>
    </row>
    <row r="943" ht="15.75" customHeight="1">
      <c r="A943" s="1"/>
      <c r="B943" s="1"/>
      <c r="C943" s="1"/>
      <c r="D943" s="1"/>
      <c r="E943" s="1"/>
      <c r="F943" s="1"/>
      <c r="G943" s="1"/>
      <c r="H943" s="1"/>
      <c r="I943" s="1"/>
      <c r="J943" s="1"/>
      <c r="K943" s="1"/>
      <c r="L943" s="1"/>
      <c r="M943" s="1"/>
      <c r="N943" s="1"/>
      <c r="O943" s="1"/>
      <c r="P943" s="1"/>
      <c r="Q943" s="1"/>
    </row>
    <row r="944" ht="15.75" customHeight="1">
      <c r="A944" s="1"/>
      <c r="B944" s="1"/>
      <c r="C944" s="1"/>
      <c r="D944" s="1"/>
      <c r="E944" s="1"/>
      <c r="F944" s="1"/>
      <c r="G944" s="1"/>
      <c r="H944" s="1"/>
      <c r="I944" s="1"/>
      <c r="J944" s="1"/>
      <c r="K944" s="1"/>
      <c r="L944" s="1"/>
      <c r="M944" s="1"/>
      <c r="N944" s="1"/>
      <c r="O944" s="1"/>
      <c r="P944" s="1"/>
      <c r="Q944" s="1"/>
    </row>
    <row r="945" ht="15.75" customHeight="1">
      <c r="A945" s="1"/>
      <c r="B945" s="1"/>
      <c r="C945" s="1"/>
      <c r="D945" s="1"/>
      <c r="E945" s="1"/>
      <c r="F945" s="1"/>
      <c r="G945" s="1"/>
      <c r="H945" s="1"/>
      <c r="I945" s="1"/>
      <c r="J945" s="1"/>
      <c r="K945" s="1"/>
      <c r="L945" s="1"/>
      <c r="M945" s="1"/>
      <c r="N945" s="1"/>
      <c r="O945" s="1"/>
      <c r="P945" s="1"/>
      <c r="Q945" s="1"/>
    </row>
    <row r="946" ht="15.75" customHeight="1">
      <c r="A946" s="1"/>
      <c r="B946" s="1"/>
      <c r="C946" s="1"/>
      <c r="D946" s="1"/>
      <c r="E946" s="1"/>
      <c r="F946" s="1"/>
      <c r="G946" s="1"/>
      <c r="H946" s="1"/>
      <c r="I946" s="1"/>
      <c r="J946" s="1"/>
      <c r="K946" s="1"/>
      <c r="L946" s="1"/>
      <c r="M946" s="1"/>
      <c r="N946" s="1"/>
      <c r="O946" s="1"/>
      <c r="P946" s="1"/>
      <c r="Q946" s="1"/>
    </row>
    <row r="947" ht="15.75" customHeight="1">
      <c r="A947" s="1"/>
      <c r="B947" s="1"/>
      <c r="C947" s="1"/>
      <c r="D947" s="1"/>
      <c r="E947" s="1"/>
      <c r="F947" s="1"/>
      <c r="G947" s="1"/>
      <c r="H947" s="1"/>
      <c r="I947" s="1"/>
      <c r="J947" s="1"/>
      <c r="K947" s="1"/>
      <c r="L947" s="1"/>
      <c r="M947" s="1"/>
      <c r="N947" s="1"/>
      <c r="O947" s="1"/>
      <c r="P947" s="1"/>
      <c r="Q947" s="1"/>
    </row>
    <row r="948" ht="15.75" customHeight="1">
      <c r="A948" s="1"/>
      <c r="B948" s="1"/>
      <c r="C948" s="1"/>
      <c r="D948" s="1"/>
      <c r="E948" s="1"/>
      <c r="F948" s="1"/>
      <c r="G948" s="1"/>
      <c r="H948" s="1"/>
      <c r="I948" s="1"/>
      <c r="J948" s="1"/>
      <c r="K948" s="1"/>
      <c r="L948" s="1"/>
      <c r="M948" s="1"/>
      <c r="N948" s="1"/>
      <c r="O948" s="1"/>
      <c r="P948" s="1"/>
      <c r="Q948" s="1"/>
    </row>
    <row r="949" ht="15.75" customHeight="1">
      <c r="A949" s="1"/>
      <c r="B949" s="1"/>
      <c r="C949" s="1"/>
      <c r="D949" s="1"/>
      <c r="E949" s="1"/>
      <c r="F949" s="1"/>
      <c r="G949" s="1"/>
      <c r="H949" s="1"/>
      <c r="I949" s="1"/>
      <c r="J949" s="1"/>
      <c r="K949" s="1"/>
      <c r="L949" s="1"/>
      <c r="M949" s="1"/>
      <c r="N949" s="1"/>
      <c r="O949" s="1"/>
      <c r="P949" s="1"/>
      <c r="Q949" s="1"/>
    </row>
    <row r="950" ht="15.75" customHeight="1">
      <c r="A950" s="1"/>
      <c r="B950" s="1"/>
      <c r="C950" s="1"/>
      <c r="D950" s="1"/>
      <c r="E950" s="1"/>
      <c r="F950" s="1"/>
      <c r="G950" s="1"/>
      <c r="H950" s="1"/>
      <c r="I950" s="1"/>
      <c r="J950" s="1"/>
      <c r="K950" s="1"/>
      <c r="L950" s="1"/>
      <c r="M950" s="1"/>
      <c r="N950" s="1"/>
      <c r="O950" s="1"/>
      <c r="P950" s="1"/>
      <c r="Q950" s="1"/>
    </row>
    <row r="951" ht="15.75" customHeight="1">
      <c r="A951" s="1"/>
      <c r="B951" s="1"/>
      <c r="C951" s="1"/>
      <c r="D951" s="1"/>
      <c r="E951" s="1"/>
      <c r="F951" s="1"/>
      <c r="G951" s="1"/>
      <c r="H951" s="1"/>
      <c r="I951" s="1"/>
      <c r="J951" s="1"/>
      <c r="K951" s="1"/>
      <c r="L951" s="1"/>
      <c r="M951" s="1"/>
      <c r="N951" s="1"/>
      <c r="O951" s="1"/>
      <c r="P951" s="1"/>
      <c r="Q951" s="1"/>
    </row>
    <row r="952" ht="15.75" customHeight="1">
      <c r="A952" s="1"/>
      <c r="B952" s="1"/>
      <c r="C952" s="1"/>
      <c r="D952" s="1"/>
      <c r="E952" s="1"/>
      <c r="F952" s="1"/>
      <c r="G952" s="1"/>
      <c r="H952" s="1"/>
      <c r="I952" s="1"/>
      <c r="J952" s="1"/>
      <c r="K952" s="1"/>
      <c r="L952" s="1"/>
      <c r="M952" s="1"/>
      <c r="N952" s="1"/>
      <c r="O952" s="1"/>
      <c r="P952" s="1"/>
      <c r="Q952" s="1"/>
    </row>
    <row r="953" ht="15.75" customHeight="1">
      <c r="A953" s="1"/>
      <c r="B953" s="1"/>
      <c r="C953" s="1"/>
      <c r="D953" s="1"/>
      <c r="E953" s="1"/>
      <c r="F953" s="1"/>
      <c r="G953" s="1"/>
      <c r="H953" s="1"/>
      <c r="I953" s="1"/>
      <c r="J953" s="1"/>
      <c r="K953" s="1"/>
      <c r="L953" s="1"/>
      <c r="M953" s="1"/>
      <c r="N953" s="1"/>
      <c r="O953" s="1"/>
      <c r="P953" s="1"/>
      <c r="Q953" s="1"/>
    </row>
    <row r="954" ht="15.75" customHeight="1">
      <c r="A954" s="1"/>
      <c r="B954" s="1"/>
      <c r="C954" s="1"/>
      <c r="D954" s="1"/>
      <c r="E954" s="1"/>
      <c r="F954" s="1"/>
      <c r="G954" s="1"/>
      <c r="H954" s="1"/>
      <c r="I954" s="1"/>
      <c r="J954" s="1"/>
      <c r="K954" s="1"/>
      <c r="L954" s="1"/>
      <c r="M954" s="1"/>
      <c r="N954" s="1"/>
      <c r="O954" s="1"/>
      <c r="P954" s="1"/>
      <c r="Q954" s="1"/>
    </row>
    <row r="955" ht="15.75" customHeight="1">
      <c r="A955" s="1"/>
      <c r="B955" s="1"/>
      <c r="C955" s="1"/>
      <c r="D955" s="1"/>
      <c r="E955" s="1"/>
      <c r="F955" s="1"/>
      <c r="G955" s="1"/>
      <c r="H955" s="1"/>
      <c r="I955" s="1"/>
      <c r="J955" s="1"/>
      <c r="K955" s="1"/>
      <c r="L955" s="1"/>
      <c r="M955" s="1"/>
      <c r="N955" s="1"/>
      <c r="O955" s="1"/>
      <c r="P955" s="1"/>
      <c r="Q955" s="1"/>
    </row>
    <row r="956" ht="15.75" customHeight="1">
      <c r="A956" s="1"/>
      <c r="B956" s="1"/>
      <c r="C956" s="1"/>
      <c r="D956" s="1"/>
      <c r="E956" s="1"/>
      <c r="F956" s="1"/>
      <c r="G956" s="1"/>
      <c r="H956" s="1"/>
      <c r="I956" s="1"/>
      <c r="J956" s="1"/>
      <c r="K956" s="1"/>
      <c r="L956" s="1"/>
      <c r="M956" s="1"/>
      <c r="N956" s="1"/>
      <c r="O956" s="1"/>
      <c r="P956" s="1"/>
      <c r="Q956" s="1"/>
    </row>
    <row r="957" ht="15.75" customHeight="1">
      <c r="A957" s="1"/>
      <c r="B957" s="1"/>
      <c r="C957" s="1"/>
      <c r="D957" s="1"/>
      <c r="E957" s="1"/>
      <c r="F957" s="1"/>
      <c r="G957" s="1"/>
      <c r="H957" s="1"/>
      <c r="I957" s="1"/>
      <c r="J957" s="1"/>
      <c r="K957" s="1"/>
      <c r="L957" s="1"/>
      <c r="M957" s="1"/>
      <c r="N957" s="1"/>
      <c r="O957" s="1"/>
      <c r="P957" s="1"/>
      <c r="Q957" s="1"/>
    </row>
    <row r="958" ht="15.75" customHeight="1">
      <c r="A958" s="1"/>
      <c r="B958" s="1"/>
      <c r="C958" s="1"/>
      <c r="D958" s="1"/>
      <c r="E958" s="1"/>
      <c r="F958" s="1"/>
      <c r="G958" s="1"/>
      <c r="H958" s="1"/>
      <c r="I958" s="1"/>
      <c r="J958" s="1"/>
      <c r="K958" s="1"/>
      <c r="L958" s="1"/>
      <c r="M958" s="1"/>
      <c r="N958" s="1"/>
      <c r="O958" s="1"/>
      <c r="P958" s="1"/>
      <c r="Q958" s="1"/>
    </row>
    <row r="959" ht="15.75" customHeight="1">
      <c r="A959" s="1"/>
      <c r="B959" s="1"/>
      <c r="C959" s="1"/>
      <c r="D959" s="1"/>
      <c r="E959" s="1"/>
      <c r="F959" s="1"/>
      <c r="G959" s="1"/>
      <c r="H959" s="1"/>
      <c r="I959" s="1"/>
      <c r="J959" s="1"/>
      <c r="K959" s="1"/>
      <c r="L959" s="1"/>
      <c r="M959" s="1"/>
      <c r="N959" s="1"/>
      <c r="O959" s="1"/>
      <c r="P959" s="1"/>
      <c r="Q959" s="1"/>
    </row>
    <row r="960" ht="15.75" customHeight="1">
      <c r="A960" s="1"/>
      <c r="B960" s="1"/>
      <c r="C960" s="1"/>
      <c r="D960" s="1"/>
      <c r="E960" s="1"/>
      <c r="F960" s="1"/>
      <c r="G960" s="1"/>
      <c r="H960" s="1"/>
      <c r="I960" s="1"/>
      <c r="J960" s="1"/>
      <c r="K960" s="1"/>
      <c r="L960" s="1"/>
      <c r="M960" s="1"/>
      <c r="N960" s="1"/>
      <c r="O960" s="1"/>
      <c r="P960" s="1"/>
      <c r="Q960" s="1"/>
    </row>
    <row r="961" ht="15.75" customHeight="1">
      <c r="A961" s="1"/>
      <c r="B961" s="1"/>
      <c r="C961" s="1"/>
      <c r="D961" s="1"/>
      <c r="E961" s="1"/>
      <c r="F961" s="1"/>
      <c r="G961" s="1"/>
      <c r="H961" s="1"/>
      <c r="I961" s="1"/>
      <c r="J961" s="1"/>
      <c r="K961" s="1"/>
      <c r="L961" s="1"/>
      <c r="M961" s="1"/>
      <c r="N961" s="1"/>
      <c r="O961" s="1"/>
      <c r="P961" s="1"/>
      <c r="Q961" s="1"/>
    </row>
    <row r="962" ht="15.75" customHeight="1">
      <c r="A962" s="1"/>
      <c r="B962" s="1"/>
      <c r="C962" s="1"/>
      <c r="D962" s="1"/>
      <c r="E962" s="1"/>
      <c r="F962" s="1"/>
      <c r="G962" s="1"/>
      <c r="H962" s="1"/>
      <c r="I962" s="1"/>
      <c r="J962" s="1"/>
      <c r="K962" s="1"/>
      <c r="L962" s="1"/>
      <c r="M962" s="1"/>
      <c r="N962" s="1"/>
      <c r="O962" s="1"/>
      <c r="P962" s="1"/>
      <c r="Q962" s="1"/>
    </row>
    <row r="963" ht="15.75" customHeight="1">
      <c r="A963" s="1"/>
      <c r="B963" s="1"/>
      <c r="C963" s="1"/>
      <c r="D963" s="1"/>
      <c r="E963" s="1"/>
      <c r="F963" s="1"/>
      <c r="G963" s="1"/>
      <c r="H963" s="1"/>
      <c r="I963" s="1"/>
      <c r="J963" s="1"/>
      <c r="K963" s="1"/>
      <c r="L963" s="1"/>
      <c r="M963" s="1"/>
      <c r="N963" s="1"/>
      <c r="O963" s="1"/>
      <c r="P963" s="1"/>
      <c r="Q963" s="1"/>
    </row>
    <row r="964" ht="15.75" customHeight="1">
      <c r="A964" s="1"/>
      <c r="B964" s="1"/>
      <c r="C964" s="1"/>
      <c r="D964" s="1"/>
      <c r="E964" s="1"/>
      <c r="F964" s="1"/>
      <c r="G964" s="1"/>
      <c r="H964" s="1"/>
      <c r="I964" s="1"/>
      <c r="J964" s="1"/>
      <c r="K964" s="1"/>
      <c r="L964" s="1"/>
      <c r="M964" s="1"/>
      <c r="N964" s="1"/>
      <c r="O964" s="1"/>
      <c r="P964" s="1"/>
      <c r="Q964" s="1"/>
    </row>
    <row r="965" ht="15.75" customHeight="1">
      <c r="A965" s="1"/>
      <c r="B965" s="1"/>
      <c r="C965" s="1"/>
      <c r="D965" s="1"/>
      <c r="E965" s="1"/>
      <c r="F965" s="1"/>
      <c r="G965" s="1"/>
      <c r="H965" s="1"/>
      <c r="I965" s="1"/>
      <c r="J965" s="1"/>
      <c r="K965" s="1"/>
      <c r="L965" s="1"/>
      <c r="M965" s="1"/>
      <c r="N965" s="1"/>
      <c r="O965" s="1"/>
      <c r="P965" s="1"/>
      <c r="Q965" s="1"/>
    </row>
    <row r="966" ht="15.75" customHeight="1">
      <c r="A966" s="1"/>
      <c r="B966" s="1"/>
      <c r="C966" s="1"/>
      <c r="D966" s="1"/>
      <c r="E966" s="1"/>
      <c r="F966" s="1"/>
      <c r="G966" s="1"/>
      <c r="H966" s="1"/>
      <c r="I966" s="1"/>
      <c r="J966" s="1"/>
      <c r="K966" s="1"/>
      <c r="L966" s="1"/>
      <c r="M966" s="1"/>
      <c r="N966" s="1"/>
      <c r="O966" s="1"/>
      <c r="P966" s="1"/>
      <c r="Q966" s="1"/>
    </row>
    <row r="967" ht="15.75" customHeight="1">
      <c r="A967" s="1"/>
      <c r="B967" s="1"/>
      <c r="C967" s="1"/>
      <c r="D967" s="1"/>
      <c r="E967" s="1"/>
      <c r="F967" s="1"/>
      <c r="G967" s="1"/>
      <c r="H967" s="1"/>
      <c r="I967" s="1"/>
      <c r="J967" s="1"/>
      <c r="K967" s="1"/>
      <c r="L967" s="1"/>
      <c r="M967" s="1"/>
      <c r="N967" s="1"/>
      <c r="O967" s="1"/>
      <c r="P967" s="1"/>
      <c r="Q967" s="1"/>
    </row>
    <row r="968" ht="15.75" customHeight="1">
      <c r="A968" s="1"/>
      <c r="B968" s="1"/>
      <c r="C968" s="1"/>
      <c r="D968" s="1"/>
      <c r="E968" s="1"/>
      <c r="F968" s="1"/>
      <c r="G968" s="1"/>
      <c r="H968" s="1"/>
      <c r="I968" s="1"/>
      <c r="J968" s="1"/>
      <c r="K968" s="1"/>
      <c r="L968" s="1"/>
      <c r="M968" s="1"/>
      <c r="N968" s="1"/>
      <c r="O968" s="1"/>
      <c r="P968" s="1"/>
      <c r="Q968" s="1"/>
    </row>
    <row r="969" ht="15.75" customHeight="1">
      <c r="A969" s="1"/>
      <c r="B969" s="1"/>
      <c r="C969" s="1"/>
      <c r="D969" s="1"/>
      <c r="E969" s="1"/>
      <c r="F969" s="1"/>
      <c r="G969" s="1"/>
      <c r="H969" s="1"/>
      <c r="I969" s="1"/>
      <c r="J969" s="1"/>
      <c r="K969" s="1"/>
      <c r="L969" s="1"/>
      <c r="M969" s="1"/>
      <c r="N969" s="1"/>
      <c r="O969" s="1"/>
      <c r="P969" s="1"/>
      <c r="Q969" s="1"/>
    </row>
    <row r="970" ht="15.75" customHeight="1">
      <c r="A970" s="1"/>
      <c r="B970" s="1"/>
      <c r="C970" s="1"/>
      <c r="D970" s="1"/>
      <c r="E970" s="1"/>
      <c r="F970" s="1"/>
      <c r="G970" s="1"/>
      <c r="H970" s="1"/>
      <c r="I970" s="1"/>
      <c r="J970" s="1"/>
      <c r="K970" s="1"/>
      <c r="L970" s="1"/>
      <c r="M970" s="1"/>
      <c r="N970" s="1"/>
      <c r="O970" s="1"/>
      <c r="P970" s="1"/>
      <c r="Q970" s="1"/>
    </row>
    <row r="971" ht="15.75" customHeight="1">
      <c r="A971" s="1"/>
      <c r="B971" s="1"/>
      <c r="C971" s="1"/>
      <c r="D971" s="1"/>
      <c r="E971" s="1"/>
      <c r="F971" s="1"/>
      <c r="G971" s="1"/>
      <c r="H971" s="1"/>
      <c r="I971" s="1"/>
      <c r="J971" s="1"/>
      <c r="K971" s="1"/>
      <c r="L971" s="1"/>
      <c r="M971" s="1"/>
      <c r="N971" s="1"/>
      <c r="O971" s="1"/>
      <c r="P971" s="1"/>
      <c r="Q971" s="1"/>
    </row>
    <row r="972" ht="15.75" customHeight="1">
      <c r="A972" s="1"/>
      <c r="B972" s="1"/>
      <c r="C972" s="1"/>
      <c r="D972" s="1"/>
      <c r="E972" s="1"/>
      <c r="F972" s="1"/>
      <c r="G972" s="1"/>
      <c r="H972" s="1"/>
      <c r="I972" s="1"/>
      <c r="J972" s="1"/>
      <c r="K972" s="1"/>
      <c r="L972" s="1"/>
      <c r="M972" s="1"/>
      <c r="N972" s="1"/>
      <c r="O972" s="1"/>
      <c r="P972" s="1"/>
      <c r="Q972" s="1"/>
    </row>
    <row r="973" ht="15.75" customHeight="1">
      <c r="A973" s="1"/>
      <c r="B973" s="1"/>
      <c r="C973" s="1"/>
      <c r="D973" s="1"/>
      <c r="E973" s="1"/>
      <c r="F973" s="1"/>
      <c r="G973" s="1"/>
      <c r="H973" s="1"/>
      <c r="I973" s="1"/>
      <c r="J973" s="1"/>
      <c r="K973" s="1"/>
      <c r="L973" s="1"/>
      <c r="M973" s="1"/>
      <c r="N973" s="1"/>
      <c r="O973" s="1"/>
      <c r="P973" s="1"/>
      <c r="Q973" s="1"/>
    </row>
    <row r="974" ht="15.75" customHeight="1">
      <c r="A974" s="1"/>
      <c r="B974" s="1"/>
      <c r="C974" s="1"/>
      <c r="D974" s="1"/>
      <c r="E974" s="1"/>
      <c r="F974" s="1"/>
      <c r="G974" s="1"/>
      <c r="H974" s="1"/>
      <c r="I974" s="1"/>
      <c r="J974" s="1"/>
      <c r="K974" s="1"/>
      <c r="L974" s="1"/>
      <c r="M974" s="1"/>
      <c r="N974" s="1"/>
      <c r="O974" s="1"/>
      <c r="P974" s="1"/>
      <c r="Q974" s="1"/>
    </row>
    <row r="975" ht="15.75" customHeight="1">
      <c r="A975" s="1"/>
      <c r="B975" s="1"/>
      <c r="C975" s="1"/>
      <c r="D975" s="1"/>
      <c r="E975" s="1"/>
      <c r="F975" s="1"/>
      <c r="G975" s="1"/>
      <c r="H975" s="1"/>
      <c r="I975" s="1"/>
      <c r="J975" s="1"/>
      <c r="K975" s="1"/>
      <c r="L975" s="1"/>
      <c r="M975" s="1"/>
      <c r="N975" s="1"/>
      <c r="O975" s="1"/>
      <c r="P975" s="1"/>
      <c r="Q975" s="1"/>
    </row>
    <row r="976" ht="15.75" customHeight="1">
      <c r="A976" s="1"/>
      <c r="B976" s="1"/>
      <c r="C976" s="1"/>
      <c r="D976" s="1"/>
      <c r="E976" s="1"/>
      <c r="F976" s="1"/>
      <c r="G976" s="1"/>
      <c r="H976" s="1"/>
      <c r="I976" s="1"/>
      <c r="J976" s="1"/>
      <c r="K976" s="1"/>
      <c r="L976" s="1"/>
      <c r="M976" s="1"/>
      <c r="N976" s="1"/>
      <c r="O976" s="1"/>
      <c r="P976" s="1"/>
      <c r="Q976" s="1"/>
    </row>
    <row r="977" ht="15.75" customHeight="1">
      <c r="A977" s="1"/>
      <c r="B977" s="1"/>
      <c r="C977" s="1"/>
      <c r="D977" s="1"/>
      <c r="E977" s="1"/>
      <c r="F977" s="1"/>
      <c r="G977" s="1"/>
      <c r="H977" s="1"/>
      <c r="I977" s="1"/>
      <c r="J977" s="1"/>
      <c r="K977" s="1"/>
      <c r="L977" s="1"/>
      <c r="M977" s="1"/>
      <c r="N977" s="1"/>
      <c r="O977" s="1"/>
      <c r="P977" s="1"/>
      <c r="Q977" s="1"/>
    </row>
    <row r="978" ht="15.75" customHeight="1">
      <c r="A978" s="1"/>
      <c r="B978" s="1"/>
      <c r="C978" s="1"/>
      <c r="D978" s="1"/>
      <c r="E978" s="1"/>
      <c r="F978" s="1"/>
      <c r="G978" s="1"/>
      <c r="H978" s="1"/>
      <c r="I978" s="1"/>
      <c r="J978" s="1"/>
      <c r="K978" s="1"/>
      <c r="L978" s="1"/>
      <c r="M978" s="1"/>
      <c r="N978" s="1"/>
      <c r="O978" s="1"/>
      <c r="P978" s="1"/>
      <c r="Q978" s="1"/>
    </row>
    <row r="979" ht="15.75" customHeight="1">
      <c r="A979" s="1"/>
      <c r="B979" s="1"/>
      <c r="C979" s="1"/>
      <c r="D979" s="1"/>
      <c r="E979" s="1"/>
      <c r="F979" s="1"/>
      <c r="G979" s="1"/>
      <c r="H979" s="1"/>
      <c r="I979" s="1"/>
      <c r="J979" s="1"/>
      <c r="K979" s="1"/>
      <c r="L979" s="1"/>
      <c r="M979" s="1"/>
      <c r="N979" s="1"/>
      <c r="O979" s="1"/>
      <c r="P979" s="1"/>
      <c r="Q979" s="1"/>
    </row>
    <row r="980" ht="15.75" customHeight="1">
      <c r="A980" s="1"/>
      <c r="B980" s="1"/>
      <c r="C980" s="1"/>
      <c r="D980" s="1"/>
      <c r="E980" s="1"/>
      <c r="F980" s="1"/>
      <c r="G980" s="1"/>
      <c r="H980" s="1"/>
      <c r="I980" s="1"/>
      <c r="J980" s="1"/>
      <c r="K980" s="1"/>
      <c r="L980" s="1"/>
      <c r="M980" s="1"/>
      <c r="N980" s="1"/>
      <c r="O980" s="1"/>
      <c r="P980" s="1"/>
      <c r="Q980" s="1"/>
    </row>
    <row r="981" ht="15.75" customHeight="1">
      <c r="A981" s="1"/>
      <c r="B981" s="1"/>
      <c r="C981" s="1"/>
      <c r="D981" s="1"/>
      <c r="E981" s="1"/>
      <c r="F981" s="1"/>
      <c r="G981" s="1"/>
      <c r="H981" s="1"/>
      <c r="I981" s="1"/>
      <c r="J981" s="1"/>
      <c r="K981" s="1"/>
      <c r="L981" s="1"/>
      <c r="M981" s="1"/>
      <c r="N981" s="1"/>
      <c r="O981" s="1"/>
      <c r="P981" s="1"/>
      <c r="Q981" s="1"/>
    </row>
    <row r="982" ht="15.75" customHeight="1">
      <c r="A982" s="1"/>
      <c r="B982" s="1"/>
      <c r="C982" s="1"/>
      <c r="D982" s="1"/>
      <c r="E982" s="1"/>
      <c r="F982" s="1"/>
      <c r="G982" s="1"/>
      <c r="H982" s="1"/>
      <c r="I982" s="1"/>
      <c r="J982" s="1"/>
      <c r="K982" s="1"/>
      <c r="L982" s="1"/>
      <c r="M982" s="1"/>
      <c r="N982" s="1"/>
      <c r="O982" s="1"/>
      <c r="P982" s="1"/>
      <c r="Q982" s="1"/>
    </row>
    <row r="983" ht="15.75" customHeight="1">
      <c r="A983" s="1"/>
      <c r="B983" s="1"/>
      <c r="C983" s="1"/>
      <c r="D983" s="1"/>
      <c r="E983" s="1"/>
      <c r="F983" s="1"/>
      <c r="G983" s="1"/>
      <c r="H983" s="1"/>
      <c r="I983" s="1"/>
      <c r="J983" s="1"/>
      <c r="K983" s="1"/>
      <c r="L983" s="1"/>
      <c r="M983" s="1"/>
      <c r="N983" s="1"/>
      <c r="O983" s="1"/>
      <c r="P983" s="1"/>
      <c r="Q983" s="1"/>
    </row>
    <row r="984" ht="15.75" customHeight="1">
      <c r="A984" s="1"/>
      <c r="B984" s="1"/>
      <c r="C984" s="1"/>
      <c r="D984" s="1"/>
      <c r="E984" s="1"/>
      <c r="F984" s="1"/>
      <c r="G984" s="1"/>
      <c r="H984" s="1"/>
      <c r="I984" s="1"/>
      <c r="J984" s="1"/>
      <c r="K984" s="1"/>
      <c r="L984" s="1"/>
      <c r="M984" s="1"/>
      <c r="N984" s="1"/>
      <c r="O984" s="1"/>
      <c r="P984" s="1"/>
      <c r="Q984" s="1"/>
    </row>
    <row r="985" ht="15.75" customHeight="1">
      <c r="A985" s="1"/>
      <c r="B985" s="1"/>
      <c r="C985" s="1"/>
      <c r="D985" s="1"/>
      <c r="E985" s="1"/>
      <c r="F985" s="1"/>
      <c r="G985" s="1"/>
      <c r="H985" s="1"/>
      <c r="I985" s="1"/>
      <c r="J985" s="1"/>
      <c r="K985" s="1"/>
      <c r="L985" s="1"/>
      <c r="M985" s="1"/>
      <c r="N985" s="1"/>
      <c r="O985" s="1"/>
      <c r="P985" s="1"/>
      <c r="Q985" s="1"/>
    </row>
    <row r="986" ht="15.75" customHeight="1">
      <c r="A986" s="1"/>
      <c r="B986" s="1"/>
      <c r="C986" s="1"/>
      <c r="D986" s="1"/>
      <c r="E986" s="1"/>
      <c r="F986" s="1"/>
      <c r="G986" s="1"/>
      <c r="H986" s="1"/>
      <c r="I986" s="1"/>
      <c r="J986" s="1"/>
      <c r="K986" s="1"/>
      <c r="L986" s="1"/>
      <c r="M986" s="1"/>
      <c r="N986" s="1"/>
      <c r="O986" s="1"/>
      <c r="P986" s="1"/>
      <c r="Q986" s="1"/>
    </row>
    <row r="987" ht="15.75" customHeight="1">
      <c r="A987" s="1"/>
      <c r="B987" s="1"/>
      <c r="C987" s="1"/>
      <c r="D987" s="1"/>
      <c r="E987" s="1"/>
      <c r="F987" s="1"/>
      <c r="G987" s="1"/>
      <c r="H987" s="1"/>
      <c r="I987" s="1"/>
      <c r="J987" s="1"/>
      <c r="K987" s="1"/>
      <c r="L987" s="1"/>
      <c r="M987" s="1"/>
      <c r="N987" s="1"/>
      <c r="O987" s="1"/>
      <c r="P987" s="1"/>
      <c r="Q987" s="1"/>
    </row>
    <row r="988" ht="15.75" customHeight="1">
      <c r="A988" s="1"/>
      <c r="B988" s="1"/>
      <c r="C988" s="1"/>
      <c r="D988" s="1"/>
      <c r="E988" s="1"/>
      <c r="F988" s="1"/>
      <c r="G988" s="1"/>
      <c r="H988" s="1"/>
      <c r="I988" s="1"/>
      <c r="J988" s="1"/>
      <c r="K988" s="1"/>
      <c r="L988" s="1"/>
      <c r="M988" s="1"/>
      <c r="N988" s="1"/>
      <c r="O988" s="1"/>
      <c r="P988" s="1"/>
      <c r="Q988" s="1"/>
    </row>
    <row r="989" ht="15.75" customHeight="1">
      <c r="A989" s="1"/>
      <c r="B989" s="1"/>
      <c r="C989" s="1"/>
      <c r="D989" s="1"/>
      <c r="E989" s="1"/>
      <c r="F989" s="1"/>
      <c r="G989" s="1"/>
      <c r="H989" s="1"/>
      <c r="I989" s="1"/>
      <c r="J989" s="1"/>
      <c r="K989" s="1"/>
      <c r="L989" s="1"/>
      <c r="M989" s="1"/>
      <c r="N989" s="1"/>
      <c r="O989" s="1"/>
      <c r="P989" s="1"/>
      <c r="Q989" s="1"/>
    </row>
    <row r="990" ht="15.75" customHeight="1">
      <c r="A990" s="1"/>
      <c r="B990" s="1"/>
      <c r="C990" s="1"/>
      <c r="D990" s="1"/>
      <c r="E990" s="1"/>
      <c r="F990" s="1"/>
      <c r="G990" s="1"/>
      <c r="H990" s="1"/>
      <c r="I990" s="1"/>
      <c r="J990" s="1"/>
      <c r="K990" s="1"/>
      <c r="L990" s="1"/>
      <c r="M990" s="1"/>
      <c r="N990" s="1"/>
      <c r="O990" s="1"/>
      <c r="P990" s="1"/>
      <c r="Q990" s="1"/>
    </row>
    <row r="991" ht="15.75" customHeight="1">
      <c r="A991" s="1"/>
      <c r="B991" s="1"/>
      <c r="C991" s="1"/>
      <c r="D991" s="1"/>
      <c r="E991" s="1"/>
      <c r="F991" s="1"/>
      <c r="G991" s="1"/>
      <c r="H991" s="1"/>
      <c r="I991" s="1"/>
      <c r="J991" s="1"/>
      <c r="K991" s="1"/>
      <c r="L991" s="1"/>
      <c r="M991" s="1"/>
      <c r="N991" s="1"/>
      <c r="O991" s="1"/>
      <c r="P991" s="1"/>
      <c r="Q991" s="1"/>
    </row>
    <row r="992" ht="15.75" customHeight="1">
      <c r="A992" s="1"/>
      <c r="B992" s="1"/>
      <c r="C992" s="1"/>
      <c r="D992" s="1"/>
      <c r="E992" s="1"/>
      <c r="F992" s="1"/>
      <c r="G992" s="1"/>
      <c r="H992" s="1"/>
      <c r="I992" s="1"/>
      <c r="J992" s="1"/>
      <c r="K992" s="1"/>
      <c r="L992" s="1"/>
      <c r="M992" s="1"/>
      <c r="N992" s="1"/>
      <c r="O992" s="1"/>
      <c r="P992" s="1"/>
      <c r="Q992" s="1"/>
    </row>
    <row r="993" ht="15.75" customHeight="1">
      <c r="A993" s="1"/>
      <c r="B993" s="1"/>
      <c r="C993" s="1"/>
      <c r="D993" s="1"/>
      <c r="E993" s="1"/>
      <c r="F993" s="1"/>
      <c r="G993" s="1"/>
      <c r="H993" s="1"/>
      <c r="I993" s="1"/>
      <c r="J993" s="1"/>
      <c r="K993" s="1"/>
      <c r="L993" s="1"/>
      <c r="M993" s="1"/>
      <c r="N993" s="1"/>
      <c r="O993" s="1"/>
      <c r="P993" s="1"/>
      <c r="Q993" s="1"/>
    </row>
    <row r="994" ht="15.75" customHeight="1">
      <c r="A994" s="1"/>
      <c r="B994" s="1"/>
      <c r="C994" s="1"/>
      <c r="D994" s="1"/>
      <c r="E994" s="1"/>
      <c r="F994" s="1"/>
      <c r="G994" s="1"/>
      <c r="H994" s="1"/>
      <c r="I994" s="1"/>
      <c r="J994" s="1"/>
      <c r="K994" s="1"/>
      <c r="L994" s="1"/>
      <c r="M994" s="1"/>
      <c r="N994" s="1"/>
      <c r="O994" s="1"/>
      <c r="P994" s="1"/>
      <c r="Q994" s="1"/>
    </row>
    <row r="995" ht="15.75" customHeight="1">
      <c r="A995" s="1"/>
      <c r="B995" s="1"/>
      <c r="C995" s="1"/>
      <c r="D995" s="1"/>
      <c r="E995" s="1"/>
      <c r="F995" s="1"/>
      <c r="G995" s="1"/>
      <c r="H995" s="1"/>
      <c r="I995" s="1"/>
      <c r="J995" s="1"/>
      <c r="K995" s="1"/>
      <c r="L995" s="1"/>
      <c r="M995" s="1"/>
      <c r="N995" s="1"/>
      <c r="O995" s="1"/>
      <c r="P995" s="1"/>
      <c r="Q995" s="1"/>
    </row>
    <row r="996" ht="15.75" customHeight="1">
      <c r="A996" s="1"/>
      <c r="B996" s="1"/>
      <c r="C996" s="1"/>
      <c r="D996" s="1"/>
      <c r="E996" s="1"/>
      <c r="F996" s="1"/>
      <c r="G996" s="1"/>
      <c r="H996" s="1"/>
      <c r="I996" s="1"/>
      <c r="J996" s="1"/>
      <c r="K996" s="1"/>
      <c r="L996" s="1"/>
      <c r="M996" s="1"/>
      <c r="N996" s="1"/>
      <c r="O996" s="1"/>
      <c r="P996" s="1"/>
      <c r="Q996" s="1"/>
    </row>
    <row r="997" ht="15.75" customHeight="1">
      <c r="A997" s="1"/>
      <c r="B997" s="1"/>
      <c r="C997" s="1"/>
      <c r="D997" s="1"/>
      <c r="E997" s="1"/>
      <c r="F997" s="1"/>
      <c r="G997" s="1"/>
      <c r="H997" s="1"/>
      <c r="I997" s="1"/>
      <c r="J997" s="1"/>
      <c r="K997" s="1"/>
      <c r="L997" s="1"/>
      <c r="M997" s="1"/>
      <c r="N997" s="1"/>
      <c r="O997" s="1"/>
      <c r="P997" s="1"/>
      <c r="Q997" s="1"/>
    </row>
    <row r="998" ht="15.75" customHeight="1">
      <c r="A998" s="1"/>
      <c r="B998" s="1"/>
      <c r="C998" s="1"/>
      <c r="D998" s="1"/>
      <c r="E998" s="1"/>
      <c r="F998" s="1"/>
      <c r="G998" s="1"/>
      <c r="H998" s="1"/>
      <c r="I998" s="1"/>
      <c r="J998" s="1"/>
      <c r="K998" s="1"/>
      <c r="L998" s="1"/>
      <c r="M998" s="1"/>
      <c r="N998" s="1"/>
      <c r="O998" s="1"/>
      <c r="P998" s="1"/>
      <c r="Q998" s="1"/>
    </row>
    <row r="999" ht="15.75" customHeight="1">
      <c r="A999" s="1"/>
      <c r="B999" s="1"/>
      <c r="C999" s="1"/>
      <c r="D999" s="1"/>
      <c r="E999" s="1"/>
      <c r="F999" s="1"/>
      <c r="G999" s="1"/>
      <c r="H999" s="1"/>
      <c r="I999" s="1"/>
      <c r="J999" s="1"/>
      <c r="K999" s="1"/>
      <c r="L999" s="1"/>
      <c r="M999" s="1"/>
      <c r="N999" s="1"/>
      <c r="O999" s="1"/>
      <c r="P999" s="1"/>
      <c r="Q999" s="1"/>
    </row>
    <row r="1000" ht="15.75" customHeight="1">
      <c r="A1000" s="1"/>
      <c r="B1000" s="1"/>
      <c r="C1000" s="1"/>
      <c r="D1000" s="1"/>
      <c r="E1000" s="1"/>
      <c r="F1000" s="1"/>
      <c r="G1000" s="1"/>
      <c r="H1000" s="1"/>
      <c r="I1000" s="1"/>
      <c r="J1000" s="1"/>
      <c r="K1000" s="1"/>
      <c r="L1000" s="1"/>
      <c r="M1000" s="1"/>
      <c r="N1000" s="1"/>
      <c r="O1000" s="1"/>
      <c r="P1000" s="1"/>
      <c r="Q1000" s="1"/>
    </row>
  </sheetData>
  <autoFilter ref="$A$5:$Q$30"/>
  <mergeCells count="2">
    <mergeCell ref="A1:Q1"/>
    <mergeCell ref="A2:Q2"/>
  </mergeCells>
  <conditionalFormatting sqref="M6:M30">
    <cfRule type="cellIs" dxfId="3" priority="1" operator="equal">
      <formula>0</formula>
    </cfRule>
  </conditionalFormatting>
  <hyperlinks>
    <hyperlink r:id="rId1" ref="P6"/>
    <hyperlink r:id="rId2" ref="P7"/>
    <hyperlink r:id="rId3" ref="P8"/>
    <hyperlink r:id="rId4" ref="P9"/>
    <hyperlink r:id="rId5" ref="P10"/>
    <hyperlink r:id="rId6" ref="P11"/>
    <hyperlink r:id="rId7" ref="P12"/>
    <hyperlink r:id="rId8" ref="P13"/>
    <hyperlink r:id="rId9" ref="P14"/>
    <hyperlink r:id="rId10" ref="P15"/>
    <hyperlink r:id="rId11" ref="P16"/>
    <hyperlink r:id="rId12" ref="P17"/>
    <hyperlink r:id="rId13" ref="P18"/>
    <hyperlink r:id="rId14" ref="P19"/>
    <hyperlink r:id="rId15" ref="P20"/>
    <hyperlink r:id="rId16" ref="P21"/>
    <hyperlink r:id="rId17" ref="P22"/>
    <hyperlink r:id="rId18" ref="P23"/>
    <hyperlink r:id="rId19" ref="P24"/>
    <hyperlink r:id="rId20" ref="P25"/>
    <hyperlink r:id="rId21" ref="P26"/>
    <hyperlink r:id="rId22" ref="P27"/>
    <hyperlink r:id="rId23" ref="P28"/>
    <hyperlink r:id="rId24" ref="P29"/>
    <hyperlink r:id="rId25" ref="P30"/>
  </hyperlinks>
  <printOptions/>
  <pageMargins bottom="1.0" footer="0.0" header="0.0" left="0.75" right="0.75" top="1.0"/>
  <pageSetup fitToHeight="0" orientation="landscape"/>
  <drawing r:id="rId2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3.0"/>
    <col customWidth="1" min="2" max="2" width="30.0"/>
    <col customWidth="1" min="3" max="12" width="13.0"/>
    <col customWidth="1" min="13" max="13" width="9.0"/>
    <col customWidth="1" min="14" max="26" width="8.71"/>
  </cols>
  <sheetData>
    <row r="1">
      <c r="A1" s="1"/>
      <c r="B1" s="1"/>
      <c r="C1" s="1"/>
      <c r="D1" s="1"/>
      <c r="E1" s="1"/>
      <c r="F1" s="1"/>
      <c r="G1" s="1"/>
      <c r="H1" s="1"/>
      <c r="I1" s="1"/>
      <c r="J1" s="1"/>
      <c r="K1" s="1"/>
      <c r="L1" s="1"/>
      <c r="M1" s="1"/>
    </row>
    <row r="2" ht="21.75" customHeight="1">
      <c r="A2" s="1"/>
      <c r="B2" s="2" t="s">
        <v>1998</v>
      </c>
      <c r="C2" s="1"/>
      <c r="D2" s="1"/>
      <c r="E2" s="1"/>
      <c r="F2" s="1"/>
      <c r="G2" s="1"/>
      <c r="H2" s="1"/>
      <c r="I2" s="1"/>
      <c r="J2" s="1"/>
      <c r="K2" s="1"/>
      <c r="L2" s="1"/>
      <c r="M2" s="1"/>
    </row>
    <row r="3" ht="27.75" customHeight="1">
      <c r="A3" s="1"/>
      <c r="B3" s="6" t="s">
        <v>2004</v>
      </c>
    </row>
    <row r="4">
      <c r="A4" s="1"/>
      <c r="B4" s="1"/>
      <c r="C4" s="1"/>
      <c r="D4" s="1"/>
      <c r="E4" s="1"/>
      <c r="F4" s="1"/>
      <c r="G4" s="1"/>
      <c r="H4" s="1"/>
      <c r="I4" s="1"/>
      <c r="J4" s="1"/>
      <c r="K4" s="1"/>
      <c r="L4" s="1"/>
      <c r="M4" s="1"/>
    </row>
    <row r="5" ht="15.0" customHeight="1">
      <c r="A5" s="1"/>
      <c r="B5" s="36" t="s">
        <v>2009</v>
      </c>
      <c r="C5" s="1"/>
      <c r="D5" s="1"/>
      <c r="E5" s="1"/>
      <c r="F5" s="1"/>
      <c r="G5" s="1"/>
      <c r="H5" s="1"/>
      <c r="I5" s="1"/>
      <c r="J5" s="1"/>
      <c r="K5" s="1"/>
      <c r="L5" s="1"/>
      <c r="M5" s="1"/>
    </row>
    <row r="6" ht="39.75" customHeight="1">
      <c r="A6" s="1"/>
      <c r="B6" s="127" t="s">
        <v>2015</v>
      </c>
      <c r="C6" s="128" t="s">
        <v>407</v>
      </c>
      <c r="D6" s="128" t="s">
        <v>689</v>
      </c>
      <c r="E6" s="128" t="s">
        <v>211</v>
      </c>
      <c r="F6" s="128" t="s">
        <v>1317</v>
      </c>
      <c r="G6" s="128" t="s">
        <v>781</v>
      </c>
      <c r="H6" s="128" t="s">
        <v>893</v>
      </c>
      <c r="I6" s="128" t="s">
        <v>968</v>
      </c>
      <c r="J6" s="128" t="s">
        <v>1814</v>
      </c>
      <c r="K6" s="128" t="s">
        <v>2017</v>
      </c>
      <c r="L6" s="128" t="s">
        <v>1379</v>
      </c>
      <c r="M6" s="129" t="s">
        <v>85</v>
      </c>
    </row>
    <row r="7" ht="24.0" customHeight="1">
      <c r="A7" s="1"/>
      <c r="B7" s="130" t="s">
        <v>537</v>
      </c>
      <c r="C7" s="131">
        <f>COUNTIFS('Threat Atlas'!$Z$6:$Z$300,"L1",'Threat Atlas'!$W$6:$W$300,C$6)</f>
        <v>31</v>
      </c>
      <c r="D7" s="131">
        <f>COUNTIFS('Threat Atlas'!$Z$6:$Z$300,"L1",'Threat Atlas'!$W$6:$W$300,D$6)</f>
        <v>4</v>
      </c>
      <c r="E7" s="131">
        <f>COUNTIFS('Threat Atlas'!$Z$6:$Z$300,"L1",'Threat Atlas'!$W$6:$W$300,E$6)</f>
        <v>0</v>
      </c>
      <c r="F7" s="131">
        <f>COUNTIFS('Threat Atlas'!$Z$6:$Z$300,"L1",'Threat Atlas'!$W$6:$W$300,F$6)</f>
        <v>0</v>
      </c>
      <c r="G7" s="131">
        <f>COUNTIFS('Threat Atlas'!$Z$6:$Z$300,"L1",'Threat Atlas'!$W$6:$W$300,G$6)</f>
        <v>3</v>
      </c>
      <c r="H7" s="131">
        <f>COUNTIFS('Threat Atlas'!$Z$6:$Z$300,"L1",'Threat Atlas'!$W$6:$W$300,H$6)</f>
        <v>0</v>
      </c>
      <c r="I7" s="131">
        <f>COUNTIFS('Threat Atlas'!$Z$6:$Z$300,"L1",'Threat Atlas'!$W$6:$W$300,I$6)</f>
        <v>2</v>
      </c>
      <c r="J7" s="131">
        <f>COUNTIFS('Threat Atlas'!$Z$6:$Z$300,"L1",'Threat Atlas'!$W$6:$W$300,J$6)</f>
        <v>1</v>
      </c>
      <c r="K7" s="131">
        <f>COUNTIFS('Threat Atlas'!$Z$6:$Z$300,"L1",'Threat Atlas'!$W$6:$W$300,K$6)</f>
        <v>0</v>
      </c>
      <c r="L7" s="131">
        <f>COUNTIFS('Threat Atlas'!$Z$6:$Z$300,"L1",'Threat Atlas'!$W$6:$W$300,L$6)</f>
        <v>8</v>
      </c>
      <c r="M7" s="132">
        <f t="shared" ref="M7:M10" si="1">SUM(C7:L7)</f>
        <v>49</v>
      </c>
    </row>
    <row r="8" ht="24.0" customHeight="1">
      <c r="A8" s="1"/>
      <c r="B8" s="130" t="s">
        <v>559</v>
      </c>
      <c r="C8" s="131">
        <f>COUNTIFS('Threat Atlas'!$Z$6:$Z$300,"L2",'Threat Atlas'!$W$6:$W$300,C$6)</f>
        <v>2</v>
      </c>
      <c r="D8" s="131">
        <f>COUNTIFS('Threat Atlas'!$Z$6:$Z$300,"L2",'Threat Atlas'!$W$6:$W$300,D$6)</f>
        <v>3</v>
      </c>
      <c r="E8" s="131">
        <f>COUNTIFS('Threat Atlas'!$Z$6:$Z$300,"L2",'Threat Atlas'!$W$6:$W$300,E$6)</f>
        <v>6</v>
      </c>
      <c r="F8" s="131">
        <f>COUNTIFS('Threat Atlas'!$Z$6:$Z$300,"L2",'Threat Atlas'!$W$6:$W$300,F$6)</f>
        <v>3</v>
      </c>
      <c r="G8" s="131">
        <f>COUNTIFS('Threat Atlas'!$Z$6:$Z$300,"L2",'Threat Atlas'!$W$6:$W$300,G$6)</f>
        <v>2</v>
      </c>
      <c r="H8" s="131">
        <f>COUNTIFS('Threat Atlas'!$Z$6:$Z$300,"L2",'Threat Atlas'!$W$6:$W$300,H$6)</f>
        <v>3</v>
      </c>
      <c r="I8" s="131">
        <f>COUNTIFS('Threat Atlas'!$Z$6:$Z$300,"L2",'Threat Atlas'!$W$6:$W$300,I$6)</f>
        <v>3</v>
      </c>
      <c r="J8" s="131">
        <f>COUNTIFS('Threat Atlas'!$Z$6:$Z$300,"L2",'Threat Atlas'!$W$6:$W$300,J$6)</f>
        <v>0</v>
      </c>
      <c r="K8" s="131">
        <f>COUNTIFS('Threat Atlas'!$Z$6:$Z$300,"L2",'Threat Atlas'!$W$6:$W$300,K$6)</f>
        <v>0</v>
      </c>
      <c r="L8" s="131">
        <f>COUNTIFS('Threat Atlas'!$Z$6:$Z$300,"L2",'Threat Atlas'!$W$6:$W$300,L$6)</f>
        <v>1</v>
      </c>
      <c r="M8" s="132">
        <f t="shared" si="1"/>
        <v>23</v>
      </c>
    </row>
    <row r="9" ht="24.0" customHeight="1">
      <c r="A9" s="1"/>
      <c r="B9" s="130" t="s">
        <v>601</v>
      </c>
      <c r="C9" s="131">
        <f>COUNTIFS('Threat Atlas'!$Z$6:$Z$300,"L3",'Threat Atlas'!$W$6:$W$300,C$6)</f>
        <v>0</v>
      </c>
      <c r="D9" s="131">
        <f>COUNTIFS('Threat Atlas'!$Z$6:$Z$300,"L3",'Threat Atlas'!$W$6:$W$300,D$6)</f>
        <v>0</v>
      </c>
      <c r="E9" s="131">
        <f>COUNTIFS('Threat Atlas'!$Z$6:$Z$300,"L3",'Threat Atlas'!$W$6:$W$300,E$6)</f>
        <v>0</v>
      </c>
      <c r="F9" s="131">
        <f>COUNTIFS('Threat Atlas'!$Z$6:$Z$300,"L3",'Threat Atlas'!$W$6:$W$300,F$6)</f>
        <v>0</v>
      </c>
      <c r="G9" s="131">
        <f>COUNTIFS('Threat Atlas'!$Z$6:$Z$300,"L3",'Threat Atlas'!$W$6:$W$300,G$6)</f>
        <v>0</v>
      </c>
      <c r="H9" s="131">
        <f>COUNTIFS('Threat Atlas'!$Z$6:$Z$300,"L3",'Threat Atlas'!$W$6:$W$300,H$6)</f>
        <v>0</v>
      </c>
      <c r="I9" s="131">
        <f>COUNTIFS('Threat Atlas'!$Z$6:$Z$300,"L3",'Threat Atlas'!$W$6:$W$300,I$6)</f>
        <v>0</v>
      </c>
      <c r="J9" s="131">
        <f>COUNTIFS('Threat Atlas'!$Z$6:$Z$300,"L3",'Threat Atlas'!$W$6:$W$300,J$6)</f>
        <v>0</v>
      </c>
      <c r="K9" s="131">
        <f>COUNTIFS('Threat Atlas'!$Z$6:$Z$300,"L3",'Threat Atlas'!$W$6:$W$300,K$6)</f>
        <v>0</v>
      </c>
      <c r="L9" s="131">
        <f>COUNTIFS('Threat Atlas'!$Z$6:$Z$300,"L3",'Threat Atlas'!$W$6:$W$300,L$6)</f>
        <v>0</v>
      </c>
      <c r="M9" s="132">
        <f t="shared" si="1"/>
        <v>0</v>
      </c>
    </row>
    <row r="10" ht="24.0" customHeight="1">
      <c r="A10" s="1"/>
      <c r="B10" s="130" t="s">
        <v>617</v>
      </c>
      <c r="C10" s="131">
        <f>COUNTIFS('Threat Atlas'!$Z$6:$Z$300,"L4",'Threat Atlas'!$W$6:$W$300,C$6)</f>
        <v>0</v>
      </c>
      <c r="D10" s="131">
        <f>COUNTIFS('Threat Atlas'!$Z$6:$Z$300,"L4",'Threat Atlas'!$W$6:$W$300,D$6)</f>
        <v>0</v>
      </c>
      <c r="E10" s="131">
        <f>COUNTIFS('Threat Atlas'!$Z$6:$Z$300,"L4",'Threat Atlas'!$W$6:$W$300,E$6)</f>
        <v>0</v>
      </c>
      <c r="F10" s="131">
        <f>COUNTIFS('Threat Atlas'!$Z$6:$Z$300,"L4",'Threat Atlas'!$W$6:$W$300,F$6)</f>
        <v>0</v>
      </c>
      <c r="G10" s="131">
        <f>COUNTIFS('Threat Atlas'!$Z$6:$Z$300,"L4",'Threat Atlas'!$W$6:$W$300,G$6)</f>
        <v>1</v>
      </c>
      <c r="H10" s="131">
        <f>COUNTIFS('Threat Atlas'!$Z$6:$Z$300,"L4",'Threat Atlas'!$W$6:$W$300,H$6)</f>
        <v>0</v>
      </c>
      <c r="I10" s="131">
        <f>COUNTIFS('Threat Atlas'!$Z$6:$Z$300,"L4",'Threat Atlas'!$W$6:$W$300,I$6)</f>
        <v>0</v>
      </c>
      <c r="J10" s="131">
        <f>COUNTIFS('Threat Atlas'!$Z$6:$Z$300,"L4",'Threat Atlas'!$W$6:$W$300,J$6)</f>
        <v>2</v>
      </c>
      <c r="K10" s="131">
        <f>COUNTIFS('Threat Atlas'!$Z$6:$Z$300,"L4",'Threat Atlas'!$W$6:$W$300,K$6)</f>
        <v>3</v>
      </c>
      <c r="L10" s="131">
        <f>COUNTIFS('Threat Atlas'!$Z$6:$Z$300,"L4",'Threat Atlas'!$W$6:$W$300,L$6)</f>
        <v>0</v>
      </c>
      <c r="M10" s="132">
        <f t="shared" si="1"/>
        <v>6</v>
      </c>
    </row>
    <row r="11" ht="15.0" customHeight="1">
      <c r="A11" s="1"/>
      <c r="B11" s="134" t="s">
        <v>85</v>
      </c>
      <c r="C11" s="132">
        <f t="shared" ref="C11:M11" si="2">SUM(C7:C10)</f>
        <v>33</v>
      </c>
      <c r="D11" s="132">
        <f t="shared" si="2"/>
        <v>7</v>
      </c>
      <c r="E11" s="132">
        <f t="shared" si="2"/>
        <v>6</v>
      </c>
      <c r="F11" s="132">
        <f t="shared" si="2"/>
        <v>3</v>
      </c>
      <c r="G11" s="132">
        <f t="shared" si="2"/>
        <v>6</v>
      </c>
      <c r="H11" s="132">
        <f t="shared" si="2"/>
        <v>3</v>
      </c>
      <c r="I11" s="132">
        <f t="shared" si="2"/>
        <v>5</v>
      </c>
      <c r="J11" s="132">
        <f t="shared" si="2"/>
        <v>3</v>
      </c>
      <c r="K11" s="132">
        <f t="shared" si="2"/>
        <v>3</v>
      </c>
      <c r="L11" s="132">
        <f t="shared" si="2"/>
        <v>9</v>
      </c>
      <c r="M11" s="132">
        <f t="shared" si="2"/>
        <v>78</v>
      </c>
    </row>
    <row r="12">
      <c r="A12" s="1"/>
      <c r="B12" s="1"/>
      <c r="C12" s="1"/>
      <c r="D12" s="1"/>
      <c r="E12" s="1"/>
      <c r="F12" s="1"/>
      <c r="G12" s="1"/>
      <c r="H12" s="1"/>
      <c r="I12" s="1"/>
      <c r="J12" s="1"/>
      <c r="K12" s="1"/>
      <c r="L12" s="1"/>
      <c r="M12" s="1"/>
    </row>
    <row r="13" ht="15.0" customHeight="1">
      <c r="A13" s="1"/>
      <c r="B13" s="36" t="s">
        <v>2113</v>
      </c>
      <c r="C13" s="1"/>
      <c r="D13" s="1"/>
      <c r="E13" s="1"/>
      <c r="F13" s="1"/>
      <c r="G13" s="1"/>
      <c r="H13" s="1"/>
      <c r="I13" s="1"/>
      <c r="J13" s="1"/>
      <c r="K13" s="1"/>
      <c r="L13" s="1"/>
      <c r="M13" s="1"/>
    </row>
    <row r="14" ht="39.75" customHeight="1">
      <c r="A14" s="1"/>
      <c r="B14" s="127" t="s">
        <v>2015</v>
      </c>
      <c r="C14" s="128" t="s">
        <v>407</v>
      </c>
      <c r="D14" s="128" t="s">
        <v>689</v>
      </c>
      <c r="E14" s="128" t="s">
        <v>211</v>
      </c>
      <c r="F14" s="128" t="s">
        <v>1317</v>
      </c>
      <c r="G14" s="128" t="s">
        <v>781</v>
      </c>
      <c r="H14" s="128" t="s">
        <v>893</v>
      </c>
      <c r="I14" s="128" t="s">
        <v>968</v>
      </c>
      <c r="J14" s="128" t="s">
        <v>1814</v>
      </c>
      <c r="K14" s="128" t="s">
        <v>2017</v>
      </c>
      <c r="L14" s="128" t="s">
        <v>1379</v>
      </c>
      <c r="M14" s="129" t="s">
        <v>85</v>
      </c>
    </row>
    <row r="15" ht="24.0" customHeight="1">
      <c r="A15" s="1"/>
      <c r="B15" s="130" t="s">
        <v>537</v>
      </c>
      <c r="C15" s="131">
        <f>COUNTIFS('Threat Atlas'!$AA$6:$AA$300,"L1",'Threat Atlas'!$W$6:$W$300,C$14)</f>
        <v>11</v>
      </c>
      <c r="D15" s="131">
        <f>COUNTIFS('Threat Atlas'!$AA$6:$AA$300,"L1",'Threat Atlas'!$W$6:$W$300,D$14)</f>
        <v>0</v>
      </c>
      <c r="E15" s="131">
        <f>COUNTIFS('Threat Atlas'!$AA$6:$AA$300,"L1",'Threat Atlas'!$W$6:$W$300,E$14)</f>
        <v>0</v>
      </c>
      <c r="F15" s="131">
        <f>COUNTIFS('Threat Atlas'!$AA$6:$AA$300,"L1",'Threat Atlas'!$W$6:$W$300,F$14)</f>
        <v>0</v>
      </c>
      <c r="G15" s="131">
        <f>COUNTIFS('Threat Atlas'!$AA$6:$AA$300,"L1",'Threat Atlas'!$W$6:$W$300,G$14)</f>
        <v>5</v>
      </c>
      <c r="H15" s="131">
        <f>COUNTIFS('Threat Atlas'!$AA$6:$AA$300,"L1",'Threat Atlas'!$W$6:$W$300,H$14)</f>
        <v>0</v>
      </c>
      <c r="I15" s="131">
        <f>COUNTIFS('Threat Atlas'!$AA$6:$AA$300,"L1",'Threat Atlas'!$W$6:$W$300,I$14)</f>
        <v>1</v>
      </c>
      <c r="J15" s="131">
        <f>COUNTIFS('Threat Atlas'!$AA$6:$AA$300,"L1",'Threat Atlas'!$W$6:$W$300,J$14)</f>
        <v>1</v>
      </c>
      <c r="K15" s="131">
        <f>COUNTIFS('Threat Atlas'!$AA$6:$AA$300,"L1",'Threat Atlas'!$W$6:$W$300,K$14)</f>
        <v>2</v>
      </c>
      <c r="L15" s="131">
        <f>COUNTIFS('Threat Atlas'!$AA$6:$AA$300,"L1",'Threat Atlas'!$W$6:$W$300,L$14)</f>
        <v>0</v>
      </c>
      <c r="M15" s="132">
        <f t="shared" ref="M15:M18" si="3">SUM(C15:L15)</f>
        <v>20</v>
      </c>
    </row>
    <row r="16" ht="24.0" customHeight="1">
      <c r="A16" s="1"/>
      <c r="B16" s="130" t="s">
        <v>559</v>
      </c>
      <c r="C16" s="131">
        <f>COUNTIFS('Threat Atlas'!$AA$6:$AA$300,"L2",'Threat Atlas'!$W$6:$W$300,C$14)</f>
        <v>5</v>
      </c>
      <c r="D16" s="131">
        <f>COUNTIFS('Threat Atlas'!$AA$6:$AA$300,"L2",'Threat Atlas'!$W$6:$W$300,D$14)</f>
        <v>3</v>
      </c>
      <c r="E16" s="131">
        <f>COUNTIFS('Threat Atlas'!$AA$6:$AA$300,"L2",'Threat Atlas'!$W$6:$W$300,E$14)</f>
        <v>5</v>
      </c>
      <c r="F16" s="131">
        <f>COUNTIFS('Threat Atlas'!$AA$6:$AA$300,"L2",'Threat Atlas'!$W$6:$W$300,F$14)</f>
        <v>1</v>
      </c>
      <c r="G16" s="131">
        <f>COUNTIFS('Threat Atlas'!$AA$6:$AA$300,"L2",'Threat Atlas'!$W$6:$W$300,G$14)</f>
        <v>1</v>
      </c>
      <c r="H16" s="131">
        <f>COUNTIFS('Threat Atlas'!$AA$6:$AA$300,"L2",'Threat Atlas'!$W$6:$W$300,H$14)</f>
        <v>0</v>
      </c>
      <c r="I16" s="131">
        <f>COUNTIFS('Threat Atlas'!$AA$6:$AA$300,"L2",'Threat Atlas'!$W$6:$W$300,I$14)</f>
        <v>0</v>
      </c>
      <c r="J16" s="131">
        <f>COUNTIFS('Threat Atlas'!$AA$6:$AA$300,"L2",'Threat Atlas'!$W$6:$W$300,J$14)</f>
        <v>2</v>
      </c>
      <c r="K16" s="131">
        <f>COUNTIFS('Threat Atlas'!$AA$6:$AA$300,"L2",'Threat Atlas'!$W$6:$W$300,K$14)</f>
        <v>0</v>
      </c>
      <c r="L16" s="131">
        <f>COUNTIFS('Threat Atlas'!$AA$6:$AA$300,"L2",'Threat Atlas'!$W$6:$W$300,L$14)</f>
        <v>6</v>
      </c>
      <c r="M16" s="132">
        <f t="shared" si="3"/>
        <v>23</v>
      </c>
    </row>
    <row r="17" ht="24.0" customHeight="1">
      <c r="A17" s="1"/>
      <c r="B17" s="130" t="s">
        <v>601</v>
      </c>
      <c r="C17" s="131">
        <f>COUNTIFS('Threat Atlas'!$AA$6:$AA$300,"L3",'Threat Atlas'!$W$6:$W$300,C$14)</f>
        <v>14</v>
      </c>
      <c r="D17" s="131">
        <f>COUNTIFS('Threat Atlas'!$AA$6:$AA$300,"L3",'Threat Atlas'!$W$6:$W$300,D$14)</f>
        <v>1</v>
      </c>
      <c r="E17" s="131">
        <f>COUNTIFS('Threat Atlas'!$AA$6:$AA$300,"L3",'Threat Atlas'!$W$6:$W$300,E$14)</f>
        <v>0</v>
      </c>
      <c r="F17" s="131">
        <f>COUNTIFS('Threat Atlas'!$AA$6:$AA$300,"L3",'Threat Atlas'!$W$6:$W$300,F$14)</f>
        <v>0</v>
      </c>
      <c r="G17" s="131">
        <f>COUNTIFS('Threat Atlas'!$AA$6:$AA$300,"L3",'Threat Atlas'!$W$6:$W$300,G$14)</f>
        <v>0</v>
      </c>
      <c r="H17" s="131">
        <f>COUNTIFS('Threat Atlas'!$AA$6:$AA$300,"L3",'Threat Atlas'!$W$6:$W$300,H$14)</f>
        <v>3</v>
      </c>
      <c r="I17" s="131">
        <f>COUNTIFS('Threat Atlas'!$AA$6:$AA$300,"L3",'Threat Atlas'!$W$6:$W$300,I$14)</f>
        <v>1</v>
      </c>
      <c r="J17" s="131">
        <f>COUNTIFS('Threat Atlas'!$AA$6:$AA$300,"L3",'Threat Atlas'!$W$6:$W$300,J$14)</f>
        <v>0</v>
      </c>
      <c r="K17" s="131">
        <f>COUNTIFS('Threat Atlas'!$AA$6:$AA$300,"L3",'Threat Atlas'!$W$6:$W$300,K$14)</f>
        <v>0</v>
      </c>
      <c r="L17" s="131">
        <f>COUNTIFS('Threat Atlas'!$AA$6:$AA$300,"L3",'Threat Atlas'!$W$6:$W$300,L$14)</f>
        <v>0</v>
      </c>
      <c r="M17" s="132">
        <f t="shared" si="3"/>
        <v>19</v>
      </c>
    </row>
    <row r="18" ht="24.0" customHeight="1">
      <c r="A18" s="1"/>
      <c r="B18" s="130" t="s">
        <v>617</v>
      </c>
      <c r="C18" s="131">
        <f>COUNTIFS('Threat Atlas'!$AA$6:$AA$300,"L4",'Threat Atlas'!$W$6:$W$300,C$14)</f>
        <v>3</v>
      </c>
      <c r="D18" s="131">
        <f>COUNTIFS('Threat Atlas'!$AA$6:$AA$300,"L4",'Threat Atlas'!$W$6:$W$300,D$14)</f>
        <v>3</v>
      </c>
      <c r="E18" s="131">
        <f>COUNTIFS('Threat Atlas'!$AA$6:$AA$300,"L4",'Threat Atlas'!$W$6:$W$300,E$14)</f>
        <v>1</v>
      </c>
      <c r="F18" s="131">
        <f>COUNTIFS('Threat Atlas'!$AA$6:$AA$300,"L4",'Threat Atlas'!$W$6:$W$300,F$14)</f>
        <v>2</v>
      </c>
      <c r="G18" s="131">
        <f>COUNTIFS('Threat Atlas'!$AA$6:$AA$300,"L4",'Threat Atlas'!$W$6:$W$300,G$14)</f>
        <v>0</v>
      </c>
      <c r="H18" s="131">
        <f>COUNTIFS('Threat Atlas'!$AA$6:$AA$300,"L4",'Threat Atlas'!$W$6:$W$300,H$14)</f>
        <v>0</v>
      </c>
      <c r="I18" s="131">
        <f>COUNTIFS('Threat Atlas'!$AA$6:$AA$300,"L4",'Threat Atlas'!$W$6:$W$300,I$14)</f>
        <v>3</v>
      </c>
      <c r="J18" s="131">
        <f>COUNTIFS('Threat Atlas'!$AA$6:$AA$300,"L4",'Threat Atlas'!$W$6:$W$300,J$14)</f>
        <v>0</v>
      </c>
      <c r="K18" s="131">
        <f>COUNTIFS('Threat Atlas'!$AA$6:$AA$300,"L4",'Threat Atlas'!$W$6:$W$300,K$14)</f>
        <v>1</v>
      </c>
      <c r="L18" s="131">
        <f>COUNTIFS('Threat Atlas'!$AA$6:$AA$300,"L4",'Threat Atlas'!$W$6:$W$300,L$14)</f>
        <v>3</v>
      </c>
      <c r="M18" s="132">
        <f t="shared" si="3"/>
        <v>16</v>
      </c>
    </row>
    <row r="19" ht="15.0" customHeight="1">
      <c r="A19" s="1"/>
      <c r="B19" s="134" t="s">
        <v>85</v>
      </c>
      <c r="C19" s="132">
        <f t="shared" ref="C19:M19" si="4">SUM(C15:C18)</f>
        <v>33</v>
      </c>
      <c r="D19" s="132">
        <f t="shared" si="4"/>
        <v>7</v>
      </c>
      <c r="E19" s="132">
        <f t="shared" si="4"/>
        <v>6</v>
      </c>
      <c r="F19" s="132">
        <f t="shared" si="4"/>
        <v>3</v>
      </c>
      <c r="G19" s="132">
        <f t="shared" si="4"/>
        <v>6</v>
      </c>
      <c r="H19" s="132">
        <f t="shared" si="4"/>
        <v>3</v>
      </c>
      <c r="I19" s="132">
        <f t="shared" si="4"/>
        <v>5</v>
      </c>
      <c r="J19" s="132">
        <f t="shared" si="4"/>
        <v>3</v>
      </c>
      <c r="K19" s="132">
        <f t="shared" si="4"/>
        <v>3</v>
      </c>
      <c r="L19" s="132">
        <f t="shared" si="4"/>
        <v>9</v>
      </c>
      <c r="M19" s="132">
        <f t="shared" si="4"/>
        <v>78</v>
      </c>
    </row>
    <row r="20">
      <c r="A20" s="1"/>
      <c r="B20" s="1"/>
      <c r="C20" s="1"/>
      <c r="D20" s="1"/>
      <c r="E20" s="1"/>
      <c r="F20" s="1"/>
      <c r="G20" s="1"/>
      <c r="H20" s="1"/>
      <c r="I20" s="1"/>
      <c r="J20" s="1"/>
      <c r="K20" s="1"/>
      <c r="L20" s="1"/>
      <c r="M20" s="1"/>
    </row>
    <row r="21" ht="15.0" customHeight="1">
      <c r="A21" s="1"/>
      <c r="B21" s="36" t="s">
        <v>2208</v>
      </c>
      <c r="C21" s="1"/>
      <c r="D21" s="1"/>
      <c r="E21" s="1"/>
      <c r="F21" s="1"/>
      <c r="G21" s="1"/>
      <c r="H21" s="1"/>
      <c r="I21" s="1"/>
      <c r="J21" s="1"/>
      <c r="K21" s="1"/>
      <c r="L21" s="1"/>
      <c r="M21" s="1"/>
    </row>
    <row r="22" ht="39.75" customHeight="1">
      <c r="A22" s="1"/>
      <c r="B22" s="127" t="s">
        <v>2015</v>
      </c>
      <c r="C22" s="128" t="s">
        <v>407</v>
      </c>
      <c r="D22" s="128" t="s">
        <v>689</v>
      </c>
      <c r="E22" s="128" t="s">
        <v>211</v>
      </c>
      <c r="F22" s="128" t="s">
        <v>1317</v>
      </c>
      <c r="G22" s="128" t="s">
        <v>781</v>
      </c>
      <c r="H22" s="128" t="s">
        <v>893</v>
      </c>
      <c r="I22" s="128" t="s">
        <v>968</v>
      </c>
      <c r="J22" s="128" t="s">
        <v>1814</v>
      </c>
      <c r="K22" s="128" t="s">
        <v>2017</v>
      </c>
      <c r="L22" s="128" t="s">
        <v>1379</v>
      </c>
      <c r="M22" s="129" t="s">
        <v>85</v>
      </c>
    </row>
    <row r="23" ht="24.0" customHeight="1">
      <c r="A23" s="1"/>
      <c r="B23" s="130" t="s">
        <v>537</v>
      </c>
      <c r="C23" s="131">
        <f>COUNTIFS('Threat Atlas'!$AA$6:$AA$300,"L1",'Threat Atlas'!$W$6:$W$300,C$22,'Threat Atlas'!$O$6:$O$300,"E2")+COUNTIFS('Threat Atlas'!$AA$6:$AA$300,"L1",'Threat Atlas'!$W$6:$W$300,C$22,'Threat Atlas'!$O$6:$O$300,"E3")</f>
        <v>4</v>
      </c>
      <c r="D23" s="131">
        <f>COUNTIFS('Threat Atlas'!$AA$6:$AA$300,"L1",'Threat Atlas'!$W$6:$W$300,D$22,'Threat Atlas'!$O$6:$O$300,"E2")+COUNTIFS('Threat Atlas'!$AA$6:$AA$300,"L1",'Threat Atlas'!$W$6:$W$300,D$22,'Threat Atlas'!$O$6:$O$300,"E3")</f>
        <v>0</v>
      </c>
      <c r="E23" s="131">
        <f>COUNTIFS('Threat Atlas'!$AA$6:$AA$300,"L1",'Threat Atlas'!$W$6:$W$300,E$22,'Threat Atlas'!$O$6:$O$300,"E2")+COUNTIFS('Threat Atlas'!$AA$6:$AA$300,"L1",'Threat Atlas'!$W$6:$W$300,E$22,'Threat Atlas'!$O$6:$O$300,"E3")</f>
        <v>0</v>
      </c>
      <c r="F23" s="131">
        <f>COUNTIFS('Threat Atlas'!$AA$6:$AA$300,"L1",'Threat Atlas'!$W$6:$W$300,F$22,'Threat Atlas'!$O$6:$O$300,"E2")+COUNTIFS('Threat Atlas'!$AA$6:$AA$300,"L1",'Threat Atlas'!$W$6:$W$300,F$22,'Threat Atlas'!$O$6:$O$300,"E3")</f>
        <v>0</v>
      </c>
      <c r="G23" s="131">
        <f>COUNTIFS('Threat Atlas'!$AA$6:$AA$300,"L1",'Threat Atlas'!$W$6:$W$300,G$22,'Threat Atlas'!$O$6:$O$300,"E2")+COUNTIFS('Threat Atlas'!$AA$6:$AA$300,"L1",'Threat Atlas'!$W$6:$W$300,G$22,'Threat Atlas'!$O$6:$O$300,"E3")</f>
        <v>3</v>
      </c>
      <c r="H23" s="131">
        <f>COUNTIFS('Threat Atlas'!$AA$6:$AA$300,"L1",'Threat Atlas'!$W$6:$W$300,H$22,'Threat Atlas'!$O$6:$O$300,"E2")+COUNTIFS('Threat Atlas'!$AA$6:$AA$300,"L1",'Threat Atlas'!$W$6:$W$300,H$22,'Threat Atlas'!$O$6:$O$300,"E3")</f>
        <v>0</v>
      </c>
      <c r="I23" s="131">
        <f>COUNTIFS('Threat Atlas'!$AA$6:$AA$300,"L1",'Threat Atlas'!$W$6:$W$300,I$22,'Threat Atlas'!$O$6:$O$300,"E2")+COUNTIFS('Threat Atlas'!$AA$6:$AA$300,"L1",'Threat Atlas'!$W$6:$W$300,I$22,'Threat Atlas'!$O$6:$O$300,"E3")</f>
        <v>1</v>
      </c>
      <c r="J23" s="131">
        <f>COUNTIFS('Threat Atlas'!$AA$6:$AA$300,"L1",'Threat Atlas'!$W$6:$W$300,J$22,'Threat Atlas'!$O$6:$O$300,"E2")+COUNTIFS('Threat Atlas'!$AA$6:$AA$300,"L1",'Threat Atlas'!$W$6:$W$300,J$22,'Threat Atlas'!$O$6:$O$300,"E3")</f>
        <v>1</v>
      </c>
      <c r="K23" s="131">
        <f>COUNTIFS('Threat Atlas'!$AA$6:$AA$300,"L1",'Threat Atlas'!$W$6:$W$300,K$22,'Threat Atlas'!$O$6:$O$300,"E2")+COUNTIFS('Threat Atlas'!$AA$6:$AA$300,"L1",'Threat Atlas'!$W$6:$W$300,K$22,'Threat Atlas'!$O$6:$O$300,"E3")</f>
        <v>2</v>
      </c>
      <c r="L23" s="131">
        <f>COUNTIFS('Threat Atlas'!$AA$6:$AA$300,"L1",'Threat Atlas'!$W$6:$W$300,L$22,'Threat Atlas'!$O$6:$O$300,"E2")+COUNTIFS('Threat Atlas'!$AA$6:$AA$300,"L1",'Threat Atlas'!$W$6:$W$300,L$22,'Threat Atlas'!$O$6:$O$300,"E3")</f>
        <v>0</v>
      </c>
      <c r="M23" s="132">
        <f t="shared" ref="M23:M26" si="5">SUM(C23:L23)</f>
        <v>11</v>
      </c>
    </row>
    <row r="24" ht="24.0" customHeight="1">
      <c r="A24" s="1"/>
      <c r="B24" s="130" t="s">
        <v>559</v>
      </c>
      <c r="C24" s="131">
        <f>COUNTIFS('Threat Atlas'!$AA$6:$AA$300,"L2",'Threat Atlas'!$W$6:$W$300,C$22,'Threat Atlas'!$O$6:$O$300,"E2")+COUNTIFS('Threat Atlas'!$AA$6:$AA$300,"L2",'Threat Atlas'!$W$6:$W$300,C$22,'Threat Atlas'!$O$6:$O$300,"E3")</f>
        <v>1</v>
      </c>
      <c r="D24" s="131">
        <f>COUNTIFS('Threat Atlas'!$AA$6:$AA$300,"L2",'Threat Atlas'!$W$6:$W$300,D$22,'Threat Atlas'!$O$6:$O$300,"E2")+COUNTIFS('Threat Atlas'!$AA$6:$AA$300,"L2",'Threat Atlas'!$W$6:$W$300,D$22,'Threat Atlas'!$O$6:$O$300,"E3")</f>
        <v>0</v>
      </c>
      <c r="E24" s="131">
        <f>COUNTIFS('Threat Atlas'!$AA$6:$AA$300,"L2",'Threat Atlas'!$W$6:$W$300,E$22,'Threat Atlas'!$O$6:$O$300,"E2")+COUNTIFS('Threat Atlas'!$AA$6:$AA$300,"L2",'Threat Atlas'!$W$6:$W$300,E$22,'Threat Atlas'!$O$6:$O$300,"E3")</f>
        <v>4</v>
      </c>
      <c r="F24" s="131">
        <f>COUNTIFS('Threat Atlas'!$AA$6:$AA$300,"L2",'Threat Atlas'!$W$6:$W$300,F$22,'Threat Atlas'!$O$6:$O$300,"E2")+COUNTIFS('Threat Atlas'!$AA$6:$AA$300,"L2",'Threat Atlas'!$W$6:$W$300,F$22,'Threat Atlas'!$O$6:$O$300,"E3")</f>
        <v>0</v>
      </c>
      <c r="G24" s="131">
        <f>COUNTIFS('Threat Atlas'!$AA$6:$AA$300,"L2",'Threat Atlas'!$W$6:$W$300,G$22,'Threat Atlas'!$O$6:$O$300,"E2")+COUNTIFS('Threat Atlas'!$AA$6:$AA$300,"L2",'Threat Atlas'!$W$6:$W$300,G$22,'Threat Atlas'!$O$6:$O$300,"E3")</f>
        <v>1</v>
      </c>
      <c r="H24" s="131">
        <f>COUNTIFS('Threat Atlas'!$AA$6:$AA$300,"L2",'Threat Atlas'!$W$6:$W$300,H$22,'Threat Atlas'!$O$6:$O$300,"E2")+COUNTIFS('Threat Atlas'!$AA$6:$AA$300,"L2",'Threat Atlas'!$W$6:$W$300,H$22,'Threat Atlas'!$O$6:$O$300,"E3")</f>
        <v>0</v>
      </c>
      <c r="I24" s="131">
        <f>COUNTIFS('Threat Atlas'!$AA$6:$AA$300,"L2",'Threat Atlas'!$W$6:$W$300,I$22,'Threat Atlas'!$O$6:$O$300,"E2")+COUNTIFS('Threat Atlas'!$AA$6:$AA$300,"L2",'Threat Atlas'!$W$6:$W$300,I$22,'Threat Atlas'!$O$6:$O$300,"E3")</f>
        <v>0</v>
      </c>
      <c r="J24" s="131">
        <f>COUNTIFS('Threat Atlas'!$AA$6:$AA$300,"L2",'Threat Atlas'!$W$6:$W$300,J$22,'Threat Atlas'!$O$6:$O$300,"E2")+COUNTIFS('Threat Atlas'!$AA$6:$AA$300,"L2",'Threat Atlas'!$W$6:$W$300,J$22,'Threat Atlas'!$O$6:$O$300,"E3")</f>
        <v>0</v>
      </c>
      <c r="K24" s="131">
        <f>COUNTIFS('Threat Atlas'!$AA$6:$AA$300,"L2",'Threat Atlas'!$W$6:$W$300,K$22,'Threat Atlas'!$O$6:$O$300,"E2")+COUNTIFS('Threat Atlas'!$AA$6:$AA$300,"L2",'Threat Atlas'!$W$6:$W$300,K$22,'Threat Atlas'!$O$6:$O$300,"E3")</f>
        <v>0</v>
      </c>
      <c r="L24" s="131">
        <f>COUNTIFS('Threat Atlas'!$AA$6:$AA$300,"L2",'Threat Atlas'!$W$6:$W$300,L$22,'Threat Atlas'!$O$6:$O$300,"E2")+COUNTIFS('Threat Atlas'!$AA$6:$AA$300,"L2",'Threat Atlas'!$W$6:$W$300,L$22,'Threat Atlas'!$O$6:$O$300,"E3")</f>
        <v>0</v>
      </c>
      <c r="M24" s="132">
        <f t="shared" si="5"/>
        <v>6</v>
      </c>
    </row>
    <row r="25" ht="24.0" customHeight="1">
      <c r="A25" s="1"/>
      <c r="B25" s="130" t="s">
        <v>601</v>
      </c>
      <c r="C25" s="131">
        <f>COUNTIFS('Threat Atlas'!$AA$6:$AA$300,"L3",'Threat Atlas'!$W$6:$W$300,C$22,'Threat Atlas'!$O$6:$O$300,"E2")+COUNTIFS('Threat Atlas'!$AA$6:$AA$300,"L3",'Threat Atlas'!$W$6:$W$300,C$22,'Threat Atlas'!$O$6:$O$300,"E3")</f>
        <v>6</v>
      </c>
      <c r="D25" s="131">
        <f>COUNTIFS('Threat Atlas'!$AA$6:$AA$300,"L3",'Threat Atlas'!$W$6:$W$300,D$22,'Threat Atlas'!$O$6:$O$300,"E2")+COUNTIFS('Threat Atlas'!$AA$6:$AA$300,"L3",'Threat Atlas'!$W$6:$W$300,D$22,'Threat Atlas'!$O$6:$O$300,"E3")</f>
        <v>0</v>
      </c>
      <c r="E25" s="131">
        <f>COUNTIFS('Threat Atlas'!$AA$6:$AA$300,"L3",'Threat Atlas'!$W$6:$W$300,E$22,'Threat Atlas'!$O$6:$O$300,"E2")+COUNTIFS('Threat Atlas'!$AA$6:$AA$300,"L3",'Threat Atlas'!$W$6:$W$300,E$22,'Threat Atlas'!$O$6:$O$300,"E3")</f>
        <v>0</v>
      </c>
      <c r="F25" s="131">
        <f>COUNTIFS('Threat Atlas'!$AA$6:$AA$300,"L3",'Threat Atlas'!$W$6:$W$300,F$22,'Threat Atlas'!$O$6:$O$300,"E2")+COUNTIFS('Threat Atlas'!$AA$6:$AA$300,"L3",'Threat Atlas'!$W$6:$W$300,F$22,'Threat Atlas'!$O$6:$O$300,"E3")</f>
        <v>0</v>
      </c>
      <c r="G25" s="131">
        <f>COUNTIFS('Threat Atlas'!$AA$6:$AA$300,"L3",'Threat Atlas'!$W$6:$W$300,G$22,'Threat Atlas'!$O$6:$O$300,"E2")+COUNTIFS('Threat Atlas'!$AA$6:$AA$300,"L3",'Threat Atlas'!$W$6:$W$300,G$22,'Threat Atlas'!$O$6:$O$300,"E3")</f>
        <v>0</v>
      </c>
      <c r="H25" s="131">
        <f>COUNTIFS('Threat Atlas'!$AA$6:$AA$300,"L3",'Threat Atlas'!$W$6:$W$300,H$22,'Threat Atlas'!$O$6:$O$300,"E2")+COUNTIFS('Threat Atlas'!$AA$6:$AA$300,"L3",'Threat Atlas'!$W$6:$W$300,H$22,'Threat Atlas'!$O$6:$O$300,"E3")</f>
        <v>0</v>
      </c>
      <c r="I25" s="131">
        <f>COUNTIFS('Threat Atlas'!$AA$6:$AA$300,"L3",'Threat Atlas'!$W$6:$W$300,I$22,'Threat Atlas'!$O$6:$O$300,"E2")+COUNTIFS('Threat Atlas'!$AA$6:$AA$300,"L3",'Threat Atlas'!$W$6:$W$300,I$22,'Threat Atlas'!$O$6:$O$300,"E3")</f>
        <v>0</v>
      </c>
      <c r="J25" s="131">
        <f>COUNTIFS('Threat Atlas'!$AA$6:$AA$300,"L3",'Threat Atlas'!$W$6:$W$300,J$22,'Threat Atlas'!$O$6:$O$300,"E2")+COUNTIFS('Threat Atlas'!$AA$6:$AA$300,"L3",'Threat Atlas'!$W$6:$W$300,J$22,'Threat Atlas'!$O$6:$O$300,"E3")</f>
        <v>0</v>
      </c>
      <c r="K25" s="131">
        <f>COUNTIFS('Threat Atlas'!$AA$6:$AA$300,"L3",'Threat Atlas'!$W$6:$W$300,K$22,'Threat Atlas'!$O$6:$O$300,"E2")+COUNTIFS('Threat Atlas'!$AA$6:$AA$300,"L3",'Threat Atlas'!$W$6:$W$300,K$22,'Threat Atlas'!$O$6:$O$300,"E3")</f>
        <v>0</v>
      </c>
      <c r="L25" s="131">
        <f>COUNTIFS('Threat Atlas'!$AA$6:$AA$300,"L3",'Threat Atlas'!$W$6:$W$300,L$22,'Threat Atlas'!$O$6:$O$300,"E2")+COUNTIFS('Threat Atlas'!$AA$6:$AA$300,"L3",'Threat Atlas'!$W$6:$W$300,L$22,'Threat Atlas'!$O$6:$O$300,"E3")</f>
        <v>0</v>
      </c>
      <c r="M25" s="132">
        <f t="shared" si="5"/>
        <v>6</v>
      </c>
    </row>
    <row r="26" ht="24.0" customHeight="1">
      <c r="A26" s="1"/>
      <c r="B26" s="130" t="s">
        <v>617</v>
      </c>
      <c r="C26" s="131">
        <f>COUNTIFS('Threat Atlas'!$AA$6:$AA$300,"L4",'Threat Atlas'!$W$6:$W$300,C$22,'Threat Atlas'!$O$6:$O$300,"E2")+COUNTIFS('Threat Atlas'!$AA$6:$AA$300,"L4",'Threat Atlas'!$W$6:$W$300,C$22,'Threat Atlas'!$O$6:$O$300,"E3")</f>
        <v>3</v>
      </c>
      <c r="D26" s="131">
        <f>COUNTIFS('Threat Atlas'!$AA$6:$AA$300,"L4",'Threat Atlas'!$W$6:$W$300,D$22,'Threat Atlas'!$O$6:$O$300,"E2")+COUNTIFS('Threat Atlas'!$AA$6:$AA$300,"L4",'Threat Atlas'!$W$6:$W$300,D$22,'Threat Atlas'!$O$6:$O$300,"E3")</f>
        <v>3</v>
      </c>
      <c r="E26" s="131">
        <f>COUNTIFS('Threat Atlas'!$AA$6:$AA$300,"L4",'Threat Atlas'!$W$6:$W$300,E$22,'Threat Atlas'!$O$6:$O$300,"E2")+COUNTIFS('Threat Atlas'!$AA$6:$AA$300,"L4",'Threat Atlas'!$W$6:$W$300,E$22,'Threat Atlas'!$O$6:$O$300,"E3")</f>
        <v>1</v>
      </c>
      <c r="F26" s="131">
        <f>COUNTIFS('Threat Atlas'!$AA$6:$AA$300,"L4",'Threat Atlas'!$W$6:$W$300,F$22,'Threat Atlas'!$O$6:$O$300,"E2")+COUNTIFS('Threat Atlas'!$AA$6:$AA$300,"L4",'Threat Atlas'!$W$6:$W$300,F$22,'Threat Atlas'!$O$6:$O$300,"E3")</f>
        <v>0</v>
      </c>
      <c r="G26" s="131">
        <f>COUNTIFS('Threat Atlas'!$AA$6:$AA$300,"L4",'Threat Atlas'!$W$6:$W$300,G$22,'Threat Atlas'!$O$6:$O$300,"E2")+COUNTIFS('Threat Atlas'!$AA$6:$AA$300,"L4",'Threat Atlas'!$W$6:$W$300,G$22,'Threat Atlas'!$O$6:$O$300,"E3")</f>
        <v>0</v>
      </c>
      <c r="H26" s="131">
        <f>COUNTIFS('Threat Atlas'!$AA$6:$AA$300,"L4",'Threat Atlas'!$W$6:$W$300,H$22,'Threat Atlas'!$O$6:$O$300,"E2")+COUNTIFS('Threat Atlas'!$AA$6:$AA$300,"L4",'Threat Atlas'!$W$6:$W$300,H$22,'Threat Atlas'!$O$6:$O$300,"E3")</f>
        <v>0</v>
      </c>
      <c r="I26" s="131">
        <f>COUNTIFS('Threat Atlas'!$AA$6:$AA$300,"L4",'Threat Atlas'!$W$6:$W$300,I$22,'Threat Atlas'!$O$6:$O$300,"E2")+COUNTIFS('Threat Atlas'!$AA$6:$AA$300,"L4",'Threat Atlas'!$W$6:$W$300,I$22,'Threat Atlas'!$O$6:$O$300,"E3")</f>
        <v>1</v>
      </c>
      <c r="J26" s="131">
        <f>COUNTIFS('Threat Atlas'!$AA$6:$AA$300,"L4",'Threat Atlas'!$W$6:$W$300,J$22,'Threat Atlas'!$O$6:$O$300,"E2")+COUNTIFS('Threat Atlas'!$AA$6:$AA$300,"L4",'Threat Atlas'!$W$6:$W$300,J$22,'Threat Atlas'!$O$6:$O$300,"E3")</f>
        <v>0</v>
      </c>
      <c r="K26" s="131">
        <f>COUNTIFS('Threat Atlas'!$AA$6:$AA$300,"L4",'Threat Atlas'!$W$6:$W$300,K$22,'Threat Atlas'!$O$6:$O$300,"E2")+COUNTIFS('Threat Atlas'!$AA$6:$AA$300,"L4",'Threat Atlas'!$W$6:$W$300,K$22,'Threat Atlas'!$O$6:$O$300,"E3")</f>
        <v>1</v>
      </c>
      <c r="L26" s="131">
        <f>COUNTIFS('Threat Atlas'!$AA$6:$AA$300,"L4",'Threat Atlas'!$W$6:$W$300,L$22,'Threat Atlas'!$O$6:$O$300,"E2")+COUNTIFS('Threat Atlas'!$AA$6:$AA$300,"L4",'Threat Atlas'!$W$6:$W$300,L$22,'Threat Atlas'!$O$6:$O$300,"E3")</f>
        <v>0</v>
      </c>
      <c r="M26" s="132">
        <f t="shared" si="5"/>
        <v>9</v>
      </c>
    </row>
    <row r="27" ht="15.0" customHeight="1">
      <c r="A27" s="1"/>
      <c r="B27" s="134" t="s">
        <v>85</v>
      </c>
      <c r="C27" s="132">
        <f t="shared" ref="C27:M27" si="6">SUM(C23:C26)</f>
        <v>14</v>
      </c>
      <c r="D27" s="132">
        <f t="shared" si="6"/>
        <v>3</v>
      </c>
      <c r="E27" s="132">
        <f t="shared" si="6"/>
        <v>5</v>
      </c>
      <c r="F27" s="132">
        <f t="shared" si="6"/>
        <v>0</v>
      </c>
      <c r="G27" s="132">
        <f t="shared" si="6"/>
        <v>4</v>
      </c>
      <c r="H27" s="132">
        <f t="shared" si="6"/>
        <v>0</v>
      </c>
      <c r="I27" s="132">
        <f t="shared" si="6"/>
        <v>2</v>
      </c>
      <c r="J27" s="132">
        <f t="shared" si="6"/>
        <v>1</v>
      </c>
      <c r="K27" s="132">
        <f t="shared" si="6"/>
        <v>3</v>
      </c>
      <c r="L27" s="132">
        <f t="shared" si="6"/>
        <v>0</v>
      </c>
      <c r="M27" s="132">
        <f t="shared" si="6"/>
        <v>32</v>
      </c>
    </row>
    <row r="28" ht="15.75" customHeight="1">
      <c r="A28" s="1"/>
      <c r="B28" s="1"/>
      <c r="C28" s="1"/>
      <c r="D28" s="1"/>
      <c r="E28" s="1"/>
      <c r="F28" s="1"/>
      <c r="G28" s="1"/>
      <c r="H28" s="1"/>
      <c r="I28" s="1"/>
      <c r="J28" s="1"/>
      <c r="K28" s="1"/>
      <c r="L28" s="1"/>
      <c r="M28" s="1"/>
    </row>
    <row r="29" ht="15.0" customHeight="1">
      <c r="A29" s="1"/>
      <c r="B29" s="148" t="s">
        <v>2209</v>
      </c>
      <c r="C29" s="149" t="s">
        <v>2210</v>
      </c>
      <c r="D29" s="150" t="s">
        <v>2211</v>
      </c>
      <c r="E29" s="151" t="s">
        <v>2212</v>
      </c>
      <c r="F29" s="152" t="s">
        <v>2213</v>
      </c>
      <c r="G29" s="1"/>
      <c r="H29" s="1"/>
      <c r="I29" s="1"/>
      <c r="J29" s="1"/>
      <c r="K29" s="1"/>
      <c r="L29" s="1"/>
      <c r="M29" s="1"/>
    </row>
    <row r="30" ht="15.75" customHeight="1">
      <c r="A30" s="1"/>
      <c r="B30" s="1"/>
      <c r="C30" s="1"/>
      <c r="D30" s="1"/>
      <c r="E30" s="1"/>
      <c r="F30" s="1"/>
      <c r="G30" s="1"/>
      <c r="H30" s="1"/>
      <c r="I30" s="1"/>
      <c r="J30" s="1"/>
      <c r="K30" s="1"/>
      <c r="L30" s="1"/>
      <c r="M30" s="1"/>
    </row>
    <row r="31" ht="30.0" customHeight="1">
      <c r="A31" s="1"/>
      <c r="B31" s="11" t="s">
        <v>2214</v>
      </c>
    </row>
    <row r="32" ht="15.75" customHeight="1">
      <c r="A32" s="1"/>
      <c r="B32" s="1"/>
      <c r="C32" s="1"/>
      <c r="D32" s="1"/>
      <c r="E32" s="1"/>
      <c r="F32" s="1"/>
      <c r="G32" s="1"/>
      <c r="H32" s="1"/>
      <c r="I32" s="1"/>
      <c r="J32" s="1"/>
      <c r="K32" s="1"/>
      <c r="L32" s="1"/>
      <c r="M32" s="1"/>
    </row>
    <row r="33" ht="15.75" customHeight="1">
      <c r="A33" s="1"/>
      <c r="B33" s="1"/>
      <c r="C33" s="1"/>
      <c r="D33" s="1"/>
      <c r="E33" s="1"/>
      <c r="F33" s="1"/>
      <c r="G33" s="1"/>
      <c r="H33" s="1"/>
      <c r="I33" s="1"/>
      <c r="J33" s="1"/>
      <c r="K33" s="1"/>
      <c r="L33" s="1"/>
      <c r="M33" s="1"/>
    </row>
    <row r="34" ht="15.75" customHeight="1">
      <c r="A34" s="1"/>
      <c r="B34" s="1"/>
      <c r="C34" s="1"/>
      <c r="D34" s="1"/>
      <c r="E34" s="1"/>
      <c r="F34" s="1"/>
      <c r="G34" s="1"/>
      <c r="H34" s="1"/>
      <c r="I34" s="1"/>
      <c r="J34" s="1"/>
      <c r="K34" s="1"/>
      <c r="L34" s="1"/>
      <c r="M34" s="1"/>
    </row>
    <row r="35" ht="15.75" customHeight="1">
      <c r="A35" s="1"/>
      <c r="B35" s="1"/>
      <c r="C35" s="1"/>
      <c r="D35" s="1"/>
      <c r="E35" s="1"/>
      <c r="F35" s="1"/>
      <c r="G35" s="1"/>
      <c r="H35" s="1"/>
      <c r="I35" s="1"/>
      <c r="J35" s="1"/>
      <c r="K35" s="1"/>
      <c r="L35" s="1"/>
      <c r="M35" s="1"/>
    </row>
    <row r="36" ht="15.75" customHeight="1">
      <c r="A36" s="1"/>
      <c r="B36" s="1"/>
      <c r="C36" s="1"/>
      <c r="D36" s="1"/>
      <c r="E36" s="1"/>
      <c r="F36" s="1"/>
      <c r="G36" s="1"/>
      <c r="H36" s="1"/>
      <c r="I36" s="1"/>
      <c r="J36" s="1"/>
      <c r="K36" s="1"/>
      <c r="L36" s="1"/>
      <c r="M36" s="1"/>
    </row>
    <row r="37" ht="15.75" customHeight="1">
      <c r="A37" s="1"/>
      <c r="B37" s="1"/>
      <c r="C37" s="1"/>
      <c r="D37" s="1"/>
      <c r="E37" s="1"/>
      <c r="F37" s="1"/>
      <c r="G37" s="1"/>
      <c r="H37" s="1"/>
      <c r="I37" s="1"/>
      <c r="J37" s="1"/>
      <c r="K37" s="1"/>
      <c r="L37" s="1"/>
      <c r="M37" s="1"/>
    </row>
    <row r="38" ht="15.75" customHeight="1">
      <c r="A38" s="1"/>
      <c r="B38" s="1"/>
      <c r="C38" s="1"/>
      <c r="D38" s="1"/>
      <c r="E38" s="1"/>
      <c r="F38" s="1"/>
      <c r="G38" s="1"/>
      <c r="H38" s="1"/>
      <c r="I38" s="1"/>
      <c r="J38" s="1"/>
      <c r="K38" s="1"/>
      <c r="L38" s="1"/>
      <c r="M38" s="1"/>
    </row>
    <row r="39" ht="15.75" customHeight="1">
      <c r="A39" s="1"/>
      <c r="B39" s="1"/>
      <c r="C39" s="1"/>
      <c r="D39" s="1"/>
      <c r="E39" s="1"/>
      <c r="F39" s="1"/>
      <c r="G39" s="1"/>
      <c r="H39" s="1"/>
      <c r="I39" s="1"/>
      <c r="J39" s="1"/>
      <c r="K39" s="1"/>
      <c r="L39" s="1"/>
      <c r="M39" s="1"/>
    </row>
    <row r="40" ht="15.75" customHeight="1">
      <c r="A40" s="1"/>
      <c r="B40" s="1"/>
      <c r="C40" s="1"/>
      <c r="D40" s="1"/>
      <c r="E40" s="1"/>
      <c r="F40" s="1"/>
      <c r="G40" s="1"/>
      <c r="H40" s="1"/>
      <c r="I40" s="1"/>
      <c r="J40" s="1"/>
      <c r="K40" s="1"/>
      <c r="L40" s="1"/>
      <c r="M40" s="1"/>
    </row>
    <row r="41" ht="15.75" customHeight="1">
      <c r="A41" s="1"/>
      <c r="B41" s="1"/>
      <c r="C41" s="1"/>
      <c r="D41" s="1"/>
      <c r="E41" s="1"/>
      <c r="F41" s="1"/>
      <c r="G41" s="1"/>
      <c r="H41" s="1"/>
      <c r="I41" s="1"/>
      <c r="J41" s="1"/>
      <c r="K41" s="1"/>
      <c r="L41" s="1"/>
      <c r="M41" s="1"/>
    </row>
    <row r="42" ht="15.75" customHeight="1">
      <c r="A42" s="1"/>
      <c r="B42" s="1"/>
      <c r="C42" s="1"/>
      <c r="D42" s="1"/>
      <c r="E42" s="1"/>
      <c r="F42" s="1"/>
      <c r="G42" s="1"/>
      <c r="H42" s="1"/>
      <c r="I42" s="1"/>
      <c r="J42" s="1"/>
      <c r="K42" s="1"/>
      <c r="L42" s="1"/>
      <c r="M42" s="1"/>
    </row>
    <row r="43" ht="15.75" customHeight="1">
      <c r="A43" s="1"/>
      <c r="B43" s="1"/>
      <c r="C43" s="1"/>
      <c r="D43" s="1"/>
      <c r="E43" s="1"/>
      <c r="F43" s="1"/>
      <c r="G43" s="1"/>
      <c r="H43" s="1"/>
      <c r="I43" s="1"/>
      <c r="J43" s="1"/>
      <c r="K43" s="1"/>
      <c r="L43" s="1"/>
      <c r="M43" s="1"/>
    </row>
    <row r="44" ht="15.75" customHeight="1">
      <c r="A44" s="1"/>
      <c r="B44" s="1"/>
      <c r="C44" s="1"/>
      <c r="D44" s="1"/>
      <c r="E44" s="1"/>
      <c r="F44" s="1"/>
      <c r="G44" s="1"/>
      <c r="H44" s="1"/>
      <c r="I44" s="1"/>
      <c r="J44" s="1"/>
      <c r="K44" s="1"/>
      <c r="L44" s="1"/>
      <c r="M44" s="1"/>
    </row>
    <row r="45" ht="15.75" customHeight="1">
      <c r="A45" s="1"/>
      <c r="B45" s="1"/>
      <c r="C45" s="1"/>
      <c r="D45" s="1"/>
      <c r="E45" s="1"/>
      <c r="F45" s="1"/>
      <c r="G45" s="1"/>
      <c r="H45" s="1"/>
      <c r="I45" s="1"/>
      <c r="J45" s="1"/>
      <c r="K45" s="1"/>
      <c r="L45" s="1"/>
      <c r="M45" s="1"/>
    </row>
    <row r="46" ht="15.75" customHeight="1">
      <c r="A46" s="1"/>
      <c r="B46" s="1"/>
      <c r="C46" s="1"/>
      <c r="D46" s="1"/>
      <c r="E46" s="1"/>
      <c r="F46" s="1"/>
      <c r="G46" s="1"/>
      <c r="H46" s="1"/>
      <c r="I46" s="1"/>
      <c r="J46" s="1"/>
      <c r="K46" s="1"/>
      <c r="L46" s="1"/>
      <c r="M46" s="1"/>
    </row>
    <row r="47" ht="15.75" customHeight="1">
      <c r="A47" s="1"/>
      <c r="B47" s="1"/>
      <c r="C47" s="1"/>
      <c r="D47" s="1"/>
      <c r="E47" s="1"/>
      <c r="F47" s="1"/>
      <c r="G47" s="1"/>
      <c r="H47" s="1"/>
      <c r="I47" s="1"/>
      <c r="J47" s="1"/>
      <c r="K47" s="1"/>
      <c r="L47" s="1"/>
      <c r="M47" s="1"/>
    </row>
    <row r="48" ht="15.75" customHeight="1">
      <c r="A48" s="1"/>
      <c r="B48" s="1"/>
      <c r="C48" s="1"/>
      <c r="D48" s="1"/>
      <c r="E48" s="1"/>
      <c r="F48" s="1"/>
      <c r="G48" s="1"/>
      <c r="H48" s="1"/>
      <c r="I48" s="1"/>
      <c r="J48" s="1"/>
      <c r="K48" s="1"/>
      <c r="L48" s="1"/>
      <c r="M48" s="1"/>
    </row>
    <row r="49" ht="15.75" customHeight="1">
      <c r="A49" s="1"/>
      <c r="B49" s="1"/>
      <c r="C49" s="1"/>
      <c r="D49" s="1"/>
      <c r="E49" s="1"/>
      <c r="F49" s="1"/>
      <c r="G49" s="1"/>
      <c r="H49" s="1"/>
      <c r="I49" s="1"/>
      <c r="J49" s="1"/>
      <c r="K49" s="1"/>
      <c r="L49" s="1"/>
      <c r="M49" s="1"/>
    </row>
    <row r="50" ht="15.75" customHeight="1">
      <c r="A50" s="1"/>
      <c r="B50" s="1"/>
      <c r="C50" s="1"/>
      <c r="D50" s="1"/>
      <c r="E50" s="1"/>
      <c r="F50" s="1"/>
      <c r="G50" s="1"/>
      <c r="H50" s="1"/>
      <c r="I50" s="1"/>
      <c r="J50" s="1"/>
      <c r="K50" s="1"/>
      <c r="L50" s="1"/>
      <c r="M50" s="1"/>
    </row>
    <row r="51" ht="15.75" customHeight="1">
      <c r="A51" s="1"/>
      <c r="B51" s="1"/>
      <c r="C51" s="1"/>
      <c r="D51" s="1"/>
      <c r="E51" s="1"/>
      <c r="F51" s="1"/>
      <c r="G51" s="1"/>
      <c r="H51" s="1"/>
      <c r="I51" s="1"/>
      <c r="J51" s="1"/>
      <c r="K51" s="1"/>
      <c r="L51" s="1"/>
      <c r="M51" s="1"/>
    </row>
    <row r="52" ht="15.75" customHeight="1">
      <c r="A52" s="1"/>
      <c r="B52" s="1"/>
      <c r="C52" s="1"/>
      <c r="D52" s="1"/>
      <c r="E52" s="1"/>
      <c r="F52" s="1"/>
      <c r="G52" s="1"/>
      <c r="H52" s="1"/>
      <c r="I52" s="1"/>
      <c r="J52" s="1"/>
      <c r="K52" s="1"/>
      <c r="L52" s="1"/>
      <c r="M52" s="1"/>
    </row>
    <row r="53" ht="15.75" customHeight="1">
      <c r="A53" s="1"/>
      <c r="B53" s="1"/>
      <c r="C53" s="1"/>
      <c r="D53" s="1"/>
      <c r="E53" s="1"/>
      <c r="F53" s="1"/>
      <c r="G53" s="1"/>
      <c r="H53" s="1"/>
      <c r="I53" s="1"/>
      <c r="J53" s="1"/>
      <c r="K53" s="1"/>
      <c r="L53" s="1"/>
      <c r="M53" s="1"/>
    </row>
    <row r="54" ht="15.75" customHeight="1">
      <c r="A54" s="1"/>
      <c r="B54" s="1"/>
      <c r="C54" s="1"/>
      <c r="D54" s="1"/>
      <c r="E54" s="1"/>
      <c r="F54" s="1"/>
      <c r="G54" s="1"/>
      <c r="H54" s="1"/>
      <c r="I54" s="1"/>
      <c r="J54" s="1"/>
      <c r="K54" s="1"/>
      <c r="L54" s="1"/>
      <c r="M54" s="1"/>
    </row>
    <row r="55" ht="15.75" customHeight="1">
      <c r="A55" s="1"/>
      <c r="B55" s="1"/>
      <c r="C55" s="1"/>
      <c r="D55" s="1"/>
      <c r="E55" s="1"/>
      <c r="F55" s="1"/>
      <c r="G55" s="1"/>
      <c r="H55" s="1"/>
      <c r="I55" s="1"/>
      <c r="J55" s="1"/>
      <c r="K55" s="1"/>
      <c r="L55" s="1"/>
      <c r="M55" s="1"/>
    </row>
    <row r="56" ht="15.75" customHeight="1">
      <c r="A56" s="1"/>
      <c r="B56" s="1"/>
      <c r="C56" s="1"/>
      <c r="D56" s="1"/>
      <c r="E56" s="1"/>
      <c r="F56" s="1"/>
      <c r="G56" s="1"/>
      <c r="H56" s="1"/>
      <c r="I56" s="1"/>
      <c r="J56" s="1"/>
      <c r="K56" s="1"/>
      <c r="L56" s="1"/>
      <c r="M56" s="1"/>
    </row>
    <row r="57" ht="15.75" customHeight="1">
      <c r="A57" s="1"/>
      <c r="B57" s="1"/>
      <c r="C57" s="1"/>
      <c r="D57" s="1"/>
      <c r="E57" s="1"/>
      <c r="F57" s="1"/>
      <c r="G57" s="1"/>
      <c r="H57" s="1"/>
      <c r="I57" s="1"/>
      <c r="J57" s="1"/>
      <c r="K57" s="1"/>
      <c r="L57" s="1"/>
      <c r="M57" s="1"/>
    </row>
    <row r="58" ht="15.75" customHeight="1">
      <c r="A58" s="1"/>
      <c r="B58" s="1"/>
      <c r="C58" s="1"/>
      <c r="D58" s="1"/>
      <c r="E58" s="1"/>
      <c r="F58" s="1"/>
      <c r="G58" s="1"/>
      <c r="H58" s="1"/>
      <c r="I58" s="1"/>
      <c r="J58" s="1"/>
      <c r="K58" s="1"/>
      <c r="L58" s="1"/>
      <c r="M58" s="1"/>
    </row>
    <row r="59" ht="15.75" customHeight="1">
      <c r="A59" s="1"/>
      <c r="B59" s="1"/>
      <c r="C59" s="1"/>
      <c r="D59" s="1"/>
      <c r="E59" s="1"/>
      <c r="F59" s="1"/>
      <c r="G59" s="1"/>
      <c r="H59" s="1"/>
      <c r="I59" s="1"/>
      <c r="J59" s="1"/>
      <c r="K59" s="1"/>
      <c r="L59" s="1"/>
      <c r="M59" s="1"/>
    </row>
    <row r="60" ht="15.75" customHeight="1">
      <c r="A60" s="1"/>
      <c r="B60" s="1"/>
      <c r="C60" s="1"/>
      <c r="D60" s="1"/>
      <c r="E60" s="1"/>
      <c r="F60" s="1"/>
      <c r="G60" s="1"/>
      <c r="H60" s="1"/>
      <c r="I60" s="1"/>
      <c r="J60" s="1"/>
      <c r="K60" s="1"/>
      <c r="L60" s="1"/>
      <c r="M60" s="1"/>
    </row>
    <row r="61" ht="15.75" customHeight="1">
      <c r="A61" s="1"/>
      <c r="B61" s="1"/>
      <c r="C61" s="1"/>
      <c r="D61" s="1"/>
      <c r="E61" s="1"/>
      <c r="F61" s="1"/>
      <c r="G61" s="1"/>
      <c r="H61" s="1"/>
      <c r="I61" s="1"/>
      <c r="J61" s="1"/>
      <c r="K61" s="1"/>
      <c r="L61" s="1"/>
      <c r="M61" s="1"/>
    </row>
    <row r="62" ht="15.75" customHeight="1">
      <c r="A62" s="1"/>
      <c r="B62" s="1"/>
      <c r="C62" s="1"/>
      <c r="D62" s="1"/>
      <c r="E62" s="1"/>
      <c r="F62" s="1"/>
      <c r="G62" s="1"/>
      <c r="H62" s="1"/>
      <c r="I62" s="1"/>
      <c r="J62" s="1"/>
      <c r="K62" s="1"/>
      <c r="L62" s="1"/>
      <c r="M62" s="1"/>
    </row>
    <row r="63" ht="15.75" customHeight="1">
      <c r="A63" s="1"/>
      <c r="B63" s="1"/>
      <c r="C63" s="1"/>
      <c r="D63" s="1"/>
      <c r="E63" s="1"/>
      <c r="F63" s="1"/>
      <c r="G63" s="1"/>
      <c r="H63" s="1"/>
      <c r="I63" s="1"/>
      <c r="J63" s="1"/>
      <c r="K63" s="1"/>
      <c r="L63" s="1"/>
      <c r="M63" s="1"/>
    </row>
    <row r="64" ht="15.75" customHeight="1">
      <c r="A64" s="1"/>
      <c r="B64" s="1"/>
      <c r="C64" s="1"/>
      <c r="D64" s="1"/>
      <c r="E64" s="1"/>
      <c r="F64" s="1"/>
      <c r="G64" s="1"/>
      <c r="H64" s="1"/>
      <c r="I64" s="1"/>
      <c r="J64" s="1"/>
      <c r="K64" s="1"/>
      <c r="L64" s="1"/>
      <c r="M64" s="1"/>
    </row>
    <row r="65" ht="15.75" customHeight="1">
      <c r="A65" s="1"/>
      <c r="B65" s="1"/>
      <c r="C65" s="1"/>
      <c r="D65" s="1"/>
      <c r="E65" s="1"/>
      <c r="F65" s="1"/>
      <c r="G65" s="1"/>
      <c r="H65" s="1"/>
      <c r="I65" s="1"/>
      <c r="J65" s="1"/>
      <c r="K65" s="1"/>
      <c r="L65" s="1"/>
      <c r="M65" s="1"/>
    </row>
    <row r="66" ht="15.75" customHeight="1">
      <c r="A66" s="1"/>
      <c r="B66" s="1"/>
      <c r="C66" s="1"/>
      <c r="D66" s="1"/>
      <c r="E66" s="1"/>
      <c r="F66" s="1"/>
      <c r="G66" s="1"/>
      <c r="H66" s="1"/>
      <c r="I66" s="1"/>
      <c r="J66" s="1"/>
      <c r="K66" s="1"/>
      <c r="L66" s="1"/>
      <c r="M66" s="1"/>
    </row>
    <row r="67" ht="15.75" customHeight="1">
      <c r="A67" s="1"/>
      <c r="B67" s="1"/>
      <c r="C67" s="1"/>
      <c r="D67" s="1"/>
      <c r="E67" s="1"/>
      <c r="F67" s="1"/>
      <c r="G67" s="1"/>
      <c r="H67" s="1"/>
      <c r="I67" s="1"/>
      <c r="J67" s="1"/>
      <c r="K67" s="1"/>
      <c r="L67" s="1"/>
      <c r="M67" s="1"/>
    </row>
    <row r="68" ht="15.75" customHeight="1">
      <c r="A68" s="1"/>
      <c r="B68" s="1"/>
      <c r="C68" s="1"/>
      <c r="D68" s="1"/>
      <c r="E68" s="1"/>
      <c r="F68" s="1"/>
      <c r="G68" s="1"/>
      <c r="H68" s="1"/>
      <c r="I68" s="1"/>
      <c r="J68" s="1"/>
      <c r="K68" s="1"/>
      <c r="L68" s="1"/>
      <c r="M68" s="1"/>
    </row>
    <row r="69" ht="15.75" customHeight="1">
      <c r="A69" s="1"/>
      <c r="B69" s="1"/>
      <c r="C69" s="1"/>
      <c r="D69" s="1"/>
      <c r="E69" s="1"/>
      <c r="F69" s="1"/>
      <c r="G69" s="1"/>
      <c r="H69" s="1"/>
      <c r="I69" s="1"/>
      <c r="J69" s="1"/>
      <c r="K69" s="1"/>
      <c r="L69" s="1"/>
      <c r="M69" s="1"/>
    </row>
    <row r="70" ht="15.75" customHeight="1">
      <c r="A70" s="1"/>
      <c r="B70" s="1"/>
      <c r="C70" s="1"/>
      <c r="D70" s="1"/>
      <c r="E70" s="1"/>
      <c r="F70" s="1"/>
      <c r="G70" s="1"/>
      <c r="H70" s="1"/>
      <c r="I70" s="1"/>
      <c r="J70" s="1"/>
      <c r="K70" s="1"/>
      <c r="L70" s="1"/>
      <c r="M70" s="1"/>
    </row>
    <row r="71" ht="15.75" customHeight="1">
      <c r="A71" s="1"/>
      <c r="B71" s="1"/>
      <c r="C71" s="1"/>
      <c r="D71" s="1"/>
      <c r="E71" s="1"/>
      <c r="F71" s="1"/>
      <c r="G71" s="1"/>
      <c r="H71" s="1"/>
      <c r="I71" s="1"/>
      <c r="J71" s="1"/>
      <c r="K71" s="1"/>
      <c r="L71" s="1"/>
      <c r="M71" s="1"/>
    </row>
    <row r="72" ht="15.75" customHeight="1">
      <c r="A72" s="1"/>
      <c r="B72" s="1"/>
      <c r="C72" s="1"/>
      <c r="D72" s="1"/>
      <c r="E72" s="1"/>
      <c r="F72" s="1"/>
      <c r="G72" s="1"/>
      <c r="H72" s="1"/>
      <c r="I72" s="1"/>
      <c r="J72" s="1"/>
      <c r="K72" s="1"/>
      <c r="L72" s="1"/>
      <c r="M72" s="1"/>
    </row>
    <row r="73" ht="15.75" customHeight="1">
      <c r="A73" s="1"/>
      <c r="B73" s="1"/>
      <c r="C73" s="1"/>
      <c r="D73" s="1"/>
      <c r="E73" s="1"/>
      <c r="F73" s="1"/>
      <c r="G73" s="1"/>
      <c r="H73" s="1"/>
      <c r="I73" s="1"/>
      <c r="J73" s="1"/>
      <c r="K73" s="1"/>
      <c r="L73" s="1"/>
      <c r="M73" s="1"/>
    </row>
    <row r="74" ht="15.75" customHeight="1">
      <c r="A74" s="1"/>
      <c r="B74" s="1"/>
      <c r="C74" s="1"/>
      <c r="D74" s="1"/>
      <c r="E74" s="1"/>
      <c r="F74" s="1"/>
      <c r="G74" s="1"/>
      <c r="H74" s="1"/>
      <c r="I74" s="1"/>
      <c r="J74" s="1"/>
      <c r="K74" s="1"/>
      <c r="L74" s="1"/>
      <c r="M74" s="1"/>
    </row>
    <row r="75" ht="15.75" customHeight="1">
      <c r="A75" s="1"/>
      <c r="B75" s="1"/>
      <c r="C75" s="1"/>
      <c r="D75" s="1"/>
      <c r="E75" s="1"/>
      <c r="F75" s="1"/>
      <c r="G75" s="1"/>
      <c r="H75" s="1"/>
      <c r="I75" s="1"/>
      <c r="J75" s="1"/>
      <c r="K75" s="1"/>
      <c r="L75" s="1"/>
      <c r="M75" s="1"/>
    </row>
    <row r="76" ht="15.75" customHeight="1">
      <c r="A76" s="1"/>
      <c r="B76" s="1"/>
      <c r="C76" s="1"/>
      <c r="D76" s="1"/>
      <c r="E76" s="1"/>
      <c r="F76" s="1"/>
      <c r="G76" s="1"/>
      <c r="H76" s="1"/>
      <c r="I76" s="1"/>
      <c r="J76" s="1"/>
      <c r="K76" s="1"/>
      <c r="L76" s="1"/>
      <c r="M76" s="1"/>
    </row>
    <row r="77" ht="15.75" customHeight="1">
      <c r="A77" s="1"/>
      <c r="B77" s="1"/>
      <c r="C77" s="1"/>
      <c r="D77" s="1"/>
      <c r="E77" s="1"/>
      <c r="F77" s="1"/>
      <c r="G77" s="1"/>
      <c r="H77" s="1"/>
      <c r="I77" s="1"/>
      <c r="J77" s="1"/>
      <c r="K77" s="1"/>
      <c r="L77" s="1"/>
      <c r="M77" s="1"/>
    </row>
    <row r="78" ht="15.75" customHeight="1">
      <c r="A78" s="1"/>
      <c r="B78" s="1"/>
      <c r="C78" s="1"/>
      <c r="D78" s="1"/>
      <c r="E78" s="1"/>
      <c r="F78" s="1"/>
      <c r="G78" s="1"/>
      <c r="H78" s="1"/>
      <c r="I78" s="1"/>
      <c r="J78" s="1"/>
      <c r="K78" s="1"/>
      <c r="L78" s="1"/>
      <c r="M78" s="1"/>
    </row>
    <row r="79" ht="15.75" customHeight="1">
      <c r="A79" s="1"/>
      <c r="B79" s="1"/>
      <c r="C79" s="1"/>
      <c r="D79" s="1"/>
      <c r="E79" s="1"/>
      <c r="F79" s="1"/>
      <c r="G79" s="1"/>
      <c r="H79" s="1"/>
      <c r="I79" s="1"/>
      <c r="J79" s="1"/>
      <c r="K79" s="1"/>
      <c r="L79" s="1"/>
      <c r="M79" s="1"/>
    </row>
    <row r="80" ht="15.75" customHeight="1">
      <c r="A80" s="1"/>
      <c r="B80" s="1"/>
      <c r="C80" s="1"/>
      <c r="D80" s="1"/>
      <c r="E80" s="1"/>
      <c r="F80" s="1"/>
      <c r="G80" s="1"/>
      <c r="H80" s="1"/>
      <c r="I80" s="1"/>
      <c r="J80" s="1"/>
      <c r="K80" s="1"/>
      <c r="L80" s="1"/>
      <c r="M80" s="1"/>
    </row>
    <row r="81" ht="15.75" customHeight="1">
      <c r="A81" s="1"/>
      <c r="B81" s="1"/>
      <c r="C81" s="1"/>
      <c r="D81" s="1"/>
      <c r="E81" s="1"/>
      <c r="F81" s="1"/>
      <c r="G81" s="1"/>
      <c r="H81" s="1"/>
      <c r="I81" s="1"/>
      <c r="J81" s="1"/>
      <c r="K81" s="1"/>
      <c r="L81" s="1"/>
      <c r="M81" s="1"/>
    </row>
    <row r="82" ht="15.75" customHeight="1">
      <c r="A82" s="1"/>
      <c r="B82" s="1"/>
      <c r="C82" s="1"/>
      <c r="D82" s="1"/>
      <c r="E82" s="1"/>
      <c r="F82" s="1"/>
      <c r="G82" s="1"/>
      <c r="H82" s="1"/>
      <c r="I82" s="1"/>
      <c r="J82" s="1"/>
      <c r="K82" s="1"/>
      <c r="L82" s="1"/>
      <c r="M82" s="1"/>
    </row>
    <row r="83" ht="15.75" customHeight="1">
      <c r="A83" s="1"/>
      <c r="B83" s="1"/>
      <c r="C83" s="1"/>
      <c r="D83" s="1"/>
      <c r="E83" s="1"/>
      <c r="F83" s="1"/>
      <c r="G83" s="1"/>
      <c r="H83" s="1"/>
      <c r="I83" s="1"/>
      <c r="J83" s="1"/>
      <c r="K83" s="1"/>
      <c r="L83" s="1"/>
      <c r="M83" s="1"/>
    </row>
    <row r="84" ht="15.75" customHeight="1">
      <c r="A84" s="1"/>
      <c r="B84" s="1"/>
      <c r="C84" s="1"/>
      <c r="D84" s="1"/>
      <c r="E84" s="1"/>
      <c r="F84" s="1"/>
      <c r="G84" s="1"/>
      <c r="H84" s="1"/>
      <c r="I84" s="1"/>
      <c r="J84" s="1"/>
      <c r="K84" s="1"/>
      <c r="L84" s="1"/>
      <c r="M84" s="1"/>
    </row>
    <row r="85" ht="15.75" customHeight="1">
      <c r="A85" s="1"/>
      <c r="B85" s="1"/>
      <c r="C85" s="1"/>
      <c r="D85" s="1"/>
      <c r="E85" s="1"/>
      <c r="F85" s="1"/>
      <c r="G85" s="1"/>
      <c r="H85" s="1"/>
      <c r="I85" s="1"/>
      <c r="J85" s="1"/>
      <c r="K85" s="1"/>
      <c r="L85" s="1"/>
      <c r="M85" s="1"/>
    </row>
    <row r="86" ht="15.75" customHeight="1">
      <c r="A86" s="1"/>
      <c r="B86" s="1"/>
      <c r="C86" s="1"/>
      <c r="D86" s="1"/>
      <c r="E86" s="1"/>
      <c r="F86" s="1"/>
      <c r="G86" s="1"/>
      <c r="H86" s="1"/>
      <c r="I86" s="1"/>
      <c r="J86" s="1"/>
      <c r="K86" s="1"/>
      <c r="L86" s="1"/>
      <c r="M86" s="1"/>
    </row>
    <row r="87" ht="15.75" customHeight="1">
      <c r="A87" s="1"/>
      <c r="B87" s="1"/>
      <c r="C87" s="1"/>
      <c r="D87" s="1"/>
      <c r="E87" s="1"/>
      <c r="F87" s="1"/>
      <c r="G87" s="1"/>
      <c r="H87" s="1"/>
      <c r="I87" s="1"/>
      <c r="J87" s="1"/>
      <c r="K87" s="1"/>
      <c r="L87" s="1"/>
      <c r="M87" s="1"/>
    </row>
    <row r="88" ht="15.75" customHeight="1">
      <c r="A88" s="1"/>
      <c r="B88" s="1"/>
      <c r="C88" s="1"/>
      <c r="D88" s="1"/>
      <c r="E88" s="1"/>
      <c r="F88" s="1"/>
      <c r="G88" s="1"/>
      <c r="H88" s="1"/>
      <c r="I88" s="1"/>
      <c r="J88" s="1"/>
      <c r="K88" s="1"/>
      <c r="L88" s="1"/>
      <c r="M88" s="1"/>
    </row>
    <row r="89" ht="15.75" customHeight="1">
      <c r="A89" s="1"/>
      <c r="B89" s="1"/>
      <c r="C89" s="1"/>
      <c r="D89" s="1"/>
      <c r="E89" s="1"/>
      <c r="F89" s="1"/>
      <c r="G89" s="1"/>
      <c r="H89" s="1"/>
      <c r="I89" s="1"/>
      <c r="J89" s="1"/>
      <c r="K89" s="1"/>
      <c r="L89" s="1"/>
      <c r="M89" s="1"/>
    </row>
    <row r="90" ht="15.75" customHeight="1">
      <c r="A90" s="1"/>
      <c r="B90" s="1"/>
      <c r="C90" s="1"/>
      <c r="D90" s="1"/>
      <c r="E90" s="1"/>
      <c r="F90" s="1"/>
      <c r="G90" s="1"/>
      <c r="H90" s="1"/>
      <c r="I90" s="1"/>
      <c r="J90" s="1"/>
      <c r="K90" s="1"/>
      <c r="L90" s="1"/>
      <c r="M90" s="1"/>
    </row>
    <row r="91" ht="15.75" customHeight="1">
      <c r="A91" s="1"/>
      <c r="B91" s="1"/>
      <c r="C91" s="1"/>
      <c r="D91" s="1"/>
      <c r="E91" s="1"/>
      <c r="F91" s="1"/>
      <c r="G91" s="1"/>
      <c r="H91" s="1"/>
      <c r="I91" s="1"/>
      <c r="J91" s="1"/>
      <c r="K91" s="1"/>
      <c r="L91" s="1"/>
      <c r="M91" s="1"/>
    </row>
    <row r="92" ht="15.75" customHeight="1">
      <c r="A92" s="1"/>
      <c r="B92" s="1"/>
      <c r="C92" s="1"/>
      <c r="D92" s="1"/>
      <c r="E92" s="1"/>
      <c r="F92" s="1"/>
      <c r="G92" s="1"/>
      <c r="H92" s="1"/>
      <c r="I92" s="1"/>
      <c r="J92" s="1"/>
      <c r="K92" s="1"/>
      <c r="L92" s="1"/>
      <c r="M92" s="1"/>
    </row>
    <row r="93" ht="15.75" customHeight="1">
      <c r="A93" s="1"/>
      <c r="B93" s="1"/>
      <c r="C93" s="1"/>
      <c r="D93" s="1"/>
      <c r="E93" s="1"/>
      <c r="F93" s="1"/>
      <c r="G93" s="1"/>
      <c r="H93" s="1"/>
      <c r="I93" s="1"/>
      <c r="J93" s="1"/>
      <c r="K93" s="1"/>
      <c r="L93" s="1"/>
      <c r="M93" s="1"/>
    </row>
    <row r="94" ht="15.75" customHeight="1">
      <c r="A94" s="1"/>
      <c r="B94" s="1"/>
      <c r="C94" s="1"/>
      <c r="D94" s="1"/>
      <c r="E94" s="1"/>
      <c r="F94" s="1"/>
      <c r="G94" s="1"/>
      <c r="H94" s="1"/>
      <c r="I94" s="1"/>
      <c r="J94" s="1"/>
      <c r="K94" s="1"/>
      <c r="L94" s="1"/>
      <c r="M94" s="1"/>
    </row>
    <row r="95" ht="15.75" customHeight="1">
      <c r="A95" s="1"/>
      <c r="B95" s="1"/>
      <c r="C95" s="1"/>
      <c r="D95" s="1"/>
      <c r="E95" s="1"/>
      <c r="F95" s="1"/>
      <c r="G95" s="1"/>
      <c r="H95" s="1"/>
      <c r="I95" s="1"/>
      <c r="J95" s="1"/>
      <c r="K95" s="1"/>
      <c r="L95" s="1"/>
      <c r="M95" s="1"/>
    </row>
    <row r="96" ht="15.75" customHeight="1">
      <c r="A96" s="1"/>
      <c r="B96" s="1"/>
      <c r="C96" s="1"/>
      <c r="D96" s="1"/>
      <c r="E96" s="1"/>
      <c r="F96" s="1"/>
      <c r="G96" s="1"/>
      <c r="H96" s="1"/>
      <c r="I96" s="1"/>
      <c r="J96" s="1"/>
      <c r="K96" s="1"/>
      <c r="L96" s="1"/>
      <c r="M96" s="1"/>
    </row>
    <row r="97" ht="15.75" customHeight="1">
      <c r="A97" s="1"/>
      <c r="B97" s="1"/>
      <c r="C97" s="1"/>
      <c r="D97" s="1"/>
      <c r="E97" s="1"/>
      <c r="F97" s="1"/>
      <c r="G97" s="1"/>
      <c r="H97" s="1"/>
      <c r="I97" s="1"/>
      <c r="J97" s="1"/>
      <c r="K97" s="1"/>
      <c r="L97" s="1"/>
      <c r="M97" s="1"/>
    </row>
    <row r="98" ht="15.75" customHeight="1">
      <c r="A98" s="1"/>
      <c r="B98" s="1"/>
      <c r="C98" s="1"/>
      <c r="D98" s="1"/>
      <c r="E98" s="1"/>
      <c r="F98" s="1"/>
      <c r="G98" s="1"/>
      <c r="H98" s="1"/>
      <c r="I98" s="1"/>
      <c r="J98" s="1"/>
      <c r="K98" s="1"/>
      <c r="L98" s="1"/>
      <c r="M98" s="1"/>
    </row>
    <row r="99" ht="15.75" customHeight="1">
      <c r="A99" s="1"/>
      <c r="B99" s="1"/>
      <c r="C99" s="1"/>
      <c r="D99" s="1"/>
      <c r="E99" s="1"/>
      <c r="F99" s="1"/>
      <c r="G99" s="1"/>
      <c r="H99" s="1"/>
      <c r="I99" s="1"/>
      <c r="J99" s="1"/>
      <c r="K99" s="1"/>
      <c r="L99" s="1"/>
      <c r="M99" s="1"/>
    </row>
    <row r="100" ht="15.75" customHeight="1">
      <c r="A100" s="1"/>
      <c r="B100" s="1"/>
      <c r="C100" s="1"/>
      <c r="D100" s="1"/>
      <c r="E100" s="1"/>
      <c r="F100" s="1"/>
      <c r="G100" s="1"/>
      <c r="H100" s="1"/>
      <c r="I100" s="1"/>
      <c r="J100" s="1"/>
      <c r="K100" s="1"/>
      <c r="L100" s="1"/>
      <c r="M100" s="1"/>
    </row>
    <row r="101" ht="15.75" customHeight="1">
      <c r="A101" s="1"/>
      <c r="B101" s="1"/>
      <c r="C101" s="1"/>
      <c r="D101" s="1"/>
      <c r="E101" s="1"/>
      <c r="F101" s="1"/>
      <c r="G101" s="1"/>
      <c r="H101" s="1"/>
      <c r="I101" s="1"/>
      <c r="J101" s="1"/>
      <c r="K101" s="1"/>
      <c r="L101" s="1"/>
      <c r="M101" s="1"/>
    </row>
    <row r="102" ht="15.75" customHeight="1">
      <c r="A102" s="1"/>
      <c r="B102" s="1"/>
      <c r="C102" s="1"/>
      <c r="D102" s="1"/>
      <c r="E102" s="1"/>
      <c r="F102" s="1"/>
      <c r="G102" s="1"/>
      <c r="H102" s="1"/>
      <c r="I102" s="1"/>
      <c r="J102" s="1"/>
      <c r="K102" s="1"/>
      <c r="L102" s="1"/>
      <c r="M102" s="1"/>
    </row>
    <row r="103" ht="15.75" customHeight="1">
      <c r="A103" s="1"/>
      <c r="B103" s="1"/>
      <c r="C103" s="1"/>
      <c r="D103" s="1"/>
      <c r="E103" s="1"/>
      <c r="F103" s="1"/>
      <c r="G103" s="1"/>
      <c r="H103" s="1"/>
      <c r="I103" s="1"/>
      <c r="J103" s="1"/>
      <c r="K103" s="1"/>
      <c r="L103" s="1"/>
      <c r="M103" s="1"/>
    </row>
    <row r="104" ht="15.75" customHeight="1">
      <c r="A104" s="1"/>
      <c r="B104" s="1"/>
      <c r="C104" s="1"/>
      <c r="D104" s="1"/>
      <c r="E104" s="1"/>
      <c r="F104" s="1"/>
      <c r="G104" s="1"/>
      <c r="H104" s="1"/>
      <c r="I104" s="1"/>
      <c r="J104" s="1"/>
      <c r="K104" s="1"/>
      <c r="L104" s="1"/>
      <c r="M104" s="1"/>
    </row>
    <row r="105" ht="15.75" customHeight="1">
      <c r="A105" s="1"/>
      <c r="B105" s="1"/>
      <c r="C105" s="1"/>
      <c r="D105" s="1"/>
      <c r="E105" s="1"/>
      <c r="F105" s="1"/>
      <c r="G105" s="1"/>
      <c r="H105" s="1"/>
      <c r="I105" s="1"/>
      <c r="J105" s="1"/>
      <c r="K105" s="1"/>
      <c r="L105" s="1"/>
      <c r="M105" s="1"/>
    </row>
    <row r="106" ht="15.75" customHeight="1">
      <c r="A106" s="1"/>
      <c r="B106" s="1"/>
      <c r="C106" s="1"/>
      <c r="D106" s="1"/>
      <c r="E106" s="1"/>
      <c r="F106" s="1"/>
      <c r="G106" s="1"/>
      <c r="H106" s="1"/>
      <c r="I106" s="1"/>
      <c r="J106" s="1"/>
      <c r="K106" s="1"/>
      <c r="L106" s="1"/>
      <c r="M106" s="1"/>
    </row>
    <row r="107" ht="15.75" customHeight="1">
      <c r="A107" s="1"/>
      <c r="B107" s="1"/>
      <c r="C107" s="1"/>
      <c r="D107" s="1"/>
      <c r="E107" s="1"/>
      <c r="F107" s="1"/>
      <c r="G107" s="1"/>
      <c r="H107" s="1"/>
      <c r="I107" s="1"/>
      <c r="J107" s="1"/>
      <c r="K107" s="1"/>
      <c r="L107" s="1"/>
      <c r="M107" s="1"/>
    </row>
    <row r="108" ht="15.75" customHeight="1">
      <c r="A108" s="1"/>
      <c r="B108" s="1"/>
      <c r="C108" s="1"/>
      <c r="D108" s="1"/>
      <c r="E108" s="1"/>
      <c r="F108" s="1"/>
      <c r="G108" s="1"/>
      <c r="H108" s="1"/>
      <c r="I108" s="1"/>
      <c r="J108" s="1"/>
      <c r="K108" s="1"/>
      <c r="L108" s="1"/>
      <c r="M108" s="1"/>
    </row>
    <row r="109" ht="15.75" customHeight="1">
      <c r="A109" s="1"/>
      <c r="B109" s="1"/>
      <c r="C109" s="1"/>
      <c r="D109" s="1"/>
      <c r="E109" s="1"/>
      <c r="F109" s="1"/>
      <c r="G109" s="1"/>
      <c r="H109" s="1"/>
      <c r="I109" s="1"/>
      <c r="J109" s="1"/>
      <c r="K109" s="1"/>
      <c r="L109" s="1"/>
      <c r="M109" s="1"/>
    </row>
    <row r="110" ht="15.75" customHeight="1">
      <c r="A110" s="1"/>
      <c r="B110" s="1"/>
      <c r="C110" s="1"/>
      <c r="D110" s="1"/>
      <c r="E110" s="1"/>
      <c r="F110" s="1"/>
      <c r="G110" s="1"/>
      <c r="H110" s="1"/>
      <c r="I110" s="1"/>
      <c r="J110" s="1"/>
      <c r="K110" s="1"/>
      <c r="L110" s="1"/>
      <c r="M110" s="1"/>
    </row>
    <row r="111" ht="15.75" customHeight="1">
      <c r="A111" s="1"/>
      <c r="B111" s="1"/>
      <c r="C111" s="1"/>
      <c r="D111" s="1"/>
      <c r="E111" s="1"/>
      <c r="F111" s="1"/>
      <c r="G111" s="1"/>
      <c r="H111" s="1"/>
      <c r="I111" s="1"/>
      <c r="J111" s="1"/>
      <c r="K111" s="1"/>
      <c r="L111" s="1"/>
      <c r="M111" s="1"/>
    </row>
    <row r="112" ht="15.75" customHeight="1">
      <c r="A112" s="1"/>
      <c r="B112" s="1"/>
      <c r="C112" s="1"/>
      <c r="D112" s="1"/>
      <c r="E112" s="1"/>
      <c r="F112" s="1"/>
      <c r="G112" s="1"/>
      <c r="H112" s="1"/>
      <c r="I112" s="1"/>
      <c r="J112" s="1"/>
      <c r="K112" s="1"/>
      <c r="L112" s="1"/>
      <c r="M112" s="1"/>
    </row>
    <row r="113" ht="15.75" customHeight="1">
      <c r="A113" s="1"/>
      <c r="B113" s="1"/>
      <c r="C113" s="1"/>
      <c r="D113" s="1"/>
      <c r="E113" s="1"/>
      <c r="F113" s="1"/>
      <c r="G113" s="1"/>
      <c r="H113" s="1"/>
      <c r="I113" s="1"/>
      <c r="J113" s="1"/>
      <c r="K113" s="1"/>
      <c r="L113" s="1"/>
      <c r="M113" s="1"/>
    </row>
    <row r="114" ht="15.75" customHeight="1">
      <c r="A114" s="1"/>
      <c r="B114" s="1"/>
      <c r="C114" s="1"/>
      <c r="D114" s="1"/>
      <c r="E114" s="1"/>
      <c r="F114" s="1"/>
      <c r="G114" s="1"/>
      <c r="H114" s="1"/>
      <c r="I114" s="1"/>
      <c r="J114" s="1"/>
      <c r="K114" s="1"/>
      <c r="L114" s="1"/>
      <c r="M114" s="1"/>
    </row>
    <row r="115" ht="15.75" customHeight="1">
      <c r="A115" s="1"/>
      <c r="B115" s="1"/>
      <c r="C115" s="1"/>
      <c r="D115" s="1"/>
      <c r="E115" s="1"/>
      <c r="F115" s="1"/>
      <c r="G115" s="1"/>
      <c r="H115" s="1"/>
      <c r="I115" s="1"/>
      <c r="J115" s="1"/>
      <c r="K115" s="1"/>
      <c r="L115" s="1"/>
      <c r="M115" s="1"/>
    </row>
    <row r="116" ht="15.75" customHeight="1">
      <c r="A116" s="1"/>
      <c r="B116" s="1"/>
      <c r="C116" s="1"/>
      <c r="D116" s="1"/>
      <c r="E116" s="1"/>
      <c r="F116" s="1"/>
      <c r="G116" s="1"/>
      <c r="H116" s="1"/>
      <c r="I116" s="1"/>
      <c r="J116" s="1"/>
      <c r="K116" s="1"/>
      <c r="L116" s="1"/>
      <c r="M116" s="1"/>
    </row>
    <row r="117" ht="15.75" customHeight="1">
      <c r="A117" s="1"/>
      <c r="B117" s="1"/>
      <c r="C117" s="1"/>
      <c r="D117" s="1"/>
      <c r="E117" s="1"/>
      <c r="F117" s="1"/>
      <c r="G117" s="1"/>
      <c r="H117" s="1"/>
      <c r="I117" s="1"/>
      <c r="J117" s="1"/>
      <c r="K117" s="1"/>
      <c r="L117" s="1"/>
      <c r="M117" s="1"/>
    </row>
    <row r="118" ht="15.75" customHeight="1">
      <c r="A118" s="1"/>
      <c r="B118" s="1"/>
      <c r="C118" s="1"/>
      <c r="D118" s="1"/>
      <c r="E118" s="1"/>
      <c r="F118" s="1"/>
      <c r="G118" s="1"/>
      <c r="H118" s="1"/>
      <c r="I118" s="1"/>
      <c r="J118" s="1"/>
      <c r="K118" s="1"/>
      <c r="L118" s="1"/>
      <c r="M118" s="1"/>
    </row>
    <row r="119" ht="15.75" customHeight="1">
      <c r="A119" s="1"/>
      <c r="B119" s="1"/>
      <c r="C119" s="1"/>
      <c r="D119" s="1"/>
      <c r="E119" s="1"/>
      <c r="F119" s="1"/>
      <c r="G119" s="1"/>
      <c r="H119" s="1"/>
      <c r="I119" s="1"/>
      <c r="J119" s="1"/>
      <c r="K119" s="1"/>
      <c r="L119" s="1"/>
      <c r="M119" s="1"/>
    </row>
    <row r="120" ht="15.75" customHeight="1">
      <c r="A120" s="1"/>
      <c r="B120" s="1"/>
      <c r="C120" s="1"/>
      <c r="D120" s="1"/>
      <c r="E120" s="1"/>
      <c r="F120" s="1"/>
      <c r="G120" s="1"/>
      <c r="H120" s="1"/>
      <c r="I120" s="1"/>
      <c r="J120" s="1"/>
      <c r="K120" s="1"/>
      <c r="L120" s="1"/>
      <c r="M120" s="1"/>
    </row>
    <row r="121" ht="15.75" customHeight="1">
      <c r="A121" s="1"/>
      <c r="B121" s="1"/>
      <c r="C121" s="1"/>
      <c r="D121" s="1"/>
      <c r="E121" s="1"/>
      <c r="F121" s="1"/>
      <c r="G121" s="1"/>
      <c r="H121" s="1"/>
      <c r="I121" s="1"/>
      <c r="J121" s="1"/>
      <c r="K121" s="1"/>
      <c r="L121" s="1"/>
      <c r="M121" s="1"/>
    </row>
    <row r="122" ht="15.75" customHeight="1">
      <c r="A122" s="1"/>
      <c r="B122" s="1"/>
      <c r="C122" s="1"/>
      <c r="D122" s="1"/>
      <c r="E122" s="1"/>
      <c r="F122" s="1"/>
      <c r="G122" s="1"/>
      <c r="H122" s="1"/>
      <c r="I122" s="1"/>
      <c r="J122" s="1"/>
      <c r="K122" s="1"/>
      <c r="L122" s="1"/>
      <c r="M122" s="1"/>
    </row>
    <row r="123" ht="15.75" customHeight="1">
      <c r="A123" s="1"/>
      <c r="B123" s="1"/>
      <c r="C123" s="1"/>
      <c r="D123" s="1"/>
      <c r="E123" s="1"/>
      <c r="F123" s="1"/>
      <c r="G123" s="1"/>
      <c r="H123" s="1"/>
      <c r="I123" s="1"/>
      <c r="J123" s="1"/>
      <c r="K123" s="1"/>
      <c r="L123" s="1"/>
      <c r="M123" s="1"/>
    </row>
    <row r="124" ht="15.75" customHeight="1">
      <c r="A124" s="1"/>
      <c r="B124" s="1"/>
      <c r="C124" s="1"/>
      <c r="D124" s="1"/>
      <c r="E124" s="1"/>
      <c r="F124" s="1"/>
      <c r="G124" s="1"/>
      <c r="H124" s="1"/>
      <c r="I124" s="1"/>
      <c r="J124" s="1"/>
      <c r="K124" s="1"/>
      <c r="L124" s="1"/>
      <c r="M124" s="1"/>
    </row>
    <row r="125" ht="15.75" customHeight="1">
      <c r="A125" s="1"/>
      <c r="B125" s="1"/>
      <c r="C125" s="1"/>
      <c r="D125" s="1"/>
      <c r="E125" s="1"/>
      <c r="F125" s="1"/>
      <c r="G125" s="1"/>
      <c r="H125" s="1"/>
      <c r="I125" s="1"/>
      <c r="J125" s="1"/>
      <c r="K125" s="1"/>
      <c r="L125" s="1"/>
      <c r="M125" s="1"/>
    </row>
    <row r="126" ht="15.75" customHeight="1">
      <c r="A126" s="1"/>
      <c r="B126" s="1"/>
      <c r="C126" s="1"/>
      <c r="D126" s="1"/>
      <c r="E126" s="1"/>
      <c r="F126" s="1"/>
      <c r="G126" s="1"/>
      <c r="H126" s="1"/>
      <c r="I126" s="1"/>
      <c r="J126" s="1"/>
      <c r="K126" s="1"/>
      <c r="L126" s="1"/>
      <c r="M126" s="1"/>
    </row>
    <row r="127" ht="15.75" customHeight="1">
      <c r="A127" s="1"/>
      <c r="B127" s="1"/>
      <c r="C127" s="1"/>
      <c r="D127" s="1"/>
      <c r="E127" s="1"/>
      <c r="F127" s="1"/>
      <c r="G127" s="1"/>
      <c r="H127" s="1"/>
      <c r="I127" s="1"/>
      <c r="J127" s="1"/>
      <c r="K127" s="1"/>
      <c r="L127" s="1"/>
      <c r="M127" s="1"/>
    </row>
    <row r="128" ht="15.75" customHeight="1">
      <c r="A128" s="1"/>
      <c r="B128" s="1"/>
      <c r="C128" s="1"/>
      <c r="D128" s="1"/>
      <c r="E128" s="1"/>
      <c r="F128" s="1"/>
      <c r="G128" s="1"/>
      <c r="H128" s="1"/>
      <c r="I128" s="1"/>
      <c r="J128" s="1"/>
      <c r="K128" s="1"/>
      <c r="L128" s="1"/>
      <c r="M128" s="1"/>
    </row>
    <row r="129" ht="15.75" customHeight="1">
      <c r="A129" s="1"/>
      <c r="B129" s="1"/>
      <c r="C129" s="1"/>
      <c r="D129" s="1"/>
      <c r="E129" s="1"/>
      <c r="F129" s="1"/>
      <c r="G129" s="1"/>
      <c r="H129" s="1"/>
      <c r="I129" s="1"/>
      <c r="J129" s="1"/>
      <c r="K129" s="1"/>
      <c r="L129" s="1"/>
      <c r="M129" s="1"/>
    </row>
    <row r="130" ht="15.75" customHeight="1">
      <c r="A130" s="1"/>
      <c r="B130" s="1"/>
      <c r="C130" s="1"/>
      <c r="D130" s="1"/>
      <c r="E130" s="1"/>
      <c r="F130" s="1"/>
      <c r="G130" s="1"/>
      <c r="H130" s="1"/>
      <c r="I130" s="1"/>
      <c r="J130" s="1"/>
      <c r="K130" s="1"/>
      <c r="L130" s="1"/>
      <c r="M130" s="1"/>
    </row>
    <row r="131" ht="15.75" customHeight="1">
      <c r="A131" s="1"/>
      <c r="B131" s="1"/>
      <c r="C131" s="1"/>
      <c r="D131" s="1"/>
      <c r="E131" s="1"/>
      <c r="F131" s="1"/>
      <c r="G131" s="1"/>
      <c r="H131" s="1"/>
      <c r="I131" s="1"/>
      <c r="J131" s="1"/>
      <c r="K131" s="1"/>
      <c r="L131" s="1"/>
      <c r="M131" s="1"/>
    </row>
    <row r="132" ht="15.75" customHeight="1">
      <c r="A132" s="1"/>
      <c r="B132" s="1"/>
      <c r="C132" s="1"/>
      <c r="D132" s="1"/>
      <c r="E132" s="1"/>
      <c r="F132" s="1"/>
      <c r="G132" s="1"/>
      <c r="H132" s="1"/>
      <c r="I132" s="1"/>
      <c r="J132" s="1"/>
      <c r="K132" s="1"/>
      <c r="L132" s="1"/>
      <c r="M132" s="1"/>
    </row>
    <row r="133" ht="15.75" customHeight="1">
      <c r="A133" s="1"/>
      <c r="B133" s="1"/>
      <c r="C133" s="1"/>
      <c r="D133" s="1"/>
      <c r="E133" s="1"/>
      <c r="F133" s="1"/>
      <c r="G133" s="1"/>
      <c r="H133" s="1"/>
      <c r="I133" s="1"/>
      <c r="J133" s="1"/>
      <c r="K133" s="1"/>
      <c r="L133" s="1"/>
      <c r="M133" s="1"/>
    </row>
    <row r="134" ht="15.75" customHeight="1">
      <c r="A134" s="1"/>
      <c r="B134" s="1"/>
      <c r="C134" s="1"/>
      <c r="D134" s="1"/>
      <c r="E134" s="1"/>
      <c r="F134" s="1"/>
      <c r="G134" s="1"/>
      <c r="H134" s="1"/>
      <c r="I134" s="1"/>
      <c r="J134" s="1"/>
      <c r="K134" s="1"/>
      <c r="L134" s="1"/>
      <c r="M134" s="1"/>
    </row>
    <row r="135" ht="15.75" customHeight="1">
      <c r="A135" s="1"/>
      <c r="B135" s="1"/>
      <c r="C135" s="1"/>
      <c r="D135" s="1"/>
      <c r="E135" s="1"/>
      <c r="F135" s="1"/>
      <c r="G135" s="1"/>
      <c r="H135" s="1"/>
      <c r="I135" s="1"/>
      <c r="J135" s="1"/>
      <c r="K135" s="1"/>
      <c r="L135" s="1"/>
      <c r="M135" s="1"/>
    </row>
    <row r="136" ht="15.75" customHeight="1">
      <c r="A136" s="1"/>
      <c r="B136" s="1"/>
      <c r="C136" s="1"/>
      <c r="D136" s="1"/>
      <c r="E136" s="1"/>
      <c r="F136" s="1"/>
      <c r="G136" s="1"/>
      <c r="H136" s="1"/>
      <c r="I136" s="1"/>
      <c r="J136" s="1"/>
      <c r="K136" s="1"/>
      <c r="L136" s="1"/>
      <c r="M136" s="1"/>
    </row>
    <row r="137" ht="15.75" customHeight="1">
      <c r="A137" s="1"/>
      <c r="B137" s="1"/>
      <c r="C137" s="1"/>
      <c r="D137" s="1"/>
      <c r="E137" s="1"/>
      <c r="F137" s="1"/>
      <c r="G137" s="1"/>
      <c r="H137" s="1"/>
      <c r="I137" s="1"/>
      <c r="J137" s="1"/>
      <c r="K137" s="1"/>
      <c r="L137" s="1"/>
      <c r="M137" s="1"/>
    </row>
    <row r="138" ht="15.75" customHeight="1">
      <c r="A138" s="1"/>
      <c r="B138" s="1"/>
      <c r="C138" s="1"/>
      <c r="D138" s="1"/>
      <c r="E138" s="1"/>
      <c r="F138" s="1"/>
      <c r="G138" s="1"/>
      <c r="H138" s="1"/>
      <c r="I138" s="1"/>
      <c r="J138" s="1"/>
      <c r="K138" s="1"/>
      <c r="L138" s="1"/>
      <c r="M138" s="1"/>
    </row>
    <row r="139" ht="15.75" customHeight="1">
      <c r="A139" s="1"/>
      <c r="B139" s="1"/>
      <c r="C139" s="1"/>
      <c r="D139" s="1"/>
      <c r="E139" s="1"/>
      <c r="F139" s="1"/>
      <c r="G139" s="1"/>
      <c r="H139" s="1"/>
      <c r="I139" s="1"/>
      <c r="J139" s="1"/>
      <c r="K139" s="1"/>
      <c r="L139" s="1"/>
      <c r="M139" s="1"/>
    </row>
    <row r="140" ht="15.75" customHeight="1">
      <c r="A140" s="1"/>
      <c r="B140" s="1"/>
      <c r="C140" s="1"/>
      <c r="D140" s="1"/>
      <c r="E140" s="1"/>
      <c r="F140" s="1"/>
      <c r="G140" s="1"/>
      <c r="H140" s="1"/>
      <c r="I140" s="1"/>
      <c r="J140" s="1"/>
      <c r="K140" s="1"/>
      <c r="L140" s="1"/>
      <c r="M140" s="1"/>
    </row>
    <row r="141" ht="15.75" customHeight="1">
      <c r="A141" s="1"/>
      <c r="B141" s="1"/>
      <c r="C141" s="1"/>
      <c r="D141" s="1"/>
      <c r="E141" s="1"/>
      <c r="F141" s="1"/>
      <c r="G141" s="1"/>
      <c r="H141" s="1"/>
      <c r="I141" s="1"/>
      <c r="J141" s="1"/>
      <c r="K141" s="1"/>
      <c r="L141" s="1"/>
      <c r="M141" s="1"/>
    </row>
    <row r="142" ht="15.75" customHeight="1">
      <c r="A142" s="1"/>
      <c r="B142" s="1"/>
      <c r="C142" s="1"/>
      <c r="D142" s="1"/>
      <c r="E142" s="1"/>
      <c r="F142" s="1"/>
      <c r="G142" s="1"/>
      <c r="H142" s="1"/>
      <c r="I142" s="1"/>
      <c r="J142" s="1"/>
      <c r="K142" s="1"/>
      <c r="L142" s="1"/>
      <c r="M142" s="1"/>
    </row>
    <row r="143" ht="15.75" customHeight="1">
      <c r="A143" s="1"/>
      <c r="B143" s="1"/>
      <c r="C143" s="1"/>
      <c r="D143" s="1"/>
      <c r="E143" s="1"/>
      <c r="F143" s="1"/>
      <c r="G143" s="1"/>
      <c r="H143" s="1"/>
      <c r="I143" s="1"/>
      <c r="J143" s="1"/>
      <c r="K143" s="1"/>
      <c r="L143" s="1"/>
      <c r="M143" s="1"/>
    </row>
    <row r="144" ht="15.75" customHeight="1">
      <c r="A144" s="1"/>
      <c r="B144" s="1"/>
      <c r="C144" s="1"/>
      <c r="D144" s="1"/>
      <c r="E144" s="1"/>
      <c r="F144" s="1"/>
      <c r="G144" s="1"/>
      <c r="H144" s="1"/>
      <c r="I144" s="1"/>
      <c r="J144" s="1"/>
      <c r="K144" s="1"/>
      <c r="L144" s="1"/>
      <c r="M144" s="1"/>
    </row>
    <row r="145" ht="15.75" customHeight="1">
      <c r="A145" s="1"/>
      <c r="B145" s="1"/>
      <c r="C145" s="1"/>
      <c r="D145" s="1"/>
      <c r="E145" s="1"/>
      <c r="F145" s="1"/>
      <c r="G145" s="1"/>
      <c r="H145" s="1"/>
      <c r="I145" s="1"/>
      <c r="J145" s="1"/>
      <c r="K145" s="1"/>
      <c r="L145" s="1"/>
      <c r="M145" s="1"/>
    </row>
    <row r="146" ht="15.75" customHeight="1">
      <c r="A146" s="1"/>
      <c r="B146" s="1"/>
      <c r="C146" s="1"/>
      <c r="D146" s="1"/>
      <c r="E146" s="1"/>
      <c r="F146" s="1"/>
      <c r="G146" s="1"/>
      <c r="H146" s="1"/>
      <c r="I146" s="1"/>
      <c r="J146" s="1"/>
      <c r="K146" s="1"/>
      <c r="L146" s="1"/>
      <c r="M146" s="1"/>
    </row>
    <row r="147" ht="15.75" customHeight="1">
      <c r="A147" s="1"/>
      <c r="B147" s="1"/>
      <c r="C147" s="1"/>
      <c r="D147" s="1"/>
      <c r="E147" s="1"/>
      <c r="F147" s="1"/>
      <c r="G147" s="1"/>
      <c r="H147" s="1"/>
      <c r="I147" s="1"/>
      <c r="J147" s="1"/>
      <c r="K147" s="1"/>
      <c r="L147" s="1"/>
      <c r="M147" s="1"/>
    </row>
    <row r="148" ht="15.75" customHeight="1">
      <c r="A148" s="1"/>
      <c r="B148" s="1"/>
      <c r="C148" s="1"/>
      <c r="D148" s="1"/>
      <c r="E148" s="1"/>
      <c r="F148" s="1"/>
      <c r="G148" s="1"/>
      <c r="H148" s="1"/>
      <c r="I148" s="1"/>
      <c r="J148" s="1"/>
      <c r="K148" s="1"/>
      <c r="L148" s="1"/>
      <c r="M148" s="1"/>
    </row>
    <row r="149" ht="15.75" customHeight="1">
      <c r="A149" s="1"/>
      <c r="B149" s="1"/>
      <c r="C149" s="1"/>
      <c r="D149" s="1"/>
      <c r="E149" s="1"/>
      <c r="F149" s="1"/>
      <c r="G149" s="1"/>
      <c r="H149" s="1"/>
      <c r="I149" s="1"/>
      <c r="J149" s="1"/>
      <c r="K149" s="1"/>
      <c r="L149" s="1"/>
      <c r="M149" s="1"/>
    </row>
    <row r="150" ht="15.75" customHeight="1">
      <c r="A150" s="1"/>
      <c r="B150" s="1"/>
      <c r="C150" s="1"/>
      <c r="D150" s="1"/>
      <c r="E150" s="1"/>
      <c r="F150" s="1"/>
      <c r="G150" s="1"/>
      <c r="H150" s="1"/>
      <c r="I150" s="1"/>
      <c r="J150" s="1"/>
      <c r="K150" s="1"/>
      <c r="L150" s="1"/>
      <c r="M150" s="1"/>
    </row>
    <row r="151" ht="15.75" customHeight="1">
      <c r="A151" s="1"/>
      <c r="B151" s="1"/>
      <c r="C151" s="1"/>
      <c r="D151" s="1"/>
      <c r="E151" s="1"/>
      <c r="F151" s="1"/>
      <c r="G151" s="1"/>
      <c r="H151" s="1"/>
      <c r="I151" s="1"/>
      <c r="J151" s="1"/>
      <c r="K151" s="1"/>
      <c r="L151" s="1"/>
      <c r="M151" s="1"/>
    </row>
    <row r="152" ht="15.75" customHeight="1">
      <c r="A152" s="1"/>
      <c r="B152" s="1"/>
      <c r="C152" s="1"/>
      <c r="D152" s="1"/>
      <c r="E152" s="1"/>
      <c r="F152" s="1"/>
      <c r="G152" s="1"/>
      <c r="H152" s="1"/>
      <c r="I152" s="1"/>
      <c r="J152" s="1"/>
      <c r="K152" s="1"/>
      <c r="L152" s="1"/>
      <c r="M152" s="1"/>
    </row>
    <row r="153" ht="15.75" customHeight="1">
      <c r="A153" s="1"/>
      <c r="B153" s="1"/>
      <c r="C153" s="1"/>
      <c r="D153" s="1"/>
      <c r="E153" s="1"/>
      <c r="F153" s="1"/>
      <c r="G153" s="1"/>
      <c r="H153" s="1"/>
      <c r="I153" s="1"/>
      <c r="J153" s="1"/>
      <c r="K153" s="1"/>
      <c r="L153" s="1"/>
      <c r="M153" s="1"/>
    </row>
    <row r="154" ht="15.75" customHeight="1">
      <c r="A154" s="1"/>
      <c r="B154" s="1"/>
      <c r="C154" s="1"/>
      <c r="D154" s="1"/>
      <c r="E154" s="1"/>
      <c r="F154" s="1"/>
      <c r="G154" s="1"/>
      <c r="H154" s="1"/>
      <c r="I154" s="1"/>
      <c r="J154" s="1"/>
      <c r="K154" s="1"/>
      <c r="L154" s="1"/>
      <c r="M154" s="1"/>
    </row>
    <row r="155" ht="15.75" customHeight="1">
      <c r="A155" s="1"/>
      <c r="B155" s="1"/>
      <c r="C155" s="1"/>
      <c r="D155" s="1"/>
      <c r="E155" s="1"/>
      <c r="F155" s="1"/>
      <c r="G155" s="1"/>
      <c r="H155" s="1"/>
      <c r="I155" s="1"/>
      <c r="J155" s="1"/>
      <c r="K155" s="1"/>
      <c r="L155" s="1"/>
      <c r="M155" s="1"/>
    </row>
    <row r="156" ht="15.75" customHeight="1">
      <c r="A156" s="1"/>
      <c r="B156" s="1"/>
      <c r="C156" s="1"/>
      <c r="D156" s="1"/>
      <c r="E156" s="1"/>
      <c r="F156" s="1"/>
      <c r="G156" s="1"/>
      <c r="H156" s="1"/>
      <c r="I156" s="1"/>
      <c r="J156" s="1"/>
      <c r="K156" s="1"/>
      <c r="L156" s="1"/>
      <c r="M156" s="1"/>
    </row>
    <row r="157" ht="15.75" customHeight="1">
      <c r="A157" s="1"/>
      <c r="B157" s="1"/>
      <c r="C157" s="1"/>
      <c r="D157" s="1"/>
      <c r="E157" s="1"/>
      <c r="F157" s="1"/>
      <c r="G157" s="1"/>
      <c r="H157" s="1"/>
      <c r="I157" s="1"/>
      <c r="J157" s="1"/>
      <c r="K157" s="1"/>
      <c r="L157" s="1"/>
      <c r="M157" s="1"/>
    </row>
    <row r="158" ht="15.75" customHeight="1">
      <c r="A158" s="1"/>
      <c r="B158" s="1"/>
      <c r="C158" s="1"/>
      <c r="D158" s="1"/>
      <c r="E158" s="1"/>
      <c r="F158" s="1"/>
      <c r="G158" s="1"/>
      <c r="H158" s="1"/>
      <c r="I158" s="1"/>
      <c r="J158" s="1"/>
      <c r="K158" s="1"/>
      <c r="L158" s="1"/>
      <c r="M158" s="1"/>
    </row>
    <row r="159" ht="15.75" customHeight="1">
      <c r="A159" s="1"/>
      <c r="B159" s="1"/>
      <c r="C159" s="1"/>
      <c r="D159" s="1"/>
      <c r="E159" s="1"/>
      <c r="F159" s="1"/>
      <c r="G159" s="1"/>
      <c r="H159" s="1"/>
      <c r="I159" s="1"/>
      <c r="J159" s="1"/>
      <c r="K159" s="1"/>
      <c r="L159" s="1"/>
      <c r="M159" s="1"/>
    </row>
    <row r="160" ht="15.75" customHeight="1">
      <c r="A160" s="1"/>
      <c r="B160" s="1"/>
      <c r="C160" s="1"/>
      <c r="D160" s="1"/>
      <c r="E160" s="1"/>
      <c r="F160" s="1"/>
      <c r="G160" s="1"/>
      <c r="H160" s="1"/>
      <c r="I160" s="1"/>
      <c r="J160" s="1"/>
      <c r="K160" s="1"/>
      <c r="L160" s="1"/>
      <c r="M160" s="1"/>
    </row>
    <row r="161" ht="15.75" customHeight="1">
      <c r="A161" s="1"/>
      <c r="B161" s="1"/>
      <c r="C161" s="1"/>
      <c r="D161" s="1"/>
      <c r="E161" s="1"/>
      <c r="F161" s="1"/>
      <c r="G161" s="1"/>
      <c r="H161" s="1"/>
      <c r="I161" s="1"/>
      <c r="J161" s="1"/>
      <c r="K161" s="1"/>
      <c r="L161" s="1"/>
      <c r="M161" s="1"/>
    </row>
    <row r="162" ht="15.75" customHeight="1">
      <c r="A162" s="1"/>
      <c r="B162" s="1"/>
      <c r="C162" s="1"/>
      <c r="D162" s="1"/>
      <c r="E162" s="1"/>
      <c r="F162" s="1"/>
      <c r="G162" s="1"/>
      <c r="H162" s="1"/>
      <c r="I162" s="1"/>
      <c r="J162" s="1"/>
      <c r="K162" s="1"/>
      <c r="L162" s="1"/>
      <c r="M162" s="1"/>
    </row>
    <row r="163" ht="15.75" customHeight="1">
      <c r="A163" s="1"/>
      <c r="B163" s="1"/>
      <c r="C163" s="1"/>
      <c r="D163" s="1"/>
      <c r="E163" s="1"/>
      <c r="F163" s="1"/>
      <c r="G163" s="1"/>
      <c r="H163" s="1"/>
      <c r="I163" s="1"/>
      <c r="J163" s="1"/>
      <c r="K163" s="1"/>
      <c r="L163" s="1"/>
      <c r="M163" s="1"/>
    </row>
    <row r="164" ht="15.75" customHeight="1">
      <c r="A164" s="1"/>
      <c r="B164" s="1"/>
      <c r="C164" s="1"/>
      <c r="D164" s="1"/>
      <c r="E164" s="1"/>
      <c r="F164" s="1"/>
      <c r="G164" s="1"/>
      <c r="H164" s="1"/>
      <c r="I164" s="1"/>
      <c r="J164" s="1"/>
      <c r="K164" s="1"/>
      <c r="L164" s="1"/>
      <c r="M164" s="1"/>
    </row>
    <row r="165" ht="15.75" customHeight="1">
      <c r="A165" s="1"/>
      <c r="B165" s="1"/>
      <c r="C165" s="1"/>
      <c r="D165" s="1"/>
      <c r="E165" s="1"/>
      <c r="F165" s="1"/>
      <c r="G165" s="1"/>
      <c r="H165" s="1"/>
      <c r="I165" s="1"/>
      <c r="J165" s="1"/>
      <c r="K165" s="1"/>
      <c r="L165" s="1"/>
      <c r="M165" s="1"/>
    </row>
    <row r="166" ht="15.75" customHeight="1">
      <c r="A166" s="1"/>
      <c r="B166" s="1"/>
      <c r="C166" s="1"/>
      <c r="D166" s="1"/>
      <c r="E166" s="1"/>
      <c r="F166" s="1"/>
      <c r="G166" s="1"/>
      <c r="H166" s="1"/>
      <c r="I166" s="1"/>
      <c r="J166" s="1"/>
      <c r="K166" s="1"/>
      <c r="L166" s="1"/>
      <c r="M166" s="1"/>
    </row>
    <row r="167" ht="15.75" customHeight="1">
      <c r="A167" s="1"/>
      <c r="B167" s="1"/>
      <c r="C167" s="1"/>
      <c r="D167" s="1"/>
      <c r="E167" s="1"/>
      <c r="F167" s="1"/>
      <c r="G167" s="1"/>
      <c r="H167" s="1"/>
      <c r="I167" s="1"/>
      <c r="J167" s="1"/>
      <c r="K167" s="1"/>
      <c r="L167" s="1"/>
      <c r="M167" s="1"/>
    </row>
    <row r="168" ht="15.75" customHeight="1">
      <c r="A168" s="1"/>
      <c r="B168" s="1"/>
      <c r="C168" s="1"/>
      <c r="D168" s="1"/>
      <c r="E168" s="1"/>
      <c r="F168" s="1"/>
      <c r="G168" s="1"/>
      <c r="H168" s="1"/>
      <c r="I168" s="1"/>
      <c r="J168" s="1"/>
      <c r="K168" s="1"/>
      <c r="L168" s="1"/>
      <c r="M168" s="1"/>
    </row>
    <row r="169" ht="15.75" customHeight="1">
      <c r="A169" s="1"/>
      <c r="B169" s="1"/>
      <c r="C169" s="1"/>
      <c r="D169" s="1"/>
      <c r="E169" s="1"/>
      <c r="F169" s="1"/>
      <c r="G169" s="1"/>
      <c r="H169" s="1"/>
      <c r="I169" s="1"/>
      <c r="J169" s="1"/>
      <c r="K169" s="1"/>
      <c r="L169" s="1"/>
      <c r="M169" s="1"/>
    </row>
    <row r="170" ht="15.75" customHeight="1">
      <c r="A170" s="1"/>
      <c r="B170" s="1"/>
      <c r="C170" s="1"/>
      <c r="D170" s="1"/>
      <c r="E170" s="1"/>
      <c r="F170" s="1"/>
      <c r="G170" s="1"/>
      <c r="H170" s="1"/>
      <c r="I170" s="1"/>
      <c r="J170" s="1"/>
      <c r="K170" s="1"/>
      <c r="L170" s="1"/>
      <c r="M170" s="1"/>
    </row>
    <row r="171" ht="15.75" customHeight="1">
      <c r="A171" s="1"/>
      <c r="B171" s="1"/>
      <c r="C171" s="1"/>
      <c r="D171" s="1"/>
      <c r="E171" s="1"/>
      <c r="F171" s="1"/>
      <c r="G171" s="1"/>
      <c r="H171" s="1"/>
      <c r="I171" s="1"/>
      <c r="J171" s="1"/>
      <c r="K171" s="1"/>
      <c r="L171" s="1"/>
      <c r="M171" s="1"/>
    </row>
    <row r="172" ht="15.75" customHeight="1">
      <c r="A172" s="1"/>
      <c r="B172" s="1"/>
      <c r="C172" s="1"/>
      <c r="D172" s="1"/>
      <c r="E172" s="1"/>
      <c r="F172" s="1"/>
      <c r="G172" s="1"/>
      <c r="H172" s="1"/>
      <c r="I172" s="1"/>
      <c r="J172" s="1"/>
      <c r="K172" s="1"/>
      <c r="L172" s="1"/>
      <c r="M172" s="1"/>
    </row>
    <row r="173" ht="15.75" customHeight="1">
      <c r="A173" s="1"/>
      <c r="B173" s="1"/>
      <c r="C173" s="1"/>
      <c r="D173" s="1"/>
      <c r="E173" s="1"/>
      <c r="F173" s="1"/>
      <c r="G173" s="1"/>
      <c r="H173" s="1"/>
      <c r="I173" s="1"/>
      <c r="J173" s="1"/>
      <c r="K173" s="1"/>
      <c r="L173" s="1"/>
      <c r="M173" s="1"/>
    </row>
    <row r="174" ht="15.75" customHeight="1">
      <c r="A174" s="1"/>
      <c r="B174" s="1"/>
      <c r="C174" s="1"/>
      <c r="D174" s="1"/>
      <c r="E174" s="1"/>
      <c r="F174" s="1"/>
      <c r="G174" s="1"/>
      <c r="H174" s="1"/>
      <c r="I174" s="1"/>
      <c r="J174" s="1"/>
      <c r="K174" s="1"/>
      <c r="L174" s="1"/>
      <c r="M174" s="1"/>
    </row>
    <row r="175" ht="15.75" customHeight="1">
      <c r="A175" s="1"/>
      <c r="B175" s="1"/>
      <c r="C175" s="1"/>
      <c r="D175" s="1"/>
      <c r="E175" s="1"/>
      <c r="F175" s="1"/>
      <c r="G175" s="1"/>
      <c r="H175" s="1"/>
      <c r="I175" s="1"/>
      <c r="J175" s="1"/>
      <c r="K175" s="1"/>
      <c r="L175" s="1"/>
      <c r="M175" s="1"/>
    </row>
    <row r="176" ht="15.75" customHeight="1">
      <c r="A176" s="1"/>
      <c r="B176" s="1"/>
      <c r="C176" s="1"/>
      <c r="D176" s="1"/>
      <c r="E176" s="1"/>
      <c r="F176" s="1"/>
      <c r="G176" s="1"/>
      <c r="H176" s="1"/>
      <c r="I176" s="1"/>
      <c r="J176" s="1"/>
      <c r="K176" s="1"/>
      <c r="L176" s="1"/>
      <c r="M176" s="1"/>
    </row>
    <row r="177" ht="15.75" customHeight="1">
      <c r="A177" s="1"/>
      <c r="B177" s="1"/>
      <c r="C177" s="1"/>
      <c r="D177" s="1"/>
      <c r="E177" s="1"/>
      <c r="F177" s="1"/>
      <c r="G177" s="1"/>
      <c r="H177" s="1"/>
      <c r="I177" s="1"/>
      <c r="J177" s="1"/>
      <c r="K177" s="1"/>
      <c r="L177" s="1"/>
      <c r="M177" s="1"/>
    </row>
    <row r="178" ht="15.75" customHeight="1">
      <c r="A178" s="1"/>
      <c r="B178" s="1"/>
      <c r="C178" s="1"/>
      <c r="D178" s="1"/>
      <c r="E178" s="1"/>
      <c r="F178" s="1"/>
      <c r="G178" s="1"/>
      <c r="H178" s="1"/>
      <c r="I178" s="1"/>
      <c r="J178" s="1"/>
      <c r="K178" s="1"/>
      <c r="L178" s="1"/>
      <c r="M178" s="1"/>
    </row>
    <row r="179" ht="15.75" customHeight="1">
      <c r="A179" s="1"/>
      <c r="B179" s="1"/>
      <c r="C179" s="1"/>
      <c r="D179" s="1"/>
      <c r="E179" s="1"/>
      <c r="F179" s="1"/>
      <c r="G179" s="1"/>
      <c r="H179" s="1"/>
      <c r="I179" s="1"/>
      <c r="J179" s="1"/>
      <c r="K179" s="1"/>
      <c r="L179" s="1"/>
      <c r="M179" s="1"/>
    </row>
    <row r="180" ht="15.75" customHeight="1">
      <c r="A180" s="1"/>
      <c r="B180" s="1"/>
      <c r="C180" s="1"/>
      <c r="D180" s="1"/>
      <c r="E180" s="1"/>
      <c r="F180" s="1"/>
      <c r="G180" s="1"/>
      <c r="H180" s="1"/>
      <c r="I180" s="1"/>
      <c r="J180" s="1"/>
      <c r="K180" s="1"/>
      <c r="L180" s="1"/>
      <c r="M180" s="1"/>
    </row>
    <row r="181" ht="15.75" customHeight="1">
      <c r="A181" s="1"/>
      <c r="B181" s="1"/>
      <c r="C181" s="1"/>
      <c r="D181" s="1"/>
      <c r="E181" s="1"/>
      <c r="F181" s="1"/>
      <c r="G181" s="1"/>
      <c r="H181" s="1"/>
      <c r="I181" s="1"/>
      <c r="J181" s="1"/>
      <c r="K181" s="1"/>
      <c r="L181" s="1"/>
      <c r="M181" s="1"/>
    </row>
    <row r="182" ht="15.75" customHeight="1">
      <c r="A182" s="1"/>
      <c r="B182" s="1"/>
      <c r="C182" s="1"/>
      <c r="D182" s="1"/>
      <c r="E182" s="1"/>
      <c r="F182" s="1"/>
      <c r="G182" s="1"/>
      <c r="H182" s="1"/>
      <c r="I182" s="1"/>
      <c r="J182" s="1"/>
      <c r="K182" s="1"/>
      <c r="L182" s="1"/>
      <c r="M182" s="1"/>
    </row>
    <row r="183" ht="15.75" customHeight="1">
      <c r="A183" s="1"/>
      <c r="B183" s="1"/>
      <c r="C183" s="1"/>
      <c r="D183" s="1"/>
      <c r="E183" s="1"/>
      <c r="F183" s="1"/>
      <c r="G183" s="1"/>
      <c r="H183" s="1"/>
      <c r="I183" s="1"/>
      <c r="J183" s="1"/>
      <c r="K183" s="1"/>
      <c r="L183" s="1"/>
      <c r="M183" s="1"/>
    </row>
    <row r="184" ht="15.75" customHeight="1">
      <c r="A184" s="1"/>
      <c r="B184" s="1"/>
      <c r="C184" s="1"/>
      <c r="D184" s="1"/>
      <c r="E184" s="1"/>
      <c r="F184" s="1"/>
      <c r="G184" s="1"/>
      <c r="H184" s="1"/>
      <c r="I184" s="1"/>
      <c r="J184" s="1"/>
      <c r="K184" s="1"/>
      <c r="L184" s="1"/>
      <c r="M184" s="1"/>
    </row>
    <row r="185" ht="15.75" customHeight="1">
      <c r="A185" s="1"/>
      <c r="B185" s="1"/>
      <c r="C185" s="1"/>
      <c r="D185" s="1"/>
      <c r="E185" s="1"/>
      <c r="F185" s="1"/>
      <c r="G185" s="1"/>
      <c r="H185" s="1"/>
      <c r="I185" s="1"/>
      <c r="J185" s="1"/>
      <c r="K185" s="1"/>
      <c r="L185" s="1"/>
      <c r="M185" s="1"/>
    </row>
    <row r="186" ht="15.75" customHeight="1">
      <c r="A186" s="1"/>
      <c r="B186" s="1"/>
      <c r="C186" s="1"/>
      <c r="D186" s="1"/>
      <c r="E186" s="1"/>
      <c r="F186" s="1"/>
      <c r="G186" s="1"/>
      <c r="H186" s="1"/>
      <c r="I186" s="1"/>
      <c r="J186" s="1"/>
      <c r="K186" s="1"/>
      <c r="L186" s="1"/>
      <c r="M186" s="1"/>
    </row>
    <row r="187" ht="15.75" customHeight="1">
      <c r="A187" s="1"/>
      <c r="B187" s="1"/>
      <c r="C187" s="1"/>
      <c r="D187" s="1"/>
      <c r="E187" s="1"/>
      <c r="F187" s="1"/>
      <c r="G187" s="1"/>
      <c r="H187" s="1"/>
      <c r="I187" s="1"/>
      <c r="J187" s="1"/>
      <c r="K187" s="1"/>
      <c r="L187" s="1"/>
      <c r="M187" s="1"/>
    </row>
    <row r="188" ht="15.75" customHeight="1">
      <c r="A188" s="1"/>
      <c r="B188" s="1"/>
      <c r="C188" s="1"/>
      <c r="D188" s="1"/>
      <c r="E188" s="1"/>
      <c r="F188" s="1"/>
      <c r="G188" s="1"/>
      <c r="H188" s="1"/>
      <c r="I188" s="1"/>
      <c r="J188" s="1"/>
      <c r="K188" s="1"/>
      <c r="L188" s="1"/>
      <c r="M188" s="1"/>
    </row>
    <row r="189" ht="15.75" customHeight="1">
      <c r="A189" s="1"/>
      <c r="B189" s="1"/>
      <c r="C189" s="1"/>
      <c r="D189" s="1"/>
      <c r="E189" s="1"/>
      <c r="F189" s="1"/>
      <c r="G189" s="1"/>
      <c r="H189" s="1"/>
      <c r="I189" s="1"/>
      <c r="J189" s="1"/>
      <c r="K189" s="1"/>
      <c r="L189" s="1"/>
      <c r="M189" s="1"/>
    </row>
    <row r="190" ht="15.75" customHeight="1">
      <c r="A190" s="1"/>
      <c r="B190" s="1"/>
      <c r="C190" s="1"/>
      <c r="D190" s="1"/>
      <c r="E190" s="1"/>
      <c r="F190" s="1"/>
      <c r="G190" s="1"/>
      <c r="H190" s="1"/>
      <c r="I190" s="1"/>
      <c r="J190" s="1"/>
      <c r="K190" s="1"/>
      <c r="L190" s="1"/>
      <c r="M190" s="1"/>
    </row>
    <row r="191" ht="15.75" customHeight="1">
      <c r="A191" s="1"/>
      <c r="B191" s="1"/>
      <c r="C191" s="1"/>
      <c r="D191" s="1"/>
      <c r="E191" s="1"/>
      <c r="F191" s="1"/>
      <c r="G191" s="1"/>
      <c r="H191" s="1"/>
      <c r="I191" s="1"/>
      <c r="J191" s="1"/>
      <c r="K191" s="1"/>
      <c r="L191" s="1"/>
      <c r="M191" s="1"/>
    </row>
    <row r="192" ht="15.75" customHeight="1">
      <c r="A192" s="1"/>
      <c r="B192" s="1"/>
      <c r="C192" s="1"/>
      <c r="D192" s="1"/>
      <c r="E192" s="1"/>
      <c r="F192" s="1"/>
      <c r="G192" s="1"/>
      <c r="H192" s="1"/>
      <c r="I192" s="1"/>
      <c r="J192" s="1"/>
      <c r="K192" s="1"/>
      <c r="L192" s="1"/>
      <c r="M192" s="1"/>
    </row>
    <row r="193" ht="15.75" customHeight="1">
      <c r="A193" s="1"/>
      <c r="B193" s="1"/>
      <c r="C193" s="1"/>
      <c r="D193" s="1"/>
      <c r="E193" s="1"/>
      <c r="F193" s="1"/>
      <c r="G193" s="1"/>
      <c r="H193" s="1"/>
      <c r="I193" s="1"/>
      <c r="J193" s="1"/>
      <c r="K193" s="1"/>
      <c r="L193" s="1"/>
      <c r="M193" s="1"/>
    </row>
    <row r="194" ht="15.75" customHeight="1">
      <c r="A194" s="1"/>
      <c r="B194" s="1"/>
      <c r="C194" s="1"/>
      <c r="D194" s="1"/>
      <c r="E194" s="1"/>
      <c r="F194" s="1"/>
      <c r="G194" s="1"/>
      <c r="H194" s="1"/>
      <c r="I194" s="1"/>
      <c r="J194" s="1"/>
      <c r="K194" s="1"/>
      <c r="L194" s="1"/>
      <c r="M194" s="1"/>
    </row>
    <row r="195" ht="15.75" customHeight="1">
      <c r="A195" s="1"/>
      <c r="B195" s="1"/>
      <c r="C195" s="1"/>
      <c r="D195" s="1"/>
      <c r="E195" s="1"/>
      <c r="F195" s="1"/>
      <c r="G195" s="1"/>
      <c r="H195" s="1"/>
      <c r="I195" s="1"/>
      <c r="J195" s="1"/>
      <c r="K195" s="1"/>
      <c r="L195" s="1"/>
      <c r="M195" s="1"/>
    </row>
    <row r="196" ht="15.75" customHeight="1">
      <c r="A196" s="1"/>
      <c r="B196" s="1"/>
      <c r="C196" s="1"/>
      <c r="D196" s="1"/>
      <c r="E196" s="1"/>
      <c r="F196" s="1"/>
      <c r="G196" s="1"/>
      <c r="H196" s="1"/>
      <c r="I196" s="1"/>
      <c r="J196" s="1"/>
      <c r="K196" s="1"/>
      <c r="L196" s="1"/>
      <c r="M196" s="1"/>
    </row>
    <row r="197" ht="15.75" customHeight="1">
      <c r="A197" s="1"/>
      <c r="B197" s="1"/>
      <c r="C197" s="1"/>
      <c r="D197" s="1"/>
      <c r="E197" s="1"/>
      <c r="F197" s="1"/>
      <c r="G197" s="1"/>
      <c r="H197" s="1"/>
      <c r="I197" s="1"/>
      <c r="J197" s="1"/>
      <c r="K197" s="1"/>
      <c r="L197" s="1"/>
      <c r="M197" s="1"/>
    </row>
    <row r="198" ht="15.75" customHeight="1">
      <c r="A198" s="1"/>
      <c r="B198" s="1"/>
      <c r="C198" s="1"/>
      <c r="D198" s="1"/>
      <c r="E198" s="1"/>
      <c r="F198" s="1"/>
      <c r="G198" s="1"/>
      <c r="H198" s="1"/>
      <c r="I198" s="1"/>
      <c r="J198" s="1"/>
      <c r="K198" s="1"/>
      <c r="L198" s="1"/>
      <c r="M198" s="1"/>
    </row>
    <row r="199" ht="15.75" customHeight="1">
      <c r="A199" s="1"/>
      <c r="B199" s="1"/>
      <c r="C199" s="1"/>
      <c r="D199" s="1"/>
      <c r="E199" s="1"/>
      <c r="F199" s="1"/>
      <c r="G199" s="1"/>
      <c r="H199" s="1"/>
      <c r="I199" s="1"/>
      <c r="J199" s="1"/>
      <c r="K199" s="1"/>
      <c r="L199" s="1"/>
      <c r="M199" s="1"/>
    </row>
    <row r="200" ht="15.75" customHeight="1">
      <c r="A200" s="1"/>
      <c r="B200" s="1"/>
      <c r="C200" s="1"/>
      <c r="D200" s="1"/>
      <c r="E200" s="1"/>
      <c r="F200" s="1"/>
      <c r="G200" s="1"/>
      <c r="H200" s="1"/>
      <c r="I200" s="1"/>
      <c r="J200" s="1"/>
      <c r="K200" s="1"/>
      <c r="L200" s="1"/>
      <c r="M200" s="1"/>
    </row>
    <row r="201" ht="15.75" customHeight="1">
      <c r="A201" s="1"/>
      <c r="B201" s="1"/>
      <c r="C201" s="1"/>
      <c r="D201" s="1"/>
      <c r="E201" s="1"/>
      <c r="F201" s="1"/>
      <c r="G201" s="1"/>
      <c r="H201" s="1"/>
      <c r="I201" s="1"/>
      <c r="J201" s="1"/>
      <c r="K201" s="1"/>
      <c r="L201" s="1"/>
      <c r="M201" s="1"/>
    </row>
    <row r="202" ht="15.75" customHeight="1">
      <c r="A202" s="1"/>
      <c r="B202" s="1"/>
      <c r="C202" s="1"/>
      <c r="D202" s="1"/>
      <c r="E202" s="1"/>
      <c r="F202" s="1"/>
      <c r="G202" s="1"/>
      <c r="H202" s="1"/>
      <c r="I202" s="1"/>
      <c r="J202" s="1"/>
      <c r="K202" s="1"/>
      <c r="L202" s="1"/>
      <c r="M202" s="1"/>
    </row>
    <row r="203" ht="15.75" customHeight="1">
      <c r="A203" s="1"/>
      <c r="B203" s="1"/>
      <c r="C203" s="1"/>
      <c r="D203" s="1"/>
      <c r="E203" s="1"/>
      <c r="F203" s="1"/>
      <c r="G203" s="1"/>
      <c r="H203" s="1"/>
      <c r="I203" s="1"/>
      <c r="J203" s="1"/>
      <c r="K203" s="1"/>
      <c r="L203" s="1"/>
      <c r="M203" s="1"/>
    </row>
    <row r="204" ht="15.75" customHeight="1">
      <c r="A204" s="1"/>
      <c r="B204" s="1"/>
      <c r="C204" s="1"/>
      <c r="D204" s="1"/>
      <c r="E204" s="1"/>
      <c r="F204" s="1"/>
      <c r="G204" s="1"/>
      <c r="H204" s="1"/>
      <c r="I204" s="1"/>
      <c r="J204" s="1"/>
      <c r="K204" s="1"/>
      <c r="L204" s="1"/>
      <c r="M204" s="1"/>
    </row>
    <row r="205" ht="15.75" customHeight="1">
      <c r="A205" s="1"/>
      <c r="B205" s="1"/>
      <c r="C205" s="1"/>
      <c r="D205" s="1"/>
      <c r="E205" s="1"/>
      <c r="F205" s="1"/>
      <c r="G205" s="1"/>
      <c r="H205" s="1"/>
      <c r="I205" s="1"/>
      <c r="J205" s="1"/>
      <c r="K205" s="1"/>
      <c r="L205" s="1"/>
      <c r="M205" s="1"/>
    </row>
    <row r="206" ht="15.75" customHeight="1">
      <c r="A206" s="1"/>
      <c r="B206" s="1"/>
      <c r="C206" s="1"/>
      <c r="D206" s="1"/>
      <c r="E206" s="1"/>
      <c r="F206" s="1"/>
      <c r="G206" s="1"/>
      <c r="H206" s="1"/>
      <c r="I206" s="1"/>
      <c r="J206" s="1"/>
      <c r="K206" s="1"/>
      <c r="L206" s="1"/>
      <c r="M206" s="1"/>
    </row>
    <row r="207" ht="15.75" customHeight="1">
      <c r="A207" s="1"/>
      <c r="B207" s="1"/>
      <c r="C207" s="1"/>
      <c r="D207" s="1"/>
      <c r="E207" s="1"/>
      <c r="F207" s="1"/>
      <c r="G207" s="1"/>
      <c r="H207" s="1"/>
      <c r="I207" s="1"/>
      <c r="J207" s="1"/>
      <c r="K207" s="1"/>
      <c r="L207" s="1"/>
      <c r="M207" s="1"/>
    </row>
    <row r="208" ht="15.75" customHeight="1">
      <c r="A208" s="1"/>
      <c r="B208" s="1"/>
      <c r="C208" s="1"/>
      <c r="D208" s="1"/>
      <c r="E208" s="1"/>
      <c r="F208" s="1"/>
      <c r="G208" s="1"/>
      <c r="H208" s="1"/>
      <c r="I208" s="1"/>
      <c r="J208" s="1"/>
      <c r="K208" s="1"/>
      <c r="L208" s="1"/>
      <c r="M208" s="1"/>
    </row>
    <row r="209" ht="15.75" customHeight="1">
      <c r="A209" s="1"/>
      <c r="B209" s="1"/>
      <c r="C209" s="1"/>
      <c r="D209" s="1"/>
      <c r="E209" s="1"/>
      <c r="F209" s="1"/>
      <c r="G209" s="1"/>
      <c r="H209" s="1"/>
      <c r="I209" s="1"/>
      <c r="J209" s="1"/>
      <c r="K209" s="1"/>
      <c r="L209" s="1"/>
      <c r="M209" s="1"/>
    </row>
    <row r="210" ht="15.75" customHeight="1">
      <c r="A210" s="1"/>
      <c r="B210" s="1"/>
      <c r="C210" s="1"/>
      <c r="D210" s="1"/>
      <c r="E210" s="1"/>
      <c r="F210" s="1"/>
      <c r="G210" s="1"/>
      <c r="H210" s="1"/>
      <c r="I210" s="1"/>
      <c r="J210" s="1"/>
      <c r="K210" s="1"/>
      <c r="L210" s="1"/>
      <c r="M210" s="1"/>
    </row>
    <row r="211" ht="15.75" customHeight="1">
      <c r="A211" s="1"/>
      <c r="B211" s="1"/>
      <c r="C211" s="1"/>
      <c r="D211" s="1"/>
      <c r="E211" s="1"/>
      <c r="F211" s="1"/>
      <c r="G211" s="1"/>
      <c r="H211" s="1"/>
      <c r="I211" s="1"/>
      <c r="J211" s="1"/>
      <c r="K211" s="1"/>
      <c r="L211" s="1"/>
      <c r="M211" s="1"/>
    </row>
    <row r="212" ht="15.75" customHeight="1">
      <c r="A212" s="1"/>
      <c r="B212" s="1"/>
      <c r="C212" s="1"/>
      <c r="D212" s="1"/>
      <c r="E212" s="1"/>
      <c r="F212" s="1"/>
      <c r="G212" s="1"/>
      <c r="H212" s="1"/>
      <c r="I212" s="1"/>
      <c r="J212" s="1"/>
      <c r="K212" s="1"/>
      <c r="L212" s="1"/>
      <c r="M212" s="1"/>
    </row>
    <row r="213" ht="15.75" customHeight="1">
      <c r="A213" s="1"/>
      <c r="B213" s="1"/>
      <c r="C213" s="1"/>
      <c r="D213" s="1"/>
      <c r="E213" s="1"/>
      <c r="F213" s="1"/>
      <c r="G213" s="1"/>
      <c r="H213" s="1"/>
      <c r="I213" s="1"/>
      <c r="J213" s="1"/>
      <c r="K213" s="1"/>
      <c r="L213" s="1"/>
      <c r="M213" s="1"/>
    </row>
    <row r="214" ht="15.75" customHeight="1">
      <c r="A214" s="1"/>
      <c r="B214" s="1"/>
      <c r="C214" s="1"/>
      <c r="D214" s="1"/>
      <c r="E214" s="1"/>
      <c r="F214" s="1"/>
      <c r="G214" s="1"/>
      <c r="H214" s="1"/>
      <c r="I214" s="1"/>
      <c r="J214" s="1"/>
      <c r="K214" s="1"/>
      <c r="L214" s="1"/>
      <c r="M214" s="1"/>
    </row>
    <row r="215" ht="15.75" customHeight="1">
      <c r="A215" s="1"/>
      <c r="B215" s="1"/>
      <c r="C215" s="1"/>
      <c r="D215" s="1"/>
      <c r="E215" s="1"/>
      <c r="F215" s="1"/>
      <c r="G215" s="1"/>
      <c r="H215" s="1"/>
      <c r="I215" s="1"/>
      <c r="J215" s="1"/>
      <c r="K215" s="1"/>
      <c r="L215" s="1"/>
      <c r="M215" s="1"/>
    </row>
    <row r="216" ht="15.75" customHeight="1">
      <c r="A216" s="1"/>
      <c r="B216" s="1"/>
      <c r="C216" s="1"/>
      <c r="D216" s="1"/>
      <c r="E216" s="1"/>
      <c r="F216" s="1"/>
      <c r="G216" s="1"/>
      <c r="H216" s="1"/>
      <c r="I216" s="1"/>
      <c r="J216" s="1"/>
      <c r="K216" s="1"/>
      <c r="L216" s="1"/>
      <c r="M216" s="1"/>
    </row>
    <row r="217" ht="15.75" customHeight="1">
      <c r="A217" s="1"/>
      <c r="B217" s="1"/>
      <c r="C217" s="1"/>
      <c r="D217" s="1"/>
      <c r="E217" s="1"/>
      <c r="F217" s="1"/>
      <c r="G217" s="1"/>
      <c r="H217" s="1"/>
      <c r="I217" s="1"/>
      <c r="J217" s="1"/>
      <c r="K217" s="1"/>
      <c r="L217" s="1"/>
      <c r="M217" s="1"/>
    </row>
    <row r="218" ht="15.75" customHeight="1">
      <c r="A218" s="1"/>
      <c r="B218" s="1"/>
      <c r="C218" s="1"/>
      <c r="D218" s="1"/>
      <c r="E218" s="1"/>
      <c r="F218" s="1"/>
      <c r="G218" s="1"/>
      <c r="H218" s="1"/>
      <c r="I218" s="1"/>
      <c r="J218" s="1"/>
      <c r="K218" s="1"/>
      <c r="L218" s="1"/>
      <c r="M218" s="1"/>
    </row>
    <row r="219" ht="15.75" customHeight="1">
      <c r="A219" s="1"/>
      <c r="B219" s="1"/>
      <c r="C219" s="1"/>
      <c r="D219" s="1"/>
      <c r="E219" s="1"/>
      <c r="F219" s="1"/>
      <c r="G219" s="1"/>
      <c r="H219" s="1"/>
      <c r="I219" s="1"/>
      <c r="J219" s="1"/>
      <c r="K219" s="1"/>
      <c r="L219" s="1"/>
      <c r="M219" s="1"/>
    </row>
    <row r="220" ht="15.75" customHeight="1">
      <c r="A220" s="1"/>
      <c r="B220" s="1"/>
      <c r="C220" s="1"/>
      <c r="D220" s="1"/>
      <c r="E220" s="1"/>
      <c r="F220" s="1"/>
      <c r="G220" s="1"/>
      <c r="H220" s="1"/>
      <c r="I220" s="1"/>
      <c r="J220" s="1"/>
      <c r="K220" s="1"/>
      <c r="L220" s="1"/>
      <c r="M220" s="1"/>
    </row>
    <row r="221" ht="15.75" customHeight="1">
      <c r="A221" s="1"/>
      <c r="B221" s="1"/>
      <c r="C221" s="1"/>
      <c r="D221" s="1"/>
      <c r="E221" s="1"/>
      <c r="F221" s="1"/>
      <c r="G221" s="1"/>
      <c r="H221" s="1"/>
      <c r="I221" s="1"/>
      <c r="J221" s="1"/>
      <c r="K221" s="1"/>
      <c r="L221" s="1"/>
      <c r="M221" s="1"/>
    </row>
    <row r="222" ht="15.75" customHeight="1">
      <c r="A222" s="1"/>
      <c r="B222" s="1"/>
      <c r="C222" s="1"/>
      <c r="D222" s="1"/>
      <c r="E222" s="1"/>
      <c r="F222" s="1"/>
      <c r="G222" s="1"/>
      <c r="H222" s="1"/>
      <c r="I222" s="1"/>
      <c r="J222" s="1"/>
      <c r="K222" s="1"/>
      <c r="L222" s="1"/>
      <c r="M222" s="1"/>
    </row>
    <row r="223" ht="15.75" customHeight="1">
      <c r="A223" s="1"/>
      <c r="B223" s="1"/>
      <c r="C223" s="1"/>
      <c r="D223" s="1"/>
      <c r="E223" s="1"/>
      <c r="F223" s="1"/>
      <c r="G223" s="1"/>
      <c r="H223" s="1"/>
      <c r="I223" s="1"/>
      <c r="J223" s="1"/>
      <c r="K223" s="1"/>
      <c r="L223" s="1"/>
      <c r="M223" s="1"/>
    </row>
    <row r="224" ht="15.75" customHeight="1">
      <c r="A224" s="1"/>
      <c r="B224" s="1"/>
      <c r="C224" s="1"/>
      <c r="D224" s="1"/>
      <c r="E224" s="1"/>
      <c r="F224" s="1"/>
      <c r="G224" s="1"/>
      <c r="H224" s="1"/>
      <c r="I224" s="1"/>
      <c r="J224" s="1"/>
      <c r="K224" s="1"/>
      <c r="L224" s="1"/>
      <c r="M224" s="1"/>
    </row>
    <row r="225" ht="15.75" customHeight="1">
      <c r="A225" s="1"/>
      <c r="B225" s="1"/>
      <c r="C225" s="1"/>
      <c r="D225" s="1"/>
      <c r="E225" s="1"/>
      <c r="F225" s="1"/>
      <c r="G225" s="1"/>
      <c r="H225" s="1"/>
      <c r="I225" s="1"/>
      <c r="J225" s="1"/>
      <c r="K225" s="1"/>
      <c r="L225" s="1"/>
      <c r="M225" s="1"/>
    </row>
    <row r="226" ht="15.75" customHeight="1">
      <c r="A226" s="1"/>
      <c r="B226" s="1"/>
      <c r="C226" s="1"/>
      <c r="D226" s="1"/>
      <c r="E226" s="1"/>
      <c r="F226" s="1"/>
      <c r="G226" s="1"/>
      <c r="H226" s="1"/>
      <c r="I226" s="1"/>
      <c r="J226" s="1"/>
      <c r="K226" s="1"/>
      <c r="L226" s="1"/>
      <c r="M226" s="1"/>
    </row>
    <row r="227" ht="15.75" customHeight="1">
      <c r="A227" s="1"/>
      <c r="B227" s="1"/>
      <c r="C227" s="1"/>
      <c r="D227" s="1"/>
      <c r="E227" s="1"/>
      <c r="F227" s="1"/>
      <c r="G227" s="1"/>
      <c r="H227" s="1"/>
      <c r="I227" s="1"/>
      <c r="J227" s="1"/>
      <c r="K227" s="1"/>
      <c r="L227" s="1"/>
      <c r="M227" s="1"/>
    </row>
    <row r="228" ht="15.75" customHeight="1">
      <c r="A228" s="1"/>
      <c r="B228" s="1"/>
      <c r="C228" s="1"/>
      <c r="D228" s="1"/>
      <c r="E228" s="1"/>
      <c r="F228" s="1"/>
      <c r="G228" s="1"/>
      <c r="H228" s="1"/>
      <c r="I228" s="1"/>
      <c r="J228" s="1"/>
      <c r="K228" s="1"/>
      <c r="L228" s="1"/>
      <c r="M228" s="1"/>
    </row>
    <row r="229" ht="15.75" customHeight="1">
      <c r="A229" s="1"/>
      <c r="B229" s="1"/>
      <c r="C229" s="1"/>
      <c r="D229" s="1"/>
      <c r="E229" s="1"/>
      <c r="F229" s="1"/>
      <c r="G229" s="1"/>
      <c r="H229" s="1"/>
      <c r="I229" s="1"/>
      <c r="J229" s="1"/>
      <c r="K229" s="1"/>
      <c r="L229" s="1"/>
      <c r="M229" s="1"/>
    </row>
    <row r="230" ht="15.75" customHeight="1">
      <c r="A230" s="1"/>
      <c r="B230" s="1"/>
      <c r="C230" s="1"/>
      <c r="D230" s="1"/>
      <c r="E230" s="1"/>
      <c r="F230" s="1"/>
      <c r="G230" s="1"/>
      <c r="H230" s="1"/>
      <c r="I230" s="1"/>
      <c r="J230" s="1"/>
      <c r="K230" s="1"/>
      <c r="L230" s="1"/>
      <c r="M230" s="1"/>
    </row>
    <row r="231" ht="15.75" customHeight="1">
      <c r="A231" s="1"/>
      <c r="B231" s="1"/>
      <c r="C231" s="1"/>
      <c r="D231" s="1"/>
      <c r="E231" s="1"/>
      <c r="F231" s="1"/>
      <c r="G231" s="1"/>
      <c r="H231" s="1"/>
      <c r="I231" s="1"/>
      <c r="J231" s="1"/>
      <c r="K231" s="1"/>
      <c r="L231" s="1"/>
      <c r="M231" s="1"/>
    </row>
    <row r="232" ht="15.75" customHeight="1">
      <c r="A232" s="1"/>
      <c r="B232" s="1"/>
      <c r="C232" s="1"/>
      <c r="D232" s="1"/>
      <c r="E232" s="1"/>
      <c r="F232" s="1"/>
      <c r="G232" s="1"/>
      <c r="H232" s="1"/>
      <c r="I232" s="1"/>
      <c r="J232" s="1"/>
      <c r="K232" s="1"/>
      <c r="L232" s="1"/>
      <c r="M232" s="1"/>
    </row>
    <row r="233" ht="15.75" customHeight="1">
      <c r="A233" s="1"/>
      <c r="B233" s="1"/>
      <c r="C233" s="1"/>
      <c r="D233" s="1"/>
      <c r="E233" s="1"/>
      <c r="F233" s="1"/>
      <c r="G233" s="1"/>
      <c r="H233" s="1"/>
      <c r="I233" s="1"/>
      <c r="J233" s="1"/>
      <c r="K233" s="1"/>
      <c r="L233" s="1"/>
      <c r="M233" s="1"/>
    </row>
    <row r="234" ht="15.75" customHeight="1">
      <c r="A234" s="1"/>
      <c r="B234" s="1"/>
      <c r="C234" s="1"/>
      <c r="D234" s="1"/>
      <c r="E234" s="1"/>
      <c r="F234" s="1"/>
      <c r="G234" s="1"/>
      <c r="H234" s="1"/>
      <c r="I234" s="1"/>
      <c r="J234" s="1"/>
      <c r="K234" s="1"/>
      <c r="L234" s="1"/>
      <c r="M234" s="1"/>
    </row>
    <row r="235" ht="15.75" customHeight="1">
      <c r="A235" s="1"/>
      <c r="B235" s="1"/>
      <c r="C235" s="1"/>
      <c r="D235" s="1"/>
      <c r="E235" s="1"/>
      <c r="F235" s="1"/>
      <c r="G235" s="1"/>
      <c r="H235" s="1"/>
      <c r="I235" s="1"/>
      <c r="J235" s="1"/>
      <c r="K235" s="1"/>
      <c r="L235" s="1"/>
      <c r="M235" s="1"/>
    </row>
    <row r="236" ht="15.75" customHeight="1">
      <c r="A236" s="1"/>
      <c r="B236" s="1"/>
      <c r="C236" s="1"/>
      <c r="D236" s="1"/>
      <c r="E236" s="1"/>
      <c r="F236" s="1"/>
      <c r="G236" s="1"/>
      <c r="H236" s="1"/>
      <c r="I236" s="1"/>
      <c r="J236" s="1"/>
      <c r="K236" s="1"/>
      <c r="L236" s="1"/>
      <c r="M236" s="1"/>
    </row>
    <row r="237" ht="15.75" customHeight="1">
      <c r="A237" s="1"/>
      <c r="B237" s="1"/>
      <c r="C237" s="1"/>
      <c r="D237" s="1"/>
      <c r="E237" s="1"/>
      <c r="F237" s="1"/>
      <c r="G237" s="1"/>
      <c r="H237" s="1"/>
      <c r="I237" s="1"/>
      <c r="J237" s="1"/>
      <c r="K237" s="1"/>
      <c r="L237" s="1"/>
      <c r="M237" s="1"/>
    </row>
    <row r="238" ht="15.75" customHeight="1">
      <c r="A238" s="1"/>
      <c r="B238" s="1"/>
      <c r="C238" s="1"/>
      <c r="D238" s="1"/>
      <c r="E238" s="1"/>
      <c r="F238" s="1"/>
      <c r="G238" s="1"/>
      <c r="H238" s="1"/>
      <c r="I238" s="1"/>
      <c r="J238" s="1"/>
      <c r="K238" s="1"/>
      <c r="L238" s="1"/>
      <c r="M238" s="1"/>
    </row>
    <row r="239" ht="15.75" customHeight="1">
      <c r="A239" s="1"/>
      <c r="B239" s="1"/>
      <c r="C239" s="1"/>
      <c r="D239" s="1"/>
      <c r="E239" s="1"/>
      <c r="F239" s="1"/>
      <c r="G239" s="1"/>
      <c r="H239" s="1"/>
      <c r="I239" s="1"/>
      <c r="J239" s="1"/>
      <c r="K239" s="1"/>
      <c r="L239" s="1"/>
      <c r="M239" s="1"/>
    </row>
    <row r="240" ht="15.75" customHeight="1">
      <c r="A240" s="1"/>
      <c r="B240" s="1"/>
      <c r="C240" s="1"/>
      <c r="D240" s="1"/>
      <c r="E240" s="1"/>
      <c r="F240" s="1"/>
      <c r="G240" s="1"/>
      <c r="H240" s="1"/>
      <c r="I240" s="1"/>
      <c r="J240" s="1"/>
      <c r="K240" s="1"/>
      <c r="L240" s="1"/>
      <c r="M240" s="1"/>
    </row>
    <row r="241" ht="15.75" customHeight="1">
      <c r="A241" s="1"/>
      <c r="B241" s="1"/>
      <c r="C241" s="1"/>
      <c r="D241" s="1"/>
      <c r="E241" s="1"/>
      <c r="F241" s="1"/>
      <c r="G241" s="1"/>
      <c r="H241" s="1"/>
      <c r="I241" s="1"/>
      <c r="J241" s="1"/>
      <c r="K241" s="1"/>
      <c r="L241" s="1"/>
      <c r="M241" s="1"/>
    </row>
    <row r="242" ht="15.75" customHeight="1">
      <c r="A242" s="1"/>
      <c r="B242" s="1"/>
      <c r="C242" s="1"/>
      <c r="D242" s="1"/>
      <c r="E242" s="1"/>
      <c r="F242" s="1"/>
      <c r="G242" s="1"/>
      <c r="H242" s="1"/>
      <c r="I242" s="1"/>
      <c r="J242" s="1"/>
      <c r="K242" s="1"/>
      <c r="L242" s="1"/>
      <c r="M242" s="1"/>
    </row>
    <row r="243" ht="15.75" customHeight="1">
      <c r="A243" s="1"/>
      <c r="B243" s="1"/>
      <c r="C243" s="1"/>
      <c r="D243" s="1"/>
      <c r="E243" s="1"/>
      <c r="F243" s="1"/>
      <c r="G243" s="1"/>
      <c r="H243" s="1"/>
      <c r="I243" s="1"/>
      <c r="J243" s="1"/>
      <c r="K243" s="1"/>
      <c r="L243" s="1"/>
      <c r="M243" s="1"/>
    </row>
    <row r="244" ht="15.75" customHeight="1">
      <c r="A244" s="1"/>
      <c r="B244" s="1"/>
      <c r="C244" s="1"/>
      <c r="D244" s="1"/>
      <c r="E244" s="1"/>
      <c r="F244" s="1"/>
      <c r="G244" s="1"/>
      <c r="H244" s="1"/>
      <c r="I244" s="1"/>
      <c r="J244" s="1"/>
      <c r="K244" s="1"/>
      <c r="L244" s="1"/>
      <c r="M244" s="1"/>
    </row>
    <row r="245" ht="15.75" customHeight="1">
      <c r="A245" s="1"/>
      <c r="B245" s="1"/>
      <c r="C245" s="1"/>
      <c r="D245" s="1"/>
      <c r="E245" s="1"/>
      <c r="F245" s="1"/>
      <c r="G245" s="1"/>
      <c r="H245" s="1"/>
      <c r="I245" s="1"/>
      <c r="J245" s="1"/>
      <c r="K245" s="1"/>
      <c r="L245" s="1"/>
      <c r="M245" s="1"/>
    </row>
    <row r="246" ht="15.75" customHeight="1">
      <c r="A246" s="1"/>
      <c r="B246" s="1"/>
      <c r="C246" s="1"/>
      <c r="D246" s="1"/>
      <c r="E246" s="1"/>
      <c r="F246" s="1"/>
      <c r="G246" s="1"/>
      <c r="H246" s="1"/>
      <c r="I246" s="1"/>
      <c r="J246" s="1"/>
      <c r="K246" s="1"/>
      <c r="L246" s="1"/>
      <c r="M246" s="1"/>
    </row>
    <row r="247" ht="15.75" customHeight="1">
      <c r="A247" s="1"/>
      <c r="B247" s="1"/>
      <c r="C247" s="1"/>
      <c r="D247" s="1"/>
      <c r="E247" s="1"/>
      <c r="F247" s="1"/>
      <c r="G247" s="1"/>
      <c r="H247" s="1"/>
      <c r="I247" s="1"/>
      <c r="J247" s="1"/>
      <c r="K247" s="1"/>
      <c r="L247" s="1"/>
      <c r="M247" s="1"/>
    </row>
    <row r="248" ht="15.75" customHeight="1">
      <c r="A248" s="1"/>
      <c r="B248" s="1"/>
      <c r="C248" s="1"/>
      <c r="D248" s="1"/>
      <c r="E248" s="1"/>
      <c r="F248" s="1"/>
      <c r="G248" s="1"/>
      <c r="H248" s="1"/>
      <c r="I248" s="1"/>
      <c r="J248" s="1"/>
      <c r="K248" s="1"/>
      <c r="L248" s="1"/>
      <c r="M248" s="1"/>
    </row>
    <row r="249" ht="15.75" customHeight="1">
      <c r="A249" s="1"/>
      <c r="B249" s="1"/>
      <c r="C249" s="1"/>
      <c r="D249" s="1"/>
      <c r="E249" s="1"/>
      <c r="F249" s="1"/>
      <c r="G249" s="1"/>
      <c r="H249" s="1"/>
      <c r="I249" s="1"/>
      <c r="J249" s="1"/>
      <c r="K249" s="1"/>
      <c r="L249" s="1"/>
      <c r="M249" s="1"/>
    </row>
    <row r="250" ht="15.75" customHeight="1">
      <c r="A250" s="1"/>
      <c r="B250" s="1"/>
      <c r="C250" s="1"/>
      <c r="D250" s="1"/>
      <c r="E250" s="1"/>
      <c r="F250" s="1"/>
      <c r="G250" s="1"/>
      <c r="H250" s="1"/>
      <c r="I250" s="1"/>
      <c r="J250" s="1"/>
      <c r="K250" s="1"/>
      <c r="L250" s="1"/>
      <c r="M250" s="1"/>
    </row>
    <row r="251" ht="15.75" customHeight="1">
      <c r="A251" s="1"/>
      <c r="B251" s="1"/>
      <c r="C251" s="1"/>
      <c r="D251" s="1"/>
      <c r="E251" s="1"/>
      <c r="F251" s="1"/>
      <c r="G251" s="1"/>
      <c r="H251" s="1"/>
      <c r="I251" s="1"/>
      <c r="J251" s="1"/>
      <c r="K251" s="1"/>
      <c r="L251" s="1"/>
      <c r="M251" s="1"/>
    </row>
    <row r="252" ht="15.75" customHeight="1">
      <c r="A252" s="1"/>
      <c r="B252" s="1"/>
      <c r="C252" s="1"/>
      <c r="D252" s="1"/>
      <c r="E252" s="1"/>
      <c r="F252" s="1"/>
      <c r="G252" s="1"/>
      <c r="H252" s="1"/>
      <c r="I252" s="1"/>
      <c r="J252" s="1"/>
      <c r="K252" s="1"/>
      <c r="L252" s="1"/>
      <c r="M252" s="1"/>
    </row>
    <row r="253" ht="15.75" customHeight="1">
      <c r="A253" s="1"/>
      <c r="B253" s="1"/>
      <c r="C253" s="1"/>
      <c r="D253" s="1"/>
      <c r="E253" s="1"/>
      <c r="F253" s="1"/>
      <c r="G253" s="1"/>
      <c r="H253" s="1"/>
      <c r="I253" s="1"/>
      <c r="J253" s="1"/>
      <c r="K253" s="1"/>
      <c r="L253" s="1"/>
      <c r="M253" s="1"/>
    </row>
    <row r="254" ht="15.75" customHeight="1">
      <c r="A254" s="1"/>
      <c r="B254" s="1"/>
      <c r="C254" s="1"/>
      <c r="D254" s="1"/>
      <c r="E254" s="1"/>
      <c r="F254" s="1"/>
      <c r="G254" s="1"/>
      <c r="H254" s="1"/>
      <c r="I254" s="1"/>
      <c r="J254" s="1"/>
      <c r="K254" s="1"/>
      <c r="L254" s="1"/>
      <c r="M254" s="1"/>
    </row>
    <row r="255" ht="15.75" customHeight="1">
      <c r="A255" s="1"/>
      <c r="B255" s="1"/>
      <c r="C255" s="1"/>
      <c r="D255" s="1"/>
      <c r="E255" s="1"/>
      <c r="F255" s="1"/>
      <c r="G255" s="1"/>
      <c r="H255" s="1"/>
      <c r="I255" s="1"/>
      <c r="J255" s="1"/>
      <c r="K255" s="1"/>
      <c r="L255" s="1"/>
      <c r="M255" s="1"/>
    </row>
    <row r="256" ht="15.75" customHeight="1">
      <c r="A256" s="1"/>
      <c r="B256" s="1"/>
      <c r="C256" s="1"/>
      <c r="D256" s="1"/>
      <c r="E256" s="1"/>
      <c r="F256" s="1"/>
      <c r="G256" s="1"/>
      <c r="H256" s="1"/>
      <c r="I256" s="1"/>
      <c r="J256" s="1"/>
      <c r="K256" s="1"/>
      <c r="L256" s="1"/>
      <c r="M256" s="1"/>
    </row>
    <row r="257" ht="15.75" customHeight="1">
      <c r="A257" s="1"/>
      <c r="B257" s="1"/>
      <c r="C257" s="1"/>
      <c r="D257" s="1"/>
      <c r="E257" s="1"/>
      <c r="F257" s="1"/>
      <c r="G257" s="1"/>
      <c r="H257" s="1"/>
      <c r="I257" s="1"/>
      <c r="J257" s="1"/>
      <c r="K257" s="1"/>
      <c r="L257" s="1"/>
      <c r="M257" s="1"/>
    </row>
    <row r="258" ht="15.75" customHeight="1">
      <c r="A258" s="1"/>
      <c r="B258" s="1"/>
      <c r="C258" s="1"/>
      <c r="D258" s="1"/>
      <c r="E258" s="1"/>
      <c r="F258" s="1"/>
      <c r="G258" s="1"/>
      <c r="H258" s="1"/>
      <c r="I258" s="1"/>
      <c r="J258" s="1"/>
      <c r="K258" s="1"/>
      <c r="L258" s="1"/>
      <c r="M258" s="1"/>
    </row>
    <row r="259" ht="15.75" customHeight="1">
      <c r="A259" s="1"/>
      <c r="B259" s="1"/>
      <c r="C259" s="1"/>
      <c r="D259" s="1"/>
      <c r="E259" s="1"/>
      <c r="F259" s="1"/>
      <c r="G259" s="1"/>
      <c r="H259" s="1"/>
      <c r="I259" s="1"/>
      <c r="J259" s="1"/>
      <c r="K259" s="1"/>
      <c r="L259" s="1"/>
      <c r="M259" s="1"/>
    </row>
    <row r="260" ht="15.75" customHeight="1">
      <c r="A260" s="1"/>
      <c r="B260" s="1"/>
      <c r="C260" s="1"/>
      <c r="D260" s="1"/>
      <c r="E260" s="1"/>
      <c r="F260" s="1"/>
      <c r="G260" s="1"/>
      <c r="H260" s="1"/>
      <c r="I260" s="1"/>
      <c r="J260" s="1"/>
      <c r="K260" s="1"/>
      <c r="L260" s="1"/>
      <c r="M260" s="1"/>
    </row>
    <row r="261" ht="15.75" customHeight="1">
      <c r="A261" s="1"/>
      <c r="B261" s="1"/>
      <c r="C261" s="1"/>
      <c r="D261" s="1"/>
      <c r="E261" s="1"/>
      <c r="F261" s="1"/>
      <c r="G261" s="1"/>
      <c r="H261" s="1"/>
      <c r="I261" s="1"/>
      <c r="J261" s="1"/>
      <c r="K261" s="1"/>
      <c r="L261" s="1"/>
      <c r="M261" s="1"/>
    </row>
    <row r="262" ht="15.75" customHeight="1">
      <c r="A262" s="1"/>
      <c r="B262" s="1"/>
      <c r="C262" s="1"/>
      <c r="D262" s="1"/>
      <c r="E262" s="1"/>
      <c r="F262" s="1"/>
      <c r="G262" s="1"/>
      <c r="H262" s="1"/>
      <c r="I262" s="1"/>
      <c r="J262" s="1"/>
      <c r="K262" s="1"/>
      <c r="L262" s="1"/>
      <c r="M262" s="1"/>
    </row>
    <row r="263" ht="15.75" customHeight="1">
      <c r="A263" s="1"/>
      <c r="B263" s="1"/>
      <c r="C263" s="1"/>
      <c r="D263" s="1"/>
      <c r="E263" s="1"/>
      <c r="F263" s="1"/>
      <c r="G263" s="1"/>
      <c r="H263" s="1"/>
      <c r="I263" s="1"/>
      <c r="J263" s="1"/>
      <c r="K263" s="1"/>
      <c r="L263" s="1"/>
      <c r="M263" s="1"/>
    </row>
    <row r="264" ht="15.75" customHeight="1">
      <c r="A264" s="1"/>
      <c r="B264" s="1"/>
      <c r="C264" s="1"/>
      <c r="D264" s="1"/>
      <c r="E264" s="1"/>
      <c r="F264" s="1"/>
      <c r="G264" s="1"/>
      <c r="H264" s="1"/>
      <c r="I264" s="1"/>
      <c r="J264" s="1"/>
      <c r="K264" s="1"/>
      <c r="L264" s="1"/>
      <c r="M264" s="1"/>
    </row>
    <row r="265" ht="15.75" customHeight="1">
      <c r="A265" s="1"/>
      <c r="B265" s="1"/>
      <c r="C265" s="1"/>
      <c r="D265" s="1"/>
      <c r="E265" s="1"/>
      <c r="F265" s="1"/>
      <c r="G265" s="1"/>
      <c r="H265" s="1"/>
      <c r="I265" s="1"/>
      <c r="J265" s="1"/>
      <c r="K265" s="1"/>
      <c r="L265" s="1"/>
      <c r="M265" s="1"/>
    </row>
    <row r="266" ht="15.75" customHeight="1">
      <c r="A266" s="1"/>
      <c r="B266" s="1"/>
      <c r="C266" s="1"/>
      <c r="D266" s="1"/>
      <c r="E266" s="1"/>
      <c r="F266" s="1"/>
      <c r="G266" s="1"/>
      <c r="H266" s="1"/>
      <c r="I266" s="1"/>
      <c r="J266" s="1"/>
      <c r="K266" s="1"/>
      <c r="L266" s="1"/>
      <c r="M266" s="1"/>
    </row>
    <row r="267" ht="15.75" customHeight="1">
      <c r="A267" s="1"/>
      <c r="B267" s="1"/>
      <c r="C267" s="1"/>
      <c r="D267" s="1"/>
      <c r="E267" s="1"/>
      <c r="F267" s="1"/>
      <c r="G267" s="1"/>
      <c r="H267" s="1"/>
      <c r="I267" s="1"/>
      <c r="J267" s="1"/>
      <c r="K267" s="1"/>
      <c r="L267" s="1"/>
      <c r="M267" s="1"/>
    </row>
    <row r="268" ht="15.75" customHeight="1">
      <c r="A268" s="1"/>
      <c r="B268" s="1"/>
      <c r="C268" s="1"/>
      <c r="D268" s="1"/>
      <c r="E268" s="1"/>
      <c r="F268" s="1"/>
      <c r="G268" s="1"/>
      <c r="H268" s="1"/>
      <c r="I268" s="1"/>
      <c r="J268" s="1"/>
      <c r="K268" s="1"/>
      <c r="L268" s="1"/>
      <c r="M268" s="1"/>
    </row>
    <row r="269" ht="15.75" customHeight="1">
      <c r="A269" s="1"/>
      <c r="B269" s="1"/>
      <c r="C269" s="1"/>
      <c r="D269" s="1"/>
      <c r="E269" s="1"/>
      <c r="F269" s="1"/>
      <c r="G269" s="1"/>
      <c r="H269" s="1"/>
      <c r="I269" s="1"/>
      <c r="J269" s="1"/>
      <c r="K269" s="1"/>
      <c r="L269" s="1"/>
      <c r="M269" s="1"/>
    </row>
    <row r="270" ht="15.75" customHeight="1">
      <c r="A270" s="1"/>
      <c r="B270" s="1"/>
      <c r="C270" s="1"/>
      <c r="D270" s="1"/>
      <c r="E270" s="1"/>
      <c r="F270" s="1"/>
      <c r="G270" s="1"/>
      <c r="H270" s="1"/>
      <c r="I270" s="1"/>
      <c r="J270" s="1"/>
      <c r="K270" s="1"/>
      <c r="L270" s="1"/>
      <c r="M270" s="1"/>
    </row>
    <row r="271" ht="15.75" customHeight="1">
      <c r="A271" s="1"/>
      <c r="B271" s="1"/>
      <c r="C271" s="1"/>
      <c r="D271" s="1"/>
      <c r="E271" s="1"/>
      <c r="F271" s="1"/>
      <c r="G271" s="1"/>
      <c r="H271" s="1"/>
      <c r="I271" s="1"/>
      <c r="J271" s="1"/>
      <c r="K271" s="1"/>
      <c r="L271" s="1"/>
      <c r="M271" s="1"/>
    </row>
    <row r="272" ht="15.75" customHeight="1">
      <c r="A272" s="1"/>
      <c r="B272" s="1"/>
      <c r="C272" s="1"/>
      <c r="D272" s="1"/>
      <c r="E272" s="1"/>
      <c r="F272" s="1"/>
      <c r="G272" s="1"/>
      <c r="H272" s="1"/>
      <c r="I272" s="1"/>
      <c r="J272" s="1"/>
      <c r="K272" s="1"/>
      <c r="L272" s="1"/>
      <c r="M272" s="1"/>
    </row>
    <row r="273" ht="15.75" customHeight="1">
      <c r="A273" s="1"/>
      <c r="B273" s="1"/>
      <c r="C273" s="1"/>
      <c r="D273" s="1"/>
      <c r="E273" s="1"/>
      <c r="F273" s="1"/>
      <c r="G273" s="1"/>
      <c r="H273" s="1"/>
      <c r="I273" s="1"/>
      <c r="J273" s="1"/>
      <c r="K273" s="1"/>
      <c r="L273" s="1"/>
      <c r="M273" s="1"/>
    </row>
    <row r="274" ht="15.75" customHeight="1">
      <c r="A274" s="1"/>
      <c r="B274" s="1"/>
      <c r="C274" s="1"/>
      <c r="D274" s="1"/>
      <c r="E274" s="1"/>
      <c r="F274" s="1"/>
      <c r="G274" s="1"/>
      <c r="H274" s="1"/>
      <c r="I274" s="1"/>
      <c r="J274" s="1"/>
      <c r="K274" s="1"/>
      <c r="L274" s="1"/>
      <c r="M274" s="1"/>
    </row>
    <row r="275" ht="15.75" customHeight="1">
      <c r="A275" s="1"/>
      <c r="B275" s="1"/>
      <c r="C275" s="1"/>
      <c r="D275" s="1"/>
      <c r="E275" s="1"/>
      <c r="F275" s="1"/>
      <c r="G275" s="1"/>
      <c r="H275" s="1"/>
      <c r="I275" s="1"/>
      <c r="J275" s="1"/>
      <c r="K275" s="1"/>
      <c r="L275" s="1"/>
      <c r="M275" s="1"/>
    </row>
    <row r="276" ht="15.75" customHeight="1">
      <c r="A276" s="1"/>
      <c r="B276" s="1"/>
      <c r="C276" s="1"/>
      <c r="D276" s="1"/>
      <c r="E276" s="1"/>
      <c r="F276" s="1"/>
      <c r="G276" s="1"/>
      <c r="H276" s="1"/>
      <c r="I276" s="1"/>
      <c r="J276" s="1"/>
      <c r="K276" s="1"/>
      <c r="L276" s="1"/>
      <c r="M276" s="1"/>
    </row>
    <row r="277" ht="15.75" customHeight="1">
      <c r="A277" s="1"/>
      <c r="B277" s="1"/>
      <c r="C277" s="1"/>
      <c r="D277" s="1"/>
      <c r="E277" s="1"/>
      <c r="F277" s="1"/>
      <c r="G277" s="1"/>
      <c r="H277" s="1"/>
      <c r="I277" s="1"/>
      <c r="J277" s="1"/>
      <c r="K277" s="1"/>
      <c r="L277" s="1"/>
      <c r="M277" s="1"/>
    </row>
    <row r="278" ht="15.75" customHeight="1">
      <c r="A278" s="1"/>
      <c r="B278" s="1"/>
      <c r="C278" s="1"/>
      <c r="D278" s="1"/>
      <c r="E278" s="1"/>
      <c r="F278" s="1"/>
      <c r="G278" s="1"/>
      <c r="H278" s="1"/>
      <c r="I278" s="1"/>
      <c r="J278" s="1"/>
      <c r="K278" s="1"/>
      <c r="L278" s="1"/>
      <c r="M278" s="1"/>
    </row>
    <row r="279" ht="15.75" customHeight="1">
      <c r="A279" s="1"/>
      <c r="B279" s="1"/>
      <c r="C279" s="1"/>
      <c r="D279" s="1"/>
      <c r="E279" s="1"/>
      <c r="F279" s="1"/>
      <c r="G279" s="1"/>
      <c r="H279" s="1"/>
      <c r="I279" s="1"/>
      <c r="J279" s="1"/>
      <c r="K279" s="1"/>
      <c r="L279" s="1"/>
      <c r="M279" s="1"/>
    </row>
    <row r="280" ht="15.75" customHeight="1">
      <c r="A280" s="1"/>
      <c r="B280" s="1"/>
      <c r="C280" s="1"/>
      <c r="D280" s="1"/>
      <c r="E280" s="1"/>
      <c r="F280" s="1"/>
      <c r="G280" s="1"/>
      <c r="H280" s="1"/>
      <c r="I280" s="1"/>
      <c r="J280" s="1"/>
      <c r="K280" s="1"/>
      <c r="L280" s="1"/>
      <c r="M280" s="1"/>
    </row>
    <row r="281" ht="15.75" customHeight="1">
      <c r="A281" s="1"/>
      <c r="B281" s="1"/>
      <c r="C281" s="1"/>
      <c r="D281" s="1"/>
      <c r="E281" s="1"/>
      <c r="F281" s="1"/>
      <c r="G281" s="1"/>
      <c r="H281" s="1"/>
      <c r="I281" s="1"/>
      <c r="J281" s="1"/>
      <c r="K281" s="1"/>
      <c r="L281" s="1"/>
      <c r="M281" s="1"/>
    </row>
    <row r="282" ht="15.75" customHeight="1">
      <c r="A282" s="1"/>
      <c r="B282" s="1"/>
      <c r="C282" s="1"/>
      <c r="D282" s="1"/>
      <c r="E282" s="1"/>
      <c r="F282" s="1"/>
      <c r="G282" s="1"/>
      <c r="H282" s="1"/>
      <c r="I282" s="1"/>
      <c r="J282" s="1"/>
      <c r="K282" s="1"/>
      <c r="L282" s="1"/>
      <c r="M282" s="1"/>
    </row>
    <row r="283" ht="15.75" customHeight="1">
      <c r="A283" s="1"/>
      <c r="B283" s="1"/>
      <c r="C283" s="1"/>
      <c r="D283" s="1"/>
      <c r="E283" s="1"/>
      <c r="F283" s="1"/>
      <c r="G283" s="1"/>
      <c r="H283" s="1"/>
      <c r="I283" s="1"/>
      <c r="J283" s="1"/>
      <c r="K283" s="1"/>
      <c r="L283" s="1"/>
      <c r="M283" s="1"/>
    </row>
    <row r="284" ht="15.75" customHeight="1">
      <c r="A284" s="1"/>
      <c r="B284" s="1"/>
      <c r="C284" s="1"/>
      <c r="D284" s="1"/>
      <c r="E284" s="1"/>
      <c r="F284" s="1"/>
      <c r="G284" s="1"/>
      <c r="H284" s="1"/>
      <c r="I284" s="1"/>
      <c r="J284" s="1"/>
      <c r="K284" s="1"/>
      <c r="L284" s="1"/>
      <c r="M284" s="1"/>
    </row>
    <row r="285" ht="15.75" customHeight="1">
      <c r="A285" s="1"/>
      <c r="B285" s="1"/>
      <c r="C285" s="1"/>
      <c r="D285" s="1"/>
      <c r="E285" s="1"/>
      <c r="F285" s="1"/>
      <c r="G285" s="1"/>
      <c r="H285" s="1"/>
      <c r="I285" s="1"/>
      <c r="J285" s="1"/>
      <c r="K285" s="1"/>
      <c r="L285" s="1"/>
      <c r="M285" s="1"/>
    </row>
    <row r="286" ht="15.75" customHeight="1">
      <c r="A286" s="1"/>
      <c r="B286" s="1"/>
      <c r="C286" s="1"/>
      <c r="D286" s="1"/>
      <c r="E286" s="1"/>
      <c r="F286" s="1"/>
      <c r="G286" s="1"/>
      <c r="H286" s="1"/>
      <c r="I286" s="1"/>
      <c r="J286" s="1"/>
      <c r="K286" s="1"/>
      <c r="L286" s="1"/>
      <c r="M286" s="1"/>
    </row>
    <row r="287" ht="15.75" customHeight="1">
      <c r="A287" s="1"/>
      <c r="B287" s="1"/>
      <c r="C287" s="1"/>
      <c r="D287" s="1"/>
      <c r="E287" s="1"/>
      <c r="F287" s="1"/>
      <c r="G287" s="1"/>
      <c r="H287" s="1"/>
      <c r="I287" s="1"/>
      <c r="J287" s="1"/>
      <c r="K287" s="1"/>
      <c r="L287" s="1"/>
      <c r="M287" s="1"/>
    </row>
    <row r="288" ht="15.75" customHeight="1">
      <c r="A288" s="1"/>
      <c r="B288" s="1"/>
      <c r="C288" s="1"/>
      <c r="D288" s="1"/>
      <c r="E288" s="1"/>
      <c r="F288" s="1"/>
      <c r="G288" s="1"/>
      <c r="H288" s="1"/>
      <c r="I288" s="1"/>
      <c r="J288" s="1"/>
      <c r="K288" s="1"/>
      <c r="L288" s="1"/>
      <c r="M288" s="1"/>
    </row>
    <row r="289" ht="15.75" customHeight="1">
      <c r="A289" s="1"/>
      <c r="B289" s="1"/>
      <c r="C289" s="1"/>
      <c r="D289" s="1"/>
      <c r="E289" s="1"/>
      <c r="F289" s="1"/>
      <c r="G289" s="1"/>
      <c r="H289" s="1"/>
      <c r="I289" s="1"/>
      <c r="J289" s="1"/>
      <c r="K289" s="1"/>
      <c r="L289" s="1"/>
      <c r="M289" s="1"/>
    </row>
    <row r="290" ht="15.75" customHeight="1">
      <c r="A290" s="1"/>
      <c r="B290" s="1"/>
      <c r="C290" s="1"/>
      <c r="D290" s="1"/>
      <c r="E290" s="1"/>
      <c r="F290" s="1"/>
      <c r="G290" s="1"/>
      <c r="H290" s="1"/>
      <c r="I290" s="1"/>
      <c r="J290" s="1"/>
      <c r="K290" s="1"/>
      <c r="L290" s="1"/>
      <c r="M290" s="1"/>
    </row>
    <row r="291" ht="15.75" customHeight="1">
      <c r="A291" s="1"/>
      <c r="B291" s="1"/>
      <c r="C291" s="1"/>
      <c r="D291" s="1"/>
      <c r="E291" s="1"/>
      <c r="F291" s="1"/>
      <c r="G291" s="1"/>
      <c r="H291" s="1"/>
      <c r="I291" s="1"/>
      <c r="J291" s="1"/>
      <c r="K291" s="1"/>
      <c r="L291" s="1"/>
      <c r="M291" s="1"/>
    </row>
    <row r="292" ht="15.75" customHeight="1">
      <c r="A292" s="1"/>
      <c r="B292" s="1"/>
      <c r="C292" s="1"/>
      <c r="D292" s="1"/>
      <c r="E292" s="1"/>
      <c r="F292" s="1"/>
      <c r="G292" s="1"/>
      <c r="H292" s="1"/>
      <c r="I292" s="1"/>
      <c r="J292" s="1"/>
      <c r="K292" s="1"/>
      <c r="L292" s="1"/>
      <c r="M292" s="1"/>
    </row>
    <row r="293" ht="15.75" customHeight="1">
      <c r="A293" s="1"/>
      <c r="B293" s="1"/>
      <c r="C293" s="1"/>
      <c r="D293" s="1"/>
      <c r="E293" s="1"/>
      <c r="F293" s="1"/>
      <c r="G293" s="1"/>
      <c r="H293" s="1"/>
      <c r="I293" s="1"/>
      <c r="J293" s="1"/>
      <c r="K293" s="1"/>
      <c r="L293" s="1"/>
      <c r="M293" s="1"/>
    </row>
    <row r="294" ht="15.75" customHeight="1">
      <c r="A294" s="1"/>
      <c r="B294" s="1"/>
      <c r="C294" s="1"/>
      <c r="D294" s="1"/>
      <c r="E294" s="1"/>
      <c r="F294" s="1"/>
      <c r="G294" s="1"/>
      <c r="H294" s="1"/>
      <c r="I294" s="1"/>
      <c r="J294" s="1"/>
      <c r="K294" s="1"/>
      <c r="L294" s="1"/>
      <c r="M294" s="1"/>
    </row>
    <row r="295" ht="15.75" customHeight="1">
      <c r="A295" s="1"/>
      <c r="B295" s="1"/>
      <c r="C295" s="1"/>
      <c r="D295" s="1"/>
      <c r="E295" s="1"/>
      <c r="F295" s="1"/>
      <c r="G295" s="1"/>
      <c r="H295" s="1"/>
      <c r="I295" s="1"/>
      <c r="J295" s="1"/>
      <c r="K295" s="1"/>
      <c r="L295" s="1"/>
      <c r="M295" s="1"/>
    </row>
    <row r="296" ht="15.75" customHeight="1">
      <c r="A296" s="1"/>
      <c r="B296" s="1"/>
      <c r="C296" s="1"/>
      <c r="D296" s="1"/>
      <c r="E296" s="1"/>
      <c r="F296" s="1"/>
      <c r="G296" s="1"/>
      <c r="H296" s="1"/>
      <c r="I296" s="1"/>
      <c r="J296" s="1"/>
      <c r="K296" s="1"/>
      <c r="L296" s="1"/>
      <c r="M296" s="1"/>
    </row>
    <row r="297" ht="15.75" customHeight="1">
      <c r="A297" s="1"/>
      <c r="B297" s="1"/>
      <c r="C297" s="1"/>
      <c r="D297" s="1"/>
      <c r="E297" s="1"/>
      <c r="F297" s="1"/>
      <c r="G297" s="1"/>
      <c r="H297" s="1"/>
      <c r="I297" s="1"/>
      <c r="J297" s="1"/>
      <c r="K297" s="1"/>
      <c r="L297" s="1"/>
      <c r="M297" s="1"/>
    </row>
    <row r="298" ht="15.75" customHeight="1">
      <c r="A298" s="1"/>
      <c r="B298" s="1"/>
      <c r="C298" s="1"/>
      <c r="D298" s="1"/>
      <c r="E298" s="1"/>
      <c r="F298" s="1"/>
      <c r="G298" s="1"/>
      <c r="H298" s="1"/>
      <c r="I298" s="1"/>
      <c r="J298" s="1"/>
      <c r="K298" s="1"/>
      <c r="L298" s="1"/>
      <c r="M298" s="1"/>
    </row>
    <row r="299" ht="15.75" customHeight="1">
      <c r="A299" s="1"/>
      <c r="B299" s="1"/>
      <c r="C299" s="1"/>
      <c r="D299" s="1"/>
      <c r="E299" s="1"/>
      <c r="F299" s="1"/>
      <c r="G299" s="1"/>
      <c r="H299" s="1"/>
      <c r="I299" s="1"/>
      <c r="J299" s="1"/>
      <c r="K299" s="1"/>
      <c r="L299" s="1"/>
      <c r="M299" s="1"/>
    </row>
    <row r="300" ht="15.75" customHeight="1">
      <c r="A300" s="1"/>
      <c r="B300" s="1"/>
      <c r="C300" s="1"/>
      <c r="D300" s="1"/>
      <c r="E300" s="1"/>
      <c r="F300" s="1"/>
      <c r="G300" s="1"/>
      <c r="H300" s="1"/>
      <c r="I300" s="1"/>
      <c r="J300" s="1"/>
      <c r="K300" s="1"/>
      <c r="L300" s="1"/>
      <c r="M300" s="1"/>
    </row>
    <row r="301" ht="15.75" customHeight="1">
      <c r="A301" s="1"/>
      <c r="B301" s="1"/>
      <c r="C301" s="1"/>
      <c r="D301" s="1"/>
      <c r="E301" s="1"/>
      <c r="F301" s="1"/>
      <c r="G301" s="1"/>
      <c r="H301" s="1"/>
      <c r="I301" s="1"/>
      <c r="J301" s="1"/>
      <c r="K301" s="1"/>
      <c r="L301" s="1"/>
      <c r="M301" s="1"/>
    </row>
    <row r="302" ht="15.75" customHeight="1">
      <c r="A302" s="1"/>
      <c r="B302" s="1"/>
      <c r="C302" s="1"/>
      <c r="D302" s="1"/>
      <c r="E302" s="1"/>
      <c r="F302" s="1"/>
      <c r="G302" s="1"/>
      <c r="H302" s="1"/>
      <c r="I302" s="1"/>
      <c r="J302" s="1"/>
      <c r="K302" s="1"/>
      <c r="L302" s="1"/>
      <c r="M302" s="1"/>
    </row>
    <row r="303" ht="15.75" customHeight="1">
      <c r="A303" s="1"/>
      <c r="B303" s="1"/>
      <c r="C303" s="1"/>
      <c r="D303" s="1"/>
      <c r="E303" s="1"/>
      <c r="F303" s="1"/>
      <c r="G303" s="1"/>
      <c r="H303" s="1"/>
      <c r="I303" s="1"/>
      <c r="J303" s="1"/>
      <c r="K303" s="1"/>
      <c r="L303" s="1"/>
      <c r="M303" s="1"/>
    </row>
    <row r="304" ht="15.75" customHeight="1">
      <c r="A304" s="1"/>
      <c r="B304" s="1"/>
      <c r="C304" s="1"/>
      <c r="D304" s="1"/>
      <c r="E304" s="1"/>
      <c r="F304" s="1"/>
      <c r="G304" s="1"/>
      <c r="H304" s="1"/>
      <c r="I304" s="1"/>
      <c r="J304" s="1"/>
      <c r="K304" s="1"/>
      <c r="L304" s="1"/>
      <c r="M304" s="1"/>
    </row>
    <row r="305" ht="15.75" customHeight="1">
      <c r="A305" s="1"/>
      <c r="B305" s="1"/>
      <c r="C305" s="1"/>
      <c r="D305" s="1"/>
      <c r="E305" s="1"/>
      <c r="F305" s="1"/>
      <c r="G305" s="1"/>
      <c r="H305" s="1"/>
      <c r="I305" s="1"/>
      <c r="J305" s="1"/>
      <c r="K305" s="1"/>
      <c r="L305" s="1"/>
      <c r="M305" s="1"/>
    </row>
    <row r="306" ht="15.75" customHeight="1">
      <c r="A306" s="1"/>
      <c r="B306" s="1"/>
      <c r="C306" s="1"/>
      <c r="D306" s="1"/>
      <c r="E306" s="1"/>
      <c r="F306" s="1"/>
      <c r="G306" s="1"/>
      <c r="H306" s="1"/>
      <c r="I306" s="1"/>
      <c r="J306" s="1"/>
      <c r="K306" s="1"/>
      <c r="L306" s="1"/>
      <c r="M306" s="1"/>
    </row>
    <row r="307" ht="15.75" customHeight="1">
      <c r="A307" s="1"/>
      <c r="B307" s="1"/>
      <c r="C307" s="1"/>
      <c r="D307" s="1"/>
      <c r="E307" s="1"/>
      <c r="F307" s="1"/>
      <c r="G307" s="1"/>
      <c r="H307" s="1"/>
      <c r="I307" s="1"/>
      <c r="J307" s="1"/>
      <c r="K307" s="1"/>
      <c r="L307" s="1"/>
      <c r="M307" s="1"/>
    </row>
    <row r="308" ht="15.75" customHeight="1">
      <c r="A308" s="1"/>
      <c r="B308" s="1"/>
      <c r="C308" s="1"/>
      <c r="D308" s="1"/>
      <c r="E308" s="1"/>
      <c r="F308" s="1"/>
      <c r="G308" s="1"/>
      <c r="H308" s="1"/>
      <c r="I308" s="1"/>
      <c r="J308" s="1"/>
      <c r="K308" s="1"/>
      <c r="L308" s="1"/>
      <c r="M308" s="1"/>
    </row>
    <row r="309" ht="15.75" customHeight="1">
      <c r="A309" s="1"/>
      <c r="B309" s="1"/>
      <c r="C309" s="1"/>
      <c r="D309" s="1"/>
      <c r="E309" s="1"/>
      <c r="F309" s="1"/>
      <c r="G309" s="1"/>
      <c r="H309" s="1"/>
      <c r="I309" s="1"/>
      <c r="J309" s="1"/>
      <c r="K309" s="1"/>
      <c r="L309" s="1"/>
      <c r="M309" s="1"/>
    </row>
    <row r="310" ht="15.75" customHeight="1">
      <c r="A310" s="1"/>
      <c r="B310" s="1"/>
      <c r="C310" s="1"/>
      <c r="D310" s="1"/>
      <c r="E310" s="1"/>
      <c r="F310" s="1"/>
      <c r="G310" s="1"/>
      <c r="H310" s="1"/>
      <c r="I310" s="1"/>
      <c r="J310" s="1"/>
      <c r="K310" s="1"/>
      <c r="L310" s="1"/>
      <c r="M310" s="1"/>
    </row>
    <row r="311" ht="15.75" customHeight="1">
      <c r="A311" s="1"/>
      <c r="B311" s="1"/>
      <c r="C311" s="1"/>
      <c r="D311" s="1"/>
      <c r="E311" s="1"/>
      <c r="F311" s="1"/>
      <c r="G311" s="1"/>
      <c r="H311" s="1"/>
      <c r="I311" s="1"/>
      <c r="J311" s="1"/>
      <c r="K311" s="1"/>
      <c r="L311" s="1"/>
      <c r="M311" s="1"/>
    </row>
    <row r="312" ht="15.75" customHeight="1">
      <c r="A312" s="1"/>
      <c r="B312" s="1"/>
      <c r="C312" s="1"/>
      <c r="D312" s="1"/>
      <c r="E312" s="1"/>
      <c r="F312" s="1"/>
      <c r="G312" s="1"/>
      <c r="H312" s="1"/>
      <c r="I312" s="1"/>
      <c r="J312" s="1"/>
      <c r="K312" s="1"/>
      <c r="L312" s="1"/>
      <c r="M312" s="1"/>
    </row>
    <row r="313" ht="15.75" customHeight="1">
      <c r="A313" s="1"/>
      <c r="B313" s="1"/>
      <c r="C313" s="1"/>
      <c r="D313" s="1"/>
      <c r="E313" s="1"/>
      <c r="F313" s="1"/>
      <c r="G313" s="1"/>
      <c r="H313" s="1"/>
      <c r="I313" s="1"/>
      <c r="J313" s="1"/>
      <c r="K313" s="1"/>
      <c r="L313" s="1"/>
      <c r="M313" s="1"/>
    </row>
    <row r="314" ht="15.75" customHeight="1">
      <c r="A314" s="1"/>
      <c r="B314" s="1"/>
      <c r="C314" s="1"/>
      <c r="D314" s="1"/>
      <c r="E314" s="1"/>
      <c r="F314" s="1"/>
      <c r="G314" s="1"/>
      <c r="H314" s="1"/>
      <c r="I314" s="1"/>
      <c r="J314" s="1"/>
      <c r="K314" s="1"/>
      <c r="L314" s="1"/>
      <c r="M314" s="1"/>
    </row>
    <row r="315" ht="15.75" customHeight="1">
      <c r="A315" s="1"/>
      <c r="B315" s="1"/>
      <c r="C315" s="1"/>
      <c r="D315" s="1"/>
      <c r="E315" s="1"/>
      <c r="F315" s="1"/>
      <c r="G315" s="1"/>
      <c r="H315" s="1"/>
      <c r="I315" s="1"/>
      <c r="J315" s="1"/>
      <c r="K315" s="1"/>
      <c r="L315" s="1"/>
      <c r="M315" s="1"/>
    </row>
    <row r="316" ht="15.75" customHeight="1">
      <c r="A316" s="1"/>
      <c r="B316" s="1"/>
      <c r="C316" s="1"/>
      <c r="D316" s="1"/>
      <c r="E316" s="1"/>
      <c r="F316" s="1"/>
      <c r="G316" s="1"/>
      <c r="H316" s="1"/>
      <c r="I316" s="1"/>
      <c r="J316" s="1"/>
      <c r="K316" s="1"/>
      <c r="L316" s="1"/>
      <c r="M316" s="1"/>
    </row>
    <row r="317" ht="15.75" customHeight="1">
      <c r="A317" s="1"/>
      <c r="B317" s="1"/>
      <c r="C317" s="1"/>
      <c r="D317" s="1"/>
      <c r="E317" s="1"/>
      <c r="F317" s="1"/>
      <c r="G317" s="1"/>
      <c r="H317" s="1"/>
      <c r="I317" s="1"/>
      <c r="J317" s="1"/>
      <c r="K317" s="1"/>
      <c r="L317" s="1"/>
      <c r="M317" s="1"/>
    </row>
    <row r="318" ht="15.75" customHeight="1">
      <c r="A318" s="1"/>
      <c r="B318" s="1"/>
      <c r="C318" s="1"/>
      <c r="D318" s="1"/>
      <c r="E318" s="1"/>
      <c r="F318" s="1"/>
      <c r="G318" s="1"/>
      <c r="H318" s="1"/>
      <c r="I318" s="1"/>
      <c r="J318" s="1"/>
      <c r="K318" s="1"/>
      <c r="L318" s="1"/>
      <c r="M318" s="1"/>
    </row>
    <row r="319" ht="15.75" customHeight="1">
      <c r="A319" s="1"/>
      <c r="B319" s="1"/>
      <c r="C319" s="1"/>
      <c r="D319" s="1"/>
      <c r="E319" s="1"/>
      <c r="F319" s="1"/>
      <c r="G319" s="1"/>
      <c r="H319" s="1"/>
      <c r="I319" s="1"/>
      <c r="J319" s="1"/>
      <c r="K319" s="1"/>
      <c r="L319" s="1"/>
      <c r="M319" s="1"/>
    </row>
    <row r="320" ht="15.75" customHeight="1">
      <c r="A320" s="1"/>
      <c r="B320" s="1"/>
      <c r="C320" s="1"/>
      <c r="D320" s="1"/>
      <c r="E320" s="1"/>
      <c r="F320" s="1"/>
      <c r="G320" s="1"/>
      <c r="H320" s="1"/>
      <c r="I320" s="1"/>
      <c r="J320" s="1"/>
      <c r="K320" s="1"/>
      <c r="L320" s="1"/>
      <c r="M320" s="1"/>
    </row>
    <row r="321" ht="15.75" customHeight="1">
      <c r="A321" s="1"/>
      <c r="B321" s="1"/>
      <c r="C321" s="1"/>
      <c r="D321" s="1"/>
      <c r="E321" s="1"/>
      <c r="F321" s="1"/>
      <c r="G321" s="1"/>
      <c r="H321" s="1"/>
      <c r="I321" s="1"/>
      <c r="J321" s="1"/>
      <c r="K321" s="1"/>
      <c r="L321" s="1"/>
      <c r="M321" s="1"/>
    </row>
    <row r="322" ht="15.75" customHeight="1">
      <c r="A322" s="1"/>
      <c r="B322" s="1"/>
      <c r="C322" s="1"/>
      <c r="D322" s="1"/>
      <c r="E322" s="1"/>
      <c r="F322" s="1"/>
      <c r="G322" s="1"/>
      <c r="H322" s="1"/>
      <c r="I322" s="1"/>
      <c r="J322" s="1"/>
      <c r="K322" s="1"/>
      <c r="L322" s="1"/>
      <c r="M322" s="1"/>
    </row>
    <row r="323" ht="15.75" customHeight="1">
      <c r="A323" s="1"/>
      <c r="B323" s="1"/>
      <c r="C323" s="1"/>
      <c r="D323" s="1"/>
      <c r="E323" s="1"/>
      <c r="F323" s="1"/>
      <c r="G323" s="1"/>
      <c r="H323" s="1"/>
      <c r="I323" s="1"/>
      <c r="J323" s="1"/>
      <c r="K323" s="1"/>
      <c r="L323" s="1"/>
      <c r="M323" s="1"/>
    </row>
    <row r="324" ht="15.75" customHeight="1">
      <c r="A324" s="1"/>
      <c r="B324" s="1"/>
      <c r="C324" s="1"/>
      <c r="D324" s="1"/>
      <c r="E324" s="1"/>
      <c r="F324" s="1"/>
      <c r="G324" s="1"/>
      <c r="H324" s="1"/>
      <c r="I324" s="1"/>
      <c r="J324" s="1"/>
      <c r="K324" s="1"/>
      <c r="L324" s="1"/>
      <c r="M324" s="1"/>
    </row>
    <row r="325" ht="15.75" customHeight="1">
      <c r="A325" s="1"/>
      <c r="B325" s="1"/>
      <c r="C325" s="1"/>
      <c r="D325" s="1"/>
      <c r="E325" s="1"/>
      <c r="F325" s="1"/>
      <c r="G325" s="1"/>
      <c r="H325" s="1"/>
      <c r="I325" s="1"/>
      <c r="J325" s="1"/>
      <c r="K325" s="1"/>
      <c r="L325" s="1"/>
      <c r="M325" s="1"/>
    </row>
    <row r="326" ht="15.75" customHeight="1">
      <c r="A326" s="1"/>
      <c r="B326" s="1"/>
      <c r="C326" s="1"/>
      <c r="D326" s="1"/>
      <c r="E326" s="1"/>
      <c r="F326" s="1"/>
      <c r="G326" s="1"/>
      <c r="H326" s="1"/>
      <c r="I326" s="1"/>
      <c r="J326" s="1"/>
      <c r="K326" s="1"/>
      <c r="L326" s="1"/>
      <c r="M326" s="1"/>
    </row>
    <row r="327" ht="15.75" customHeight="1">
      <c r="A327" s="1"/>
      <c r="B327" s="1"/>
      <c r="C327" s="1"/>
      <c r="D327" s="1"/>
      <c r="E327" s="1"/>
      <c r="F327" s="1"/>
      <c r="G327" s="1"/>
      <c r="H327" s="1"/>
      <c r="I327" s="1"/>
      <c r="J327" s="1"/>
      <c r="K327" s="1"/>
      <c r="L327" s="1"/>
      <c r="M327" s="1"/>
    </row>
    <row r="328" ht="15.75" customHeight="1">
      <c r="A328" s="1"/>
      <c r="B328" s="1"/>
      <c r="C328" s="1"/>
      <c r="D328" s="1"/>
      <c r="E328" s="1"/>
      <c r="F328" s="1"/>
      <c r="G328" s="1"/>
      <c r="H328" s="1"/>
      <c r="I328" s="1"/>
      <c r="J328" s="1"/>
      <c r="K328" s="1"/>
      <c r="L328" s="1"/>
      <c r="M328" s="1"/>
    </row>
    <row r="329" ht="15.75" customHeight="1">
      <c r="A329" s="1"/>
      <c r="B329" s="1"/>
      <c r="C329" s="1"/>
      <c r="D329" s="1"/>
      <c r="E329" s="1"/>
      <c r="F329" s="1"/>
      <c r="G329" s="1"/>
      <c r="H329" s="1"/>
      <c r="I329" s="1"/>
      <c r="J329" s="1"/>
      <c r="K329" s="1"/>
      <c r="L329" s="1"/>
      <c r="M329" s="1"/>
    </row>
    <row r="330" ht="15.75" customHeight="1">
      <c r="A330" s="1"/>
      <c r="B330" s="1"/>
      <c r="C330" s="1"/>
      <c r="D330" s="1"/>
      <c r="E330" s="1"/>
      <c r="F330" s="1"/>
      <c r="G330" s="1"/>
      <c r="H330" s="1"/>
      <c r="I330" s="1"/>
      <c r="J330" s="1"/>
      <c r="K330" s="1"/>
      <c r="L330" s="1"/>
      <c r="M330" s="1"/>
    </row>
    <row r="331" ht="15.75" customHeight="1">
      <c r="A331" s="1"/>
      <c r="B331" s="1"/>
      <c r="C331" s="1"/>
      <c r="D331" s="1"/>
      <c r="E331" s="1"/>
      <c r="F331" s="1"/>
      <c r="G331" s="1"/>
      <c r="H331" s="1"/>
      <c r="I331" s="1"/>
      <c r="J331" s="1"/>
      <c r="K331" s="1"/>
      <c r="L331" s="1"/>
      <c r="M331" s="1"/>
    </row>
    <row r="332" ht="15.75" customHeight="1">
      <c r="A332" s="1"/>
      <c r="B332" s="1"/>
      <c r="C332" s="1"/>
      <c r="D332" s="1"/>
      <c r="E332" s="1"/>
      <c r="F332" s="1"/>
      <c r="G332" s="1"/>
      <c r="H332" s="1"/>
      <c r="I332" s="1"/>
      <c r="J332" s="1"/>
      <c r="K332" s="1"/>
      <c r="L332" s="1"/>
      <c r="M332" s="1"/>
    </row>
    <row r="333" ht="15.75" customHeight="1">
      <c r="A333" s="1"/>
      <c r="B333" s="1"/>
      <c r="C333" s="1"/>
      <c r="D333" s="1"/>
      <c r="E333" s="1"/>
      <c r="F333" s="1"/>
      <c r="G333" s="1"/>
      <c r="H333" s="1"/>
      <c r="I333" s="1"/>
      <c r="J333" s="1"/>
      <c r="K333" s="1"/>
      <c r="L333" s="1"/>
      <c r="M333" s="1"/>
    </row>
    <row r="334" ht="15.75" customHeight="1">
      <c r="A334" s="1"/>
      <c r="B334" s="1"/>
      <c r="C334" s="1"/>
      <c r="D334" s="1"/>
      <c r="E334" s="1"/>
      <c r="F334" s="1"/>
      <c r="G334" s="1"/>
      <c r="H334" s="1"/>
      <c r="I334" s="1"/>
      <c r="J334" s="1"/>
      <c r="K334" s="1"/>
      <c r="L334" s="1"/>
      <c r="M334" s="1"/>
    </row>
    <row r="335" ht="15.75" customHeight="1">
      <c r="A335" s="1"/>
      <c r="B335" s="1"/>
      <c r="C335" s="1"/>
      <c r="D335" s="1"/>
      <c r="E335" s="1"/>
      <c r="F335" s="1"/>
      <c r="G335" s="1"/>
      <c r="H335" s="1"/>
      <c r="I335" s="1"/>
      <c r="J335" s="1"/>
      <c r="K335" s="1"/>
      <c r="L335" s="1"/>
      <c r="M335" s="1"/>
    </row>
    <row r="336" ht="15.75" customHeight="1">
      <c r="A336" s="1"/>
      <c r="B336" s="1"/>
      <c r="C336" s="1"/>
      <c r="D336" s="1"/>
      <c r="E336" s="1"/>
      <c r="F336" s="1"/>
      <c r="G336" s="1"/>
      <c r="H336" s="1"/>
      <c r="I336" s="1"/>
      <c r="J336" s="1"/>
      <c r="K336" s="1"/>
      <c r="L336" s="1"/>
      <c r="M336" s="1"/>
    </row>
    <row r="337" ht="15.75" customHeight="1">
      <c r="A337" s="1"/>
      <c r="B337" s="1"/>
      <c r="C337" s="1"/>
      <c r="D337" s="1"/>
      <c r="E337" s="1"/>
      <c r="F337" s="1"/>
      <c r="G337" s="1"/>
      <c r="H337" s="1"/>
      <c r="I337" s="1"/>
      <c r="J337" s="1"/>
      <c r="K337" s="1"/>
      <c r="L337" s="1"/>
      <c r="M337" s="1"/>
    </row>
    <row r="338" ht="15.75" customHeight="1">
      <c r="A338" s="1"/>
      <c r="B338" s="1"/>
      <c r="C338" s="1"/>
      <c r="D338" s="1"/>
      <c r="E338" s="1"/>
      <c r="F338" s="1"/>
      <c r="G338" s="1"/>
      <c r="H338" s="1"/>
      <c r="I338" s="1"/>
      <c r="J338" s="1"/>
      <c r="K338" s="1"/>
      <c r="L338" s="1"/>
      <c r="M338" s="1"/>
    </row>
    <row r="339" ht="15.75" customHeight="1">
      <c r="A339" s="1"/>
      <c r="B339" s="1"/>
      <c r="C339" s="1"/>
      <c r="D339" s="1"/>
      <c r="E339" s="1"/>
      <c r="F339" s="1"/>
      <c r="G339" s="1"/>
      <c r="H339" s="1"/>
      <c r="I339" s="1"/>
      <c r="J339" s="1"/>
      <c r="K339" s="1"/>
      <c r="L339" s="1"/>
      <c r="M339" s="1"/>
    </row>
    <row r="340" ht="15.75" customHeight="1">
      <c r="A340" s="1"/>
      <c r="B340" s="1"/>
      <c r="C340" s="1"/>
      <c r="D340" s="1"/>
      <c r="E340" s="1"/>
      <c r="F340" s="1"/>
      <c r="G340" s="1"/>
      <c r="H340" s="1"/>
      <c r="I340" s="1"/>
      <c r="J340" s="1"/>
      <c r="K340" s="1"/>
      <c r="L340" s="1"/>
      <c r="M340" s="1"/>
    </row>
    <row r="341" ht="15.75" customHeight="1">
      <c r="A341" s="1"/>
      <c r="B341" s="1"/>
      <c r="C341" s="1"/>
      <c r="D341" s="1"/>
      <c r="E341" s="1"/>
      <c r="F341" s="1"/>
      <c r="G341" s="1"/>
      <c r="H341" s="1"/>
      <c r="I341" s="1"/>
      <c r="J341" s="1"/>
      <c r="K341" s="1"/>
      <c r="L341" s="1"/>
      <c r="M341" s="1"/>
    </row>
    <row r="342" ht="15.75" customHeight="1">
      <c r="A342" s="1"/>
      <c r="B342" s="1"/>
      <c r="C342" s="1"/>
      <c r="D342" s="1"/>
      <c r="E342" s="1"/>
      <c r="F342" s="1"/>
      <c r="G342" s="1"/>
      <c r="H342" s="1"/>
      <c r="I342" s="1"/>
      <c r="J342" s="1"/>
      <c r="K342" s="1"/>
      <c r="L342" s="1"/>
      <c r="M342" s="1"/>
    </row>
    <row r="343" ht="15.75" customHeight="1">
      <c r="A343" s="1"/>
      <c r="B343" s="1"/>
      <c r="C343" s="1"/>
      <c r="D343" s="1"/>
      <c r="E343" s="1"/>
      <c r="F343" s="1"/>
      <c r="G343" s="1"/>
      <c r="H343" s="1"/>
      <c r="I343" s="1"/>
      <c r="J343" s="1"/>
      <c r="K343" s="1"/>
      <c r="L343" s="1"/>
      <c r="M343" s="1"/>
    </row>
    <row r="344" ht="15.75" customHeight="1">
      <c r="A344" s="1"/>
      <c r="B344" s="1"/>
      <c r="C344" s="1"/>
      <c r="D344" s="1"/>
      <c r="E344" s="1"/>
      <c r="F344" s="1"/>
      <c r="G344" s="1"/>
      <c r="H344" s="1"/>
      <c r="I344" s="1"/>
      <c r="J344" s="1"/>
      <c r="K344" s="1"/>
      <c r="L344" s="1"/>
      <c r="M344" s="1"/>
    </row>
    <row r="345" ht="15.75" customHeight="1">
      <c r="A345" s="1"/>
      <c r="B345" s="1"/>
      <c r="C345" s="1"/>
      <c r="D345" s="1"/>
      <c r="E345" s="1"/>
      <c r="F345" s="1"/>
      <c r="G345" s="1"/>
      <c r="H345" s="1"/>
      <c r="I345" s="1"/>
      <c r="J345" s="1"/>
      <c r="K345" s="1"/>
      <c r="L345" s="1"/>
      <c r="M345" s="1"/>
    </row>
    <row r="346" ht="15.75" customHeight="1">
      <c r="A346" s="1"/>
      <c r="B346" s="1"/>
      <c r="C346" s="1"/>
      <c r="D346" s="1"/>
      <c r="E346" s="1"/>
      <c r="F346" s="1"/>
      <c r="G346" s="1"/>
      <c r="H346" s="1"/>
      <c r="I346" s="1"/>
      <c r="J346" s="1"/>
      <c r="K346" s="1"/>
      <c r="L346" s="1"/>
      <c r="M346" s="1"/>
    </row>
    <row r="347" ht="15.75" customHeight="1">
      <c r="A347" s="1"/>
      <c r="B347" s="1"/>
      <c r="C347" s="1"/>
      <c r="D347" s="1"/>
      <c r="E347" s="1"/>
      <c r="F347" s="1"/>
      <c r="G347" s="1"/>
      <c r="H347" s="1"/>
      <c r="I347" s="1"/>
      <c r="J347" s="1"/>
      <c r="K347" s="1"/>
      <c r="L347" s="1"/>
      <c r="M347" s="1"/>
    </row>
    <row r="348" ht="15.75" customHeight="1">
      <c r="A348" s="1"/>
      <c r="B348" s="1"/>
      <c r="C348" s="1"/>
      <c r="D348" s="1"/>
      <c r="E348" s="1"/>
      <c r="F348" s="1"/>
      <c r="G348" s="1"/>
      <c r="H348" s="1"/>
      <c r="I348" s="1"/>
      <c r="J348" s="1"/>
      <c r="K348" s="1"/>
      <c r="L348" s="1"/>
      <c r="M348" s="1"/>
    </row>
    <row r="349" ht="15.75" customHeight="1">
      <c r="A349" s="1"/>
      <c r="B349" s="1"/>
      <c r="C349" s="1"/>
      <c r="D349" s="1"/>
      <c r="E349" s="1"/>
      <c r="F349" s="1"/>
      <c r="G349" s="1"/>
      <c r="H349" s="1"/>
      <c r="I349" s="1"/>
      <c r="J349" s="1"/>
      <c r="K349" s="1"/>
      <c r="L349" s="1"/>
      <c r="M349" s="1"/>
    </row>
    <row r="350" ht="15.75" customHeight="1">
      <c r="A350" s="1"/>
      <c r="B350" s="1"/>
      <c r="C350" s="1"/>
      <c r="D350" s="1"/>
      <c r="E350" s="1"/>
      <c r="F350" s="1"/>
      <c r="G350" s="1"/>
      <c r="H350" s="1"/>
      <c r="I350" s="1"/>
      <c r="J350" s="1"/>
      <c r="K350" s="1"/>
      <c r="L350" s="1"/>
      <c r="M350" s="1"/>
    </row>
    <row r="351" ht="15.75" customHeight="1">
      <c r="A351" s="1"/>
      <c r="B351" s="1"/>
      <c r="C351" s="1"/>
      <c r="D351" s="1"/>
      <c r="E351" s="1"/>
      <c r="F351" s="1"/>
      <c r="G351" s="1"/>
      <c r="H351" s="1"/>
      <c r="I351" s="1"/>
      <c r="J351" s="1"/>
      <c r="K351" s="1"/>
      <c r="L351" s="1"/>
      <c r="M351" s="1"/>
    </row>
    <row r="352" ht="15.75" customHeight="1">
      <c r="A352" s="1"/>
      <c r="B352" s="1"/>
      <c r="C352" s="1"/>
      <c r="D352" s="1"/>
      <c r="E352" s="1"/>
      <c r="F352" s="1"/>
      <c r="G352" s="1"/>
      <c r="H352" s="1"/>
      <c r="I352" s="1"/>
      <c r="J352" s="1"/>
      <c r="K352" s="1"/>
      <c r="L352" s="1"/>
      <c r="M352" s="1"/>
    </row>
    <row r="353" ht="15.75" customHeight="1">
      <c r="A353" s="1"/>
      <c r="B353" s="1"/>
      <c r="C353" s="1"/>
      <c r="D353" s="1"/>
      <c r="E353" s="1"/>
      <c r="F353" s="1"/>
      <c r="G353" s="1"/>
      <c r="H353" s="1"/>
      <c r="I353" s="1"/>
      <c r="J353" s="1"/>
      <c r="K353" s="1"/>
      <c r="L353" s="1"/>
      <c r="M353" s="1"/>
    </row>
    <row r="354" ht="15.75" customHeight="1">
      <c r="A354" s="1"/>
      <c r="B354" s="1"/>
      <c r="C354" s="1"/>
      <c r="D354" s="1"/>
      <c r="E354" s="1"/>
      <c r="F354" s="1"/>
      <c r="G354" s="1"/>
      <c r="H354" s="1"/>
      <c r="I354" s="1"/>
      <c r="J354" s="1"/>
      <c r="K354" s="1"/>
      <c r="L354" s="1"/>
      <c r="M354" s="1"/>
    </row>
    <row r="355" ht="15.75" customHeight="1">
      <c r="A355" s="1"/>
      <c r="B355" s="1"/>
      <c r="C355" s="1"/>
      <c r="D355" s="1"/>
      <c r="E355" s="1"/>
      <c r="F355" s="1"/>
      <c r="G355" s="1"/>
      <c r="H355" s="1"/>
      <c r="I355" s="1"/>
      <c r="J355" s="1"/>
      <c r="K355" s="1"/>
      <c r="L355" s="1"/>
      <c r="M355" s="1"/>
    </row>
    <row r="356" ht="15.75" customHeight="1">
      <c r="A356" s="1"/>
      <c r="B356" s="1"/>
      <c r="C356" s="1"/>
      <c r="D356" s="1"/>
      <c r="E356" s="1"/>
      <c r="F356" s="1"/>
      <c r="G356" s="1"/>
      <c r="H356" s="1"/>
      <c r="I356" s="1"/>
      <c r="J356" s="1"/>
      <c r="K356" s="1"/>
      <c r="L356" s="1"/>
      <c r="M356" s="1"/>
    </row>
    <row r="357" ht="15.75" customHeight="1">
      <c r="A357" s="1"/>
      <c r="B357" s="1"/>
      <c r="C357" s="1"/>
      <c r="D357" s="1"/>
      <c r="E357" s="1"/>
      <c r="F357" s="1"/>
      <c r="G357" s="1"/>
      <c r="H357" s="1"/>
      <c r="I357" s="1"/>
      <c r="J357" s="1"/>
      <c r="K357" s="1"/>
      <c r="L357" s="1"/>
      <c r="M357" s="1"/>
    </row>
    <row r="358" ht="15.75" customHeight="1">
      <c r="A358" s="1"/>
      <c r="B358" s="1"/>
      <c r="C358" s="1"/>
      <c r="D358" s="1"/>
      <c r="E358" s="1"/>
      <c r="F358" s="1"/>
      <c r="G358" s="1"/>
      <c r="H358" s="1"/>
      <c r="I358" s="1"/>
      <c r="J358" s="1"/>
      <c r="K358" s="1"/>
      <c r="L358" s="1"/>
      <c r="M358" s="1"/>
    </row>
    <row r="359" ht="15.75" customHeight="1">
      <c r="A359" s="1"/>
      <c r="B359" s="1"/>
      <c r="C359" s="1"/>
      <c r="D359" s="1"/>
      <c r="E359" s="1"/>
      <c r="F359" s="1"/>
      <c r="G359" s="1"/>
      <c r="H359" s="1"/>
      <c r="I359" s="1"/>
      <c r="J359" s="1"/>
      <c r="K359" s="1"/>
      <c r="L359" s="1"/>
      <c r="M359" s="1"/>
    </row>
    <row r="360" ht="15.75" customHeight="1">
      <c r="A360" s="1"/>
      <c r="B360" s="1"/>
      <c r="C360" s="1"/>
      <c r="D360" s="1"/>
      <c r="E360" s="1"/>
      <c r="F360" s="1"/>
      <c r="G360" s="1"/>
      <c r="H360" s="1"/>
      <c r="I360" s="1"/>
      <c r="J360" s="1"/>
      <c r="K360" s="1"/>
      <c r="L360" s="1"/>
      <c r="M360" s="1"/>
    </row>
    <row r="361" ht="15.75" customHeight="1">
      <c r="A361" s="1"/>
      <c r="B361" s="1"/>
      <c r="C361" s="1"/>
      <c r="D361" s="1"/>
      <c r="E361" s="1"/>
      <c r="F361" s="1"/>
      <c r="G361" s="1"/>
      <c r="H361" s="1"/>
      <c r="I361" s="1"/>
      <c r="J361" s="1"/>
      <c r="K361" s="1"/>
      <c r="L361" s="1"/>
      <c r="M361" s="1"/>
    </row>
    <row r="362" ht="15.75" customHeight="1">
      <c r="A362" s="1"/>
      <c r="B362" s="1"/>
      <c r="C362" s="1"/>
      <c r="D362" s="1"/>
      <c r="E362" s="1"/>
      <c r="F362" s="1"/>
      <c r="G362" s="1"/>
      <c r="H362" s="1"/>
      <c r="I362" s="1"/>
      <c r="J362" s="1"/>
      <c r="K362" s="1"/>
      <c r="L362" s="1"/>
      <c r="M362" s="1"/>
    </row>
    <row r="363" ht="15.75" customHeight="1">
      <c r="A363" s="1"/>
      <c r="B363" s="1"/>
      <c r="C363" s="1"/>
      <c r="D363" s="1"/>
      <c r="E363" s="1"/>
      <c r="F363" s="1"/>
      <c r="G363" s="1"/>
      <c r="H363" s="1"/>
      <c r="I363" s="1"/>
      <c r="J363" s="1"/>
      <c r="K363" s="1"/>
      <c r="L363" s="1"/>
      <c r="M363" s="1"/>
    </row>
    <row r="364" ht="15.75" customHeight="1">
      <c r="A364" s="1"/>
      <c r="B364" s="1"/>
      <c r="C364" s="1"/>
      <c r="D364" s="1"/>
      <c r="E364" s="1"/>
      <c r="F364" s="1"/>
      <c r="G364" s="1"/>
      <c r="H364" s="1"/>
      <c r="I364" s="1"/>
      <c r="J364" s="1"/>
      <c r="K364" s="1"/>
      <c r="L364" s="1"/>
      <c r="M364" s="1"/>
    </row>
    <row r="365" ht="15.75" customHeight="1">
      <c r="A365" s="1"/>
      <c r="B365" s="1"/>
      <c r="C365" s="1"/>
      <c r="D365" s="1"/>
      <c r="E365" s="1"/>
      <c r="F365" s="1"/>
      <c r="G365" s="1"/>
      <c r="H365" s="1"/>
      <c r="I365" s="1"/>
      <c r="J365" s="1"/>
      <c r="K365" s="1"/>
      <c r="L365" s="1"/>
      <c r="M365" s="1"/>
    </row>
    <row r="366" ht="15.75" customHeight="1">
      <c r="A366" s="1"/>
      <c r="B366" s="1"/>
      <c r="C366" s="1"/>
      <c r="D366" s="1"/>
      <c r="E366" s="1"/>
      <c r="F366" s="1"/>
      <c r="G366" s="1"/>
      <c r="H366" s="1"/>
      <c r="I366" s="1"/>
      <c r="J366" s="1"/>
      <c r="K366" s="1"/>
      <c r="L366" s="1"/>
      <c r="M366" s="1"/>
    </row>
    <row r="367" ht="15.75" customHeight="1">
      <c r="A367" s="1"/>
      <c r="B367" s="1"/>
      <c r="C367" s="1"/>
      <c r="D367" s="1"/>
      <c r="E367" s="1"/>
      <c r="F367" s="1"/>
      <c r="G367" s="1"/>
      <c r="H367" s="1"/>
      <c r="I367" s="1"/>
      <c r="J367" s="1"/>
      <c r="K367" s="1"/>
      <c r="L367" s="1"/>
      <c r="M367" s="1"/>
    </row>
    <row r="368" ht="15.75" customHeight="1">
      <c r="A368" s="1"/>
      <c r="B368" s="1"/>
      <c r="C368" s="1"/>
      <c r="D368" s="1"/>
      <c r="E368" s="1"/>
      <c r="F368" s="1"/>
      <c r="G368" s="1"/>
      <c r="H368" s="1"/>
      <c r="I368" s="1"/>
      <c r="J368" s="1"/>
      <c r="K368" s="1"/>
      <c r="L368" s="1"/>
      <c r="M368" s="1"/>
    </row>
    <row r="369" ht="15.75" customHeight="1">
      <c r="A369" s="1"/>
      <c r="B369" s="1"/>
      <c r="C369" s="1"/>
      <c r="D369" s="1"/>
      <c r="E369" s="1"/>
      <c r="F369" s="1"/>
      <c r="G369" s="1"/>
      <c r="H369" s="1"/>
      <c r="I369" s="1"/>
      <c r="J369" s="1"/>
      <c r="K369" s="1"/>
      <c r="L369" s="1"/>
      <c r="M369" s="1"/>
    </row>
    <row r="370" ht="15.75" customHeight="1">
      <c r="A370" s="1"/>
      <c r="B370" s="1"/>
      <c r="C370" s="1"/>
      <c r="D370" s="1"/>
      <c r="E370" s="1"/>
      <c r="F370" s="1"/>
      <c r="G370" s="1"/>
      <c r="H370" s="1"/>
      <c r="I370" s="1"/>
      <c r="J370" s="1"/>
      <c r="K370" s="1"/>
      <c r="L370" s="1"/>
      <c r="M370" s="1"/>
    </row>
    <row r="371" ht="15.75" customHeight="1">
      <c r="A371" s="1"/>
      <c r="B371" s="1"/>
      <c r="C371" s="1"/>
      <c r="D371" s="1"/>
      <c r="E371" s="1"/>
      <c r="F371" s="1"/>
      <c r="G371" s="1"/>
      <c r="H371" s="1"/>
      <c r="I371" s="1"/>
      <c r="J371" s="1"/>
      <c r="K371" s="1"/>
      <c r="L371" s="1"/>
      <c r="M371" s="1"/>
    </row>
    <row r="372" ht="15.75" customHeight="1">
      <c r="A372" s="1"/>
      <c r="B372" s="1"/>
      <c r="C372" s="1"/>
      <c r="D372" s="1"/>
      <c r="E372" s="1"/>
      <c r="F372" s="1"/>
      <c r="G372" s="1"/>
      <c r="H372" s="1"/>
      <c r="I372" s="1"/>
      <c r="J372" s="1"/>
      <c r="K372" s="1"/>
      <c r="L372" s="1"/>
      <c r="M372" s="1"/>
    </row>
    <row r="373" ht="15.75" customHeight="1">
      <c r="A373" s="1"/>
      <c r="B373" s="1"/>
      <c r="C373" s="1"/>
      <c r="D373" s="1"/>
      <c r="E373" s="1"/>
      <c r="F373" s="1"/>
      <c r="G373" s="1"/>
      <c r="H373" s="1"/>
      <c r="I373" s="1"/>
      <c r="J373" s="1"/>
      <c r="K373" s="1"/>
      <c r="L373" s="1"/>
      <c r="M373" s="1"/>
    </row>
    <row r="374" ht="15.75" customHeight="1">
      <c r="A374" s="1"/>
      <c r="B374" s="1"/>
      <c r="C374" s="1"/>
      <c r="D374" s="1"/>
      <c r="E374" s="1"/>
      <c r="F374" s="1"/>
      <c r="G374" s="1"/>
      <c r="H374" s="1"/>
      <c r="I374" s="1"/>
      <c r="J374" s="1"/>
      <c r="K374" s="1"/>
      <c r="L374" s="1"/>
      <c r="M374" s="1"/>
    </row>
    <row r="375" ht="15.75" customHeight="1">
      <c r="A375" s="1"/>
      <c r="B375" s="1"/>
      <c r="C375" s="1"/>
      <c r="D375" s="1"/>
      <c r="E375" s="1"/>
      <c r="F375" s="1"/>
      <c r="G375" s="1"/>
      <c r="H375" s="1"/>
      <c r="I375" s="1"/>
      <c r="J375" s="1"/>
      <c r="K375" s="1"/>
      <c r="L375" s="1"/>
      <c r="M375" s="1"/>
    </row>
    <row r="376" ht="15.75" customHeight="1">
      <c r="A376" s="1"/>
      <c r="B376" s="1"/>
      <c r="C376" s="1"/>
      <c r="D376" s="1"/>
      <c r="E376" s="1"/>
      <c r="F376" s="1"/>
      <c r="G376" s="1"/>
      <c r="H376" s="1"/>
      <c r="I376" s="1"/>
      <c r="J376" s="1"/>
      <c r="K376" s="1"/>
      <c r="L376" s="1"/>
      <c r="M376" s="1"/>
    </row>
    <row r="377" ht="15.75" customHeight="1">
      <c r="A377" s="1"/>
      <c r="B377" s="1"/>
      <c r="C377" s="1"/>
      <c r="D377" s="1"/>
      <c r="E377" s="1"/>
      <c r="F377" s="1"/>
      <c r="G377" s="1"/>
      <c r="H377" s="1"/>
      <c r="I377" s="1"/>
      <c r="J377" s="1"/>
      <c r="K377" s="1"/>
      <c r="L377" s="1"/>
      <c r="M377" s="1"/>
    </row>
    <row r="378" ht="15.75" customHeight="1">
      <c r="A378" s="1"/>
      <c r="B378" s="1"/>
      <c r="C378" s="1"/>
      <c r="D378" s="1"/>
      <c r="E378" s="1"/>
      <c r="F378" s="1"/>
      <c r="G378" s="1"/>
      <c r="H378" s="1"/>
      <c r="I378" s="1"/>
      <c r="J378" s="1"/>
      <c r="K378" s="1"/>
      <c r="L378" s="1"/>
      <c r="M378" s="1"/>
    </row>
    <row r="379" ht="15.75" customHeight="1">
      <c r="A379" s="1"/>
      <c r="B379" s="1"/>
      <c r="C379" s="1"/>
      <c r="D379" s="1"/>
      <c r="E379" s="1"/>
      <c r="F379" s="1"/>
      <c r="G379" s="1"/>
      <c r="H379" s="1"/>
      <c r="I379" s="1"/>
      <c r="J379" s="1"/>
      <c r="K379" s="1"/>
      <c r="L379" s="1"/>
      <c r="M379" s="1"/>
    </row>
    <row r="380" ht="15.75" customHeight="1">
      <c r="A380" s="1"/>
      <c r="B380" s="1"/>
      <c r="C380" s="1"/>
      <c r="D380" s="1"/>
      <c r="E380" s="1"/>
      <c r="F380" s="1"/>
      <c r="G380" s="1"/>
      <c r="H380" s="1"/>
      <c r="I380" s="1"/>
      <c r="J380" s="1"/>
      <c r="K380" s="1"/>
      <c r="L380" s="1"/>
      <c r="M380" s="1"/>
    </row>
    <row r="381" ht="15.75" customHeight="1">
      <c r="A381" s="1"/>
      <c r="B381" s="1"/>
      <c r="C381" s="1"/>
      <c r="D381" s="1"/>
      <c r="E381" s="1"/>
      <c r="F381" s="1"/>
      <c r="G381" s="1"/>
      <c r="H381" s="1"/>
      <c r="I381" s="1"/>
      <c r="J381" s="1"/>
      <c r="K381" s="1"/>
      <c r="L381" s="1"/>
      <c r="M381" s="1"/>
    </row>
    <row r="382" ht="15.75" customHeight="1">
      <c r="A382" s="1"/>
      <c r="B382" s="1"/>
      <c r="C382" s="1"/>
      <c r="D382" s="1"/>
      <c r="E382" s="1"/>
      <c r="F382" s="1"/>
      <c r="G382" s="1"/>
      <c r="H382" s="1"/>
      <c r="I382" s="1"/>
      <c r="J382" s="1"/>
      <c r="K382" s="1"/>
      <c r="L382" s="1"/>
      <c r="M382" s="1"/>
    </row>
    <row r="383" ht="15.75" customHeight="1">
      <c r="A383" s="1"/>
      <c r="B383" s="1"/>
      <c r="C383" s="1"/>
      <c r="D383" s="1"/>
      <c r="E383" s="1"/>
      <c r="F383" s="1"/>
      <c r="G383" s="1"/>
      <c r="H383" s="1"/>
      <c r="I383" s="1"/>
      <c r="J383" s="1"/>
      <c r="K383" s="1"/>
      <c r="L383" s="1"/>
      <c r="M383" s="1"/>
    </row>
    <row r="384" ht="15.75" customHeight="1">
      <c r="A384" s="1"/>
      <c r="B384" s="1"/>
      <c r="C384" s="1"/>
      <c r="D384" s="1"/>
      <c r="E384" s="1"/>
      <c r="F384" s="1"/>
      <c r="G384" s="1"/>
      <c r="H384" s="1"/>
      <c r="I384" s="1"/>
      <c r="J384" s="1"/>
      <c r="K384" s="1"/>
      <c r="L384" s="1"/>
      <c r="M384" s="1"/>
    </row>
    <row r="385" ht="15.75" customHeight="1">
      <c r="A385" s="1"/>
      <c r="B385" s="1"/>
      <c r="C385" s="1"/>
      <c r="D385" s="1"/>
      <c r="E385" s="1"/>
      <c r="F385" s="1"/>
      <c r="G385" s="1"/>
      <c r="H385" s="1"/>
      <c r="I385" s="1"/>
      <c r="J385" s="1"/>
      <c r="K385" s="1"/>
      <c r="L385" s="1"/>
      <c r="M385" s="1"/>
    </row>
    <row r="386" ht="15.75" customHeight="1">
      <c r="A386" s="1"/>
      <c r="B386" s="1"/>
      <c r="C386" s="1"/>
      <c r="D386" s="1"/>
      <c r="E386" s="1"/>
      <c r="F386" s="1"/>
      <c r="G386" s="1"/>
      <c r="H386" s="1"/>
      <c r="I386" s="1"/>
      <c r="J386" s="1"/>
      <c r="K386" s="1"/>
      <c r="L386" s="1"/>
      <c r="M386" s="1"/>
    </row>
    <row r="387" ht="15.75" customHeight="1">
      <c r="A387" s="1"/>
      <c r="B387" s="1"/>
      <c r="C387" s="1"/>
      <c r="D387" s="1"/>
      <c r="E387" s="1"/>
      <c r="F387" s="1"/>
      <c r="G387" s="1"/>
      <c r="H387" s="1"/>
      <c r="I387" s="1"/>
      <c r="J387" s="1"/>
      <c r="K387" s="1"/>
      <c r="L387" s="1"/>
      <c r="M387" s="1"/>
    </row>
    <row r="388" ht="15.75" customHeight="1">
      <c r="A388" s="1"/>
      <c r="B388" s="1"/>
      <c r="C388" s="1"/>
      <c r="D388" s="1"/>
      <c r="E388" s="1"/>
      <c r="F388" s="1"/>
      <c r="G388" s="1"/>
      <c r="H388" s="1"/>
      <c r="I388" s="1"/>
      <c r="J388" s="1"/>
      <c r="K388" s="1"/>
      <c r="L388" s="1"/>
      <c r="M388" s="1"/>
    </row>
    <row r="389" ht="15.75" customHeight="1">
      <c r="A389" s="1"/>
      <c r="B389" s="1"/>
      <c r="C389" s="1"/>
      <c r="D389" s="1"/>
      <c r="E389" s="1"/>
      <c r="F389" s="1"/>
      <c r="G389" s="1"/>
      <c r="H389" s="1"/>
      <c r="I389" s="1"/>
      <c r="J389" s="1"/>
      <c r="K389" s="1"/>
      <c r="L389" s="1"/>
      <c r="M389" s="1"/>
    </row>
    <row r="390" ht="15.75" customHeight="1">
      <c r="A390" s="1"/>
      <c r="B390" s="1"/>
      <c r="C390" s="1"/>
      <c r="D390" s="1"/>
      <c r="E390" s="1"/>
      <c r="F390" s="1"/>
      <c r="G390" s="1"/>
      <c r="H390" s="1"/>
      <c r="I390" s="1"/>
      <c r="J390" s="1"/>
      <c r="K390" s="1"/>
      <c r="L390" s="1"/>
      <c r="M390" s="1"/>
    </row>
    <row r="391" ht="15.75" customHeight="1">
      <c r="A391" s="1"/>
      <c r="B391" s="1"/>
      <c r="C391" s="1"/>
      <c r="D391" s="1"/>
      <c r="E391" s="1"/>
      <c r="F391" s="1"/>
      <c r="G391" s="1"/>
      <c r="H391" s="1"/>
      <c r="I391" s="1"/>
      <c r="J391" s="1"/>
      <c r="K391" s="1"/>
      <c r="L391" s="1"/>
      <c r="M391" s="1"/>
    </row>
    <row r="392" ht="15.75" customHeight="1">
      <c r="A392" s="1"/>
      <c r="B392" s="1"/>
      <c r="C392" s="1"/>
      <c r="D392" s="1"/>
      <c r="E392" s="1"/>
      <c r="F392" s="1"/>
      <c r="G392" s="1"/>
      <c r="H392" s="1"/>
      <c r="I392" s="1"/>
      <c r="J392" s="1"/>
      <c r="K392" s="1"/>
      <c r="L392" s="1"/>
      <c r="M392" s="1"/>
    </row>
    <row r="393" ht="15.75" customHeight="1">
      <c r="A393" s="1"/>
      <c r="B393" s="1"/>
      <c r="C393" s="1"/>
      <c r="D393" s="1"/>
      <c r="E393" s="1"/>
      <c r="F393" s="1"/>
      <c r="G393" s="1"/>
      <c r="H393" s="1"/>
      <c r="I393" s="1"/>
      <c r="J393" s="1"/>
      <c r="K393" s="1"/>
      <c r="L393" s="1"/>
      <c r="M393" s="1"/>
    </row>
    <row r="394" ht="15.75" customHeight="1">
      <c r="A394" s="1"/>
      <c r="B394" s="1"/>
      <c r="C394" s="1"/>
      <c r="D394" s="1"/>
      <c r="E394" s="1"/>
      <c r="F394" s="1"/>
      <c r="G394" s="1"/>
      <c r="H394" s="1"/>
      <c r="I394" s="1"/>
      <c r="J394" s="1"/>
      <c r="K394" s="1"/>
      <c r="L394" s="1"/>
      <c r="M394" s="1"/>
    </row>
    <row r="395" ht="15.75" customHeight="1">
      <c r="A395" s="1"/>
      <c r="B395" s="1"/>
      <c r="C395" s="1"/>
      <c r="D395" s="1"/>
      <c r="E395" s="1"/>
      <c r="F395" s="1"/>
      <c r="G395" s="1"/>
      <c r="H395" s="1"/>
      <c r="I395" s="1"/>
      <c r="J395" s="1"/>
      <c r="K395" s="1"/>
      <c r="L395" s="1"/>
      <c r="M395" s="1"/>
    </row>
    <row r="396" ht="15.75" customHeight="1">
      <c r="A396" s="1"/>
      <c r="B396" s="1"/>
      <c r="C396" s="1"/>
      <c r="D396" s="1"/>
      <c r="E396" s="1"/>
      <c r="F396" s="1"/>
      <c r="G396" s="1"/>
      <c r="H396" s="1"/>
      <c r="I396" s="1"/>
      <c r="J396" s="1"/>
      <c r="K396" s="1"/>
      <c r="L396" s="1"/>
      <c r="M396" s="1"/>
    </row>
    <row r="397" ht="15.75" customHeight="1">
      <c r="A397" s="1"/>
      <c r="B397" s="1"/>
      <c r="C397" s="1"/>
      <c r="D397" s="1"/>
      <c r="E397" s="1"/>
      <c r="F397" s="1"/>
      <c r="G397" s="1"/>
      <c r="H397" s="1"/>
      <c r="I397" s="1"/>
      <c r="J397" s="1"/>
      <c r="K397" s="1"/>
      <c r="L397" s="1"/>
      <c r="M397" s="1"/>
    </row>
    <row r="398" ht="15.75" customHeight="1">
      <c r="A398" s="1"/>
      <c r="B398" s="1"/>
      <c r="C398" s="1"/>
      <c r="D398" s="1"/>
      <c r="E398" s="1"/>
      <c r="F398" s="1"/>
      <c r="G398" s="1"/>
      <c r="H398" s="1"/>
      <c r="I398" s="1"/>
      <c r="J398" s="1"/>
      <c r="K398" s="1"/>
      <c r="L398" s="1"/>
      <c r="M398" s="1"/>
    </row>
    <row r="399" ht="15.75" customHeight="1">
      <c r="A399" s="1"/>
      <c r="B399" s="1"/>
      <c r="C399" s="1"/>
      <c r="D399" s="1"/>
      <c r="E399" s="1"/>
      <c r="F399" s="1"/>
      <c r="G399" s="1"/>
      <c r="H399" s="1"/>
      <c r="I399" s="1"/>
      <c r="J399" s="1"/>
      <c r="K399" s="1"/>
      <c r="L399" s="1"/>
      <c r="M399" s="1"/>
    </row>
    <row r="400" ht="15.75" customHeight="1">
      <c r="A400" s="1"/>
      <c r="B400" s="1"/>
      <c r="C400" s="1"/>
      <c r="D400" s="1"/>
      <c r="E400" s="1"/>
      <c r="F400" s="1"/>
      <c r="G400" s="1"/>
      <c r="H400" s="1"/>
      <c r="I400" s="1"/>
      <c r="J400" s="1"/>
      <c r="K400" s="1"/>
      <c r="L400" s="1"/>
      <c r="M400" s="1"/>
    </row>
    <row r="401" ht="15.75" customHeight="1">
      <c r="A401" s="1"/>
      <c r="B401" s="1"/>
      <c r="C401" s="1"/>
      <c r="D401" s="1"/>
      <c r="E401" s="1"/>
      <c r="F401" s="1"/>
      <c r="G401" s="1"/>
      <c r="H401" s="1"/>
      <c r="I401" s="1"/>
      <c r="J401" s="1"/>
      <c r="K401" s="1"/>
      <c r="L401" s="1"/>
      <c r="M401" s="1"/>
    </row>
    <row r="402" ht="15.75" customHeight="1">
      <c r="A402" s="1"/>
      <c r="B402" s="1"/>
      <c r="C402" s="1"/>
      <c r="D402" s="1"/>
      <c r="E402" s="1"/>
      <c r="F402" s="1"/>
      <c r="G402" s="1"/>
      <c r="H402" s="1"/>
      <c r="I402" s="1"/>
      <c r="J402" s="1"/>
      <c r="K402" s="1"/>
      <c r="L402" s="1"/>
      <c r="M402" s="1"/>
    </row>
    <row r="403" ht="15.75" customHeight="1">
      <c r="A403" s="1"/>
      <c r="B403" s="1"/>
      <c r="C403" s="1"/>
      <c r="D403" s="1"/>
      <c r="E403" s="1"/>
      <c r="F403" s="1"/>
      <c r="G403" s="1"/>
      <c r="H403" s="1"/>
      <c r="I403" s="1"/>
      <c r="J403" s="1"/>
      <c r="K403" s="1"/>
      <c r="L403" s="1"/>
      <c r="M403" s="1"/>
    </row>
    <row r="404" ht="15.75" customHeight="1">
      <c r="A404" s="1"/>
      <c r="B404" s="1"/>
      <c r="C404" s="1"/>
      <c r="D404" s="1"/>
      <c r="E404" s="1"/>
      <c r="F404" s="1"/>
      <c r="G404" s="1"/>
      <c r="H404" s="1"/>
      <c r="I404" s="1"/>
      <c r="J404" s="1"/>
      <c r="K404" s="1"/>
      <c r="L404" s="1"/>
      <c r="M404" s="1"/>
    </row>
    <row r="405" ht="15.75" customHeight="1">
      <c r="A405" s="1"/>
      <c r="B405" s="1"/>
      <c r="C405" s="1"/>
      <c r="D405" s="1"/>
      <c r="E405" s="1"/>
      <c r="F405" s="1"/>
      <c r="G405" s="1"/>
      <c r="H405" s="1"/>
      <c r="I405" s="1"/>
      <c r="J405" s="1"/>
      <c r="K405" s="1"/>
      <c r="L405" s="1"/>
      <c r="M405" s="1"/>
    </row>
    <row r="406" ht="15.75" customHeight="1">
      <c r="A406" s="1"/>
      <c r="B406" s="1"/>
      <c r="C406" s="1"/>
      <c r="D406" s="1"/>
      <c r="E406" s="1"/>
      <c r="F406" s="1"/>
      <c r="G406" s="1"/>
      <c r="H406" s="1"/>
      <c r="I406" s="1"/>
      <c r="J406" s="1"/>
      <c r="K406" s="1"/>
      <c r="L406" s="1"/>
      <c r="M406" s="1"/>
    </row>
    <row r="407" ht="15.75" customHeight="1">
      <c r="A407" s="1"/>
      <c r="B407" s="1"/>
      <c r="C407" s="1"/>
      <c r="D407" s="1"/>
      <c r="E407" s="1"/>
      <c r="F407" s="1"/>
      <c r="G407" s="1"/>
      <c r="H407" s="1"/>
      <c r="I407" s="1"/>
      <c r="J407" s="1"/>
      <c r="K407" s="1"/>
      <c r="L407" s="1"/>
      <c r="M407" s="1"/>
    </row>
    <row r="408" ht="15.75" customHeight="1">
      <c r="A408" s="1"/>
      <c r="B408" s="1"/>
      <c r="C408" s="1"/>
      <c r="D408" s="1"/>
      <c r="E408" s="1"/>
      <c r="F408" s="1"/>
      <c r="G408" s="1"/>
      <c r="H408" s="1"/>
      <c r="I408" s="1"/>
      <c r="J408" s="1"/>
      <c r="K408" s="1"/>
      <c r="L408" s="1"/>
      <c r="M408" s="1"/>
    </row>
    <row r="409" ht="15.75" customHeight="1">
      <c r="A409" s="1"/>
      <c r="B409" s="1"/>
      <c r="C409" s="1"/>
      <c r="D409" s="1"/>
      <c r="E409" s="1"/>
      <c r="F409" s="1"/>
      <c r="G409" s="1"/>
      <c r="H409" s="1"/>
      <c r="I409" s="1"/>
      <c r="J409" s="1"/>
      <c r="K409" s="1"/>
      <c r="L409" s="1"/>
      <c r="M409" s="1"/>
    </row>
    <row r="410" ht="15.75" customHeight="1">
      <c r="A410" s="1"/>
      <c r="B410" s="1"/>
      <c r="C410" s="1"/>
      <c r="D410" s="1"/>
      <c r="E410" s="1"/>
      <c r="F410" s="1"/>
      <c r="G410" s="1"/>
      <c r="H410" s="1"/>
      <c r="I410" s="1"/>
      <c r="J410" s="1"/>
      <c r="K410" s="1"/>
      <c r="L410" s="1"/>
      <c r="M410" s="1"/>
    </row>
    <row r="411" ht="15.75" customHeight="1">
      <c r="A411" s="1"/>
      <c r="B411" s="1"/>
      <c r="C411" s="1"/>
      <c r="D411" s="1"/>
      <c r="E411" s="1"/>
      <c r="F411" s="1"/>
      <c r="G411" s="1"/>
      <c r="H411" s="1"/>
      <c r="I411" s="1"/>
      <c r="J411" s="1"/>
      <c r="K411" s="1"/>
      <c r="L411" s="1"/>
      <c r="M411" s="1"/>
    </row>
    <row r="412" ht="15.75" customHeight="1">
      <c r="A412" s="1"/>
      <c r="B412" s="1"/>
      <c r="C412" s="1"/>
      <c r="D412" s="1"/>
      <c r="E412" s="1"/>
      <c r="F412" s="1"/>
      <c r="G412" s="1"/>
      <c r="H412" s="1"/>
      <c r="I412" s="1"/>
      <c r="J412" s="1"/>
      <c r="K412" s="1"/>
      <c r="L412" s="1"/>
      <c r="M412" s="1"/>
    </row>
    <row r="413" ht="15.75" customHeight="1">
      <c r="A413" s="1"/>
      <c r="B413" s="1"/>
      <c r="C413" s="1"/>
      <c r="D413" s="1"/>
      <c r="E413" s="1"/>
      <c r="F413" s="1"/>
      <c r="G413" s="1"/>
      <c r="H413" s="1"/>
      <c r="I413" s="1"/>
      <c r="J413" s="1"/>
      <c r="K413" s="1"/>
      <c r="L413" s="1"/>
      <c r="M413" s="1"/>
    </row>
    <row r="414" ht="15.75" customHeight="1">
      <c r="A414" s="1"/>
      <c r="B414" s="1"/>
      <c r="C414" s="1"/>
      <c r="D414" s="1"/>
      <c r="E414" s="1"/>
      <c r="F414" s="1"/>
      <c r="G414" s="1"/>
      <c r="H414" s="1"/>
      <c r="I414" s="1"/>
      <c r="J414" s="1"/>
      <c r="K414" s="1"/>
      <c r="L414" s="1"/>
      <c r="M414" s="1"/>
    </row>
    <row r="415" ht="15.75" customHeight="1">
      <c r="A415" s="1"/>
      <c r="B415" s="1"/>
      <c r="C415" s="1"/>
      <c r="D415" s="1"/>
      <c r="E415" s="1"/>
      <c r="F415" s="1"/>
      <c r="G415" s="1"/>
      <c r="H415" s="1"/>
      <c r="I415" s="1"/>
      <c r="J415" s="1"/>
      <c r="K415" s="1"/>
      <c r="L415" s="1"/>
      <c r="M415" s="1"/>
    </row>
    <row r="416" ht="15.75" customHeight="1">
      <c r="A416" s="1"/>
      <c r="B416" s="1"/>
      <c r="C416" s="1"/>
      <c r="D416" s="1"/>
      <c r="E416" s="1"/>
      <c r="F416" s="1"/>
      <c r="G416" s="1"/>
      <c r="H416" s="1"/>
      <c r="I416" s="1"/>
      <c r="J416" s="1"/>
      <c r="K416" s="1"/>
      <c r="L416" s="1"/>
      <c r="M416" s="1"/>
    </row>
    <row r="417" ht="15.75" customHeight="1">
      <c r="A417" s="1"/>
      <c r="B417" s="1"/>
      <c r="C417" s="1"/>
      <c r="D417" s="1"/>
      <c r="E417" s="1"/>
      <c r="F417" s="1"/>
      <c r="G417" s="1"/>
      <c r="H417" s="1"/>
      <c r="I417" s="1"/>
      <c r="J417" s="1"/>
      <c r="K417" s="1"/>
      <c r="L417" s="1"/>
      <c r="M417" s="1"/>
    </row>
    <row r="418" ht="15.75" customHeight="1">
      <c r="A418" s="1"/>
      <c r="B418" s="1"/>
      <c r="C418" s="1"/>
      <c r="D418" s="1"/>
      <c r="E418" s="1"/>
      <c r="F418" s="1"/>
      <c r="G418" s="1"/>
      <c r="H418" s="1"/>
      <c r="I418" s="1"/>
      <c r="J418" s="1"/>
      <c r="K418" s="1"/>
      <c r="L418" s="1"/>
      <c r="M418" s="1"/>
    </row>
    <row r="419" ht="15.75" customHeight="1">
      <c r="A419" s="1"/>
      <c r="B419" s="1"/>
      <c r="C419" s="1"/>
      <c r="D419" s="1"/>
      <c r="E419" s="1"/>
      <c r="F419" s="1"/>
      <c r="G419" s="1"/>
      <c r="H419" s="1"/>
      <c r="I419" s="1"/>
      <c r="J419" s="1"/>
      <c r="K419" s="1"/>
      <c r="L419" s="1"/>
      <c r="M419" s="1"/>
    </row>
    <row r="420" ht="15.75" customHeight="1">
      <c r="A420" s="1"/>
      <c r="B420" s="1"/>
      <c r="C420" s="1"/>
      <c r="D420" s="1"/>
      <c r="E420" s="1"/>
      <c r="F420" s="1"/>
      <c r="G420" s="1"/>
      <c r="H420" s="1"/>
      <c r="I420" s="1"/>
      <c r="J420" s="1"/>
      <c r="K420" s="1"/>
      <c r="L420" s="1"/>
      <c r="M420" s="1"/>
    </row>
    <row r="421" ht="15.75" customHeight="1">
      <c r="A421" s="1"/>
      <c r="B421" s="1"/>
      <c r="C421" s="1"/>
      <c r="D421" s="1"/>
      <c r="E421" s="1"/>
      <c r="F421" s="1"/>
      <c r="G421" s="1"/>
      <c r="H421" s="1"/>
      <c r="I421" s="1"/>
      <c r="J421" s="1"/>
      <c r="K421" s="1"/>
      <c r="L421" s="1"/>
      <c r="M421" s="1"/>
    </row>
    <row r="422" ht="15.75" customHeight="1">
      <c r="A422" s="1"/>
      <c r="B422" s="1"/>
      <c r="C422" s="1"/>
      <c r="D422" s="1"/>
      <c r="E422" s="1"/>
      <c r="F422" s="1"/>
      <c r="G422" s="1"/>
      <c r="H422" s="1"/>
      <c r="I422" s="1"/>
      <c r="J422" s="1"/>
      <c r="K422" s="1"/>
      <c r="L422" s="1"/>
      <c r="M422" s="1"/>
    </row>
    <row r="423" ht="15.75" customHeight="1">
      <c r="A423" s="1"/>
      <c r="B423" s="1"/>
      <c r="C423" s="1"/>
      <c r="D423" s="1"/>
      <c r="E423" s="1"/>
      <c r="F423" s="1"/>
      <c r="G423" s="1"/>
      <c r="H423" s="1"/>
      <c r="I423" s="1"/>
      <c r="J423" s="1"/>
      <c r="K423" s="1"/>
      <c r="L423" s="1"/>
      <c r="M423" s="1"/>
    </row>
    <row r="424" ht="15.75" customHeight="1">
      <c r="A424" s="1"/>
      <c r="B424" s="1"/>
      <c r="C424" s="1"/>
      <c r="D424" s="1"/>
      <c r="E424" s="1"/>
      <c r="F424" s="1"/>
      <c r="G424" s="1"/>
      <c r="H424" s="1"/>
      <c r="I424" s="1"/>
      <c r="J424" s="1"/>
      <c r="K424" s="1"/>
      <c r="L424" s="1"/>
      <c r="M424" s="1"/>
    </row>
    <row r="425" ht="15.75" customHeight="1">
      <c r="A425" s="1"/>
      <c r="B425" s="1"/>
      <c r="C425" s="1"/>
      <c r="D425" s="1"/>
      <c r="E425" s="1"/>
      <c r="F425" s="1"/>
      <c r="G425" s="1"/>
      <c r="H425" s="1"/>
      <c r="I425" s="1"/>
      <c r="J425" s="1"/>
      <c r="K425" s="1"/>
      <c r="L425" s="1"/>
      <c r="M425" s="1"/>
    </row>
    <row r="426" ht="15.75" customHeight="1">
      <c r="A426" s="1"/>
      <c r="B426" s="1"/>
      <c r="C426" s="1"/>
      <c r="D426" s="1"/>
      <c r="E426" s="1"/>
      <c r="F426" s="1"/>
      <c r="G426" s="1"/>
      <c r="H426" s="1"/>
      <c r="I426" s="1"/>
      <c r="J426" s="1"/>
      <c r="K426" s="1"/>
      <c r="L426" s="1"/>
      <c r="M426" s="1"/>
    </row>
    <row r="427" ht="15.75" customHeight="1">
      <c r="A427" s="1"/>
      <c r="B427" s="1"/>
      <c r="C427" s="1"/>
      <c r="D427" s="1"/>
      <c r="E427" s="1"/>
      <c r="F427" s="1"/>
      <c r="G427" s="1"/>
      <c r="H427" s="1"/>
      <c r="I427" s="1"/>
      <c r="J427" s="1"/>
      <c r="K427" s="1"/>
      <c r="L427" s="1"/>
      <c r="M427" s="1"/>
    </row>
    <row r="428" ht="15.75" customHeight="1">
      <c r="A428" s="1"/>
      <c r="B428" s="1"/>
      <c r="C428" s="1"/>
      <c r="D428" s="1"/>
      <c r="E428" s="1"/>
      <c r="F428" s="1"/>
      <c r="G428" s="1"/>
      <c r="H428" s="1"/>
      <c r="I428" s="1"/>
      <c r="J428" s="1"/>
      <c r="K428" s="1"/>
      <c r="L428" s="1"/>
      <c r="M428" s="1"/>
    </row>
    <row r="429" ht="15.75" customHeight="1">
      <c r="A429" s="1"/>
      <c r="B429" s="1"/>
      <c r="C429" s="1"/>
      <c r="D429" s="1"/>
      <c r="E429" s="1"/>
      <c r="F429" s="1"/>
      <c r="G429" s="1"/>
      <c r="H429" s="1"/>
      <c r="I429" s="1"/>
      <c r="J429" s="1"/>
      <c r="K429" s="1"/>
      <c r="L429" s="1"/>
      <c r="M429" s="1"/>
    </row>
    <row r="430" ht="15.75" customHeight="1">
      <c r="A430" s="1"/>
      <c r="B430" s="1"/>
      <c r="C430" s="1"/>
      <c r="D430" s="1"/>
      <c r="E430" s="1"/>
      <c r="F430" s="1"/>
      <c r="G430" s="1"/>
      <c r="H430" s="1"/>
      <c r="I430" s="1"/>
      <c r="J430" s="1"/>
      <c r="K430" s="1"/>
      <c r="L430" s="1"/>
      <c r="M430" s="1"/>
    </row>
    <row r="431" ht="15.75" customHeight="1">
      <c r="A431" s="1"/>
      <c r="B431" s="1"/>
      <c r="C431" s="1"/>
      <c r="D431" s="1"/>
      <c r="E431" s="1"/>
      <c r="F431" s="1"/>
      <c r="G431" s="1"/>
      <c r="H431" s="1"/>
      <c r="I431" s="1"/>
      <c r="J431" s="1"/>
      <c r="K431" s="1"/>
      <c r="L431" s="1"/>
      <c r="M431" s="1"/>
    </row>
    <row r="432" ht="15.75" customHeight="1">
      <c r="A432" s="1"/>
      <c r="B432" s="1"/>
      <c r="C432" s="1"/>
      <c r="D432" s="1"/>
      <c r="E432" s="1"/>
      <c r="F432" s="1"/>
      <c r="G432" s="1"/>
      <c r="H432" s="1"/>
      <c r="I432" s="1"/>
      <c r="J432" s="1"/>
      <c r="K432" s="1"/>
      <c r="L432" s="1"/>
      <c r="M432" s="1"/>
    </row>
    <row r="433" ht="15.75" customHeight="1">
      <c r="A433" s="1"/>
      <c r="B433" s="1"/>
      <c r="C433" s="1"/>
      <c r="D433" s="1"/>
      <c r="E433" s="1"/>
      <c r="F433" s="1"/>
      <c r="G433" s="1"/>
      <c r="H433" s="1"/>
      <c r="I433" s="1"/>
      <c r="J433" s="1"/>
      <c r="K433" s="1"/>
      <c r="L433" s="1"/>
      <c r="M433" s="1"/>
    </row>
    <row r="434" ht="15.75" customHeight="1">
      <c r="A434" s="1"/>
      <c r="B434" s="1"/>
      <c r="C434" s="1"/>
      <c r="D434" s="1"/>
      <c r="E434" s="1"/>
      <c r="F434" s="1"/>
      <c r="G434" s="1"/>
      <c r="H434" s="1"/>
      <c r="I434" s="1"/>
      <c r="J434" s="1"/>
      <c r="K434" s="1"/>
      <c r="L434" s="1"/>
      <c r="M434" s="1"/>
    </row>
    <row r="435" ht="15.75" customHeight="1">
      <c r="A435" s="1"/>
      <c r="B435" s="1"/>
      <c r="C435" s="1"/>
      <c r="D435" s="1"/>
      <c r="E435" s="1"/>
      <c r="F435" s="1"/>
      <c r="G435" s="1"/>
      <c r="H435" s="1"/>
      <c r="I435" s="1"/>
      <c r="J435" s="1"/>
      <c r="K435" s="1"/>
      <c r="L435" s="1"/>
      <c r="M435" s="1"/>
    </row>
    <row r="436" ht="15.75" customHeight="1">
      <c r="A436" s="1"/>
      <c r="B436" s="1"/>
      <c r="C436" s="1"/>
      <c r="D436" s="1"/>
      <c r="E436" s="1"/>
      <c r="F436" s="1"/>
      <c r="G436" s="1"/>
      <c r="H436" s="1"/>
      <c r="I436" s="1"/>
      <c r="J436" s="1"/>
      <c r="K436" s="1"/>
      <c r="L436" s="1"/>
      <c r="M436" s="1"/>
    </row>
    <row r="437" ht="15.75" customHeight="1">
      <c r="A437" s="1"/>
      <c r="B437" s="1"/>
      <c r="C437" s="1"/>
      <c r="D437" s="1"/>
      <c r="E437" s="1"/>
      <c r="F437" s="1"/>
      <c r="G437" s="1"/>
      <c r="H437" s="1"/>
      <c r="I437" s="1"/>
      <c r="J437" s="1"/>
      <c r="K437" s="1"/>
      <c r="L437" s="1"/>
      <c r="M437" s="1"/>
    </row>
    <row r="438" ht="15.75" customHeight="1">
      <c r="A438" s="1"/>
      <c r="B438" s="1"/>
      <c r="C438" s="1"/>
      <c r="D438" s="1"/>
      <c r="E438" s="1"/>
      <c r="F438" s="1"/>
      <c r="G438" s="1"/>
      <c r="H438" s="1"/>
      <c r="I438" s="1"/>
      <c r="J438" s="1"/>
      <c r="K438" s="1"/>
      <c r="L438" s="1"/>
      <c r="M438" s="1"/>
    </row>
    <row r="439" ht="15.75" customHeight="1">
      <c r="A439" s="1"/>
      <c r="B439" s="1"/>
      <c r="C439" s="1"/>
      <c r="D439" s="1"/>
      <c r="E439" s="1"/>
      <c r="F439" s="1"/>
      <c r="G439" s="1"/>
      <c r="H439" s="1"/>
      <c r="I439" s="1"/>
      <c r="J439" s="1"/>
      <c r="K439" s="1"/>
      <c r="L439" s="1"/>
      <c r="M439" s="1"/>
    </row>
    <row r="440" ht="15.75" customHeight="1">
      <c r="A440" s="1"/>
      <c r="B440" s="1"/>
      <c r="C440" s="1"/>
      <c r="D440" s="1"/>
      <c r="E440" s="1"/>
      <c r="F440" s="1"/>
      <c r="G440" s="1"/>
      <c r="H440" s="1"/>
      <c r="I440" s="1"/>
      <c r="J440" s="1"/>
      <c r="K440" s="1"/>
      <c r="L440" s="1"/>
      <c r="M440" s="1"/>
    </row>
    <row r="441" ht="15.75" customHeight="1">
      <c r="A441" s="1"/>
      <c r="B441" s="1"/>
      <c r="C441" s="1"/>
      <c r="D441" s="1"/>
      <c r="E441" s="1"/>
      <c r="F441" s="1"/>
      <c r="G441" s="1"/>
      <c r="H441" s="1"/>
      <c r="I441" s="1"/>
      <c r="J441" s="1"/>
      <c r="K441" s="1"/>
      <c r="L441" s="1"/>
      <c r="M441" s="1"/>
    </row>
    <row r="442" ht="15.75" customHeight="1">
      <c r="A442" s="1"/>
      <c r="B442" s="1"/>
      <c r="C442" s="1"/>
      <c r="D442" s="1"/>
      <c r="E442" s="1"/>
      <c r="F442" s="1"/>
      <c r="G442" s="1"/>
      <c r="H442" s="1"/>
      <c r="I442" s="1"/>
      <c r="J442" s="1"/>
      <c r="K442" s="1"/>
      <c r="L442" s="1"/>
      <c r="M442" s="1"/>
    </row>
    <row r="443" ht="15.75" customHeight="1">
      <c r="A443" s="1"/>
      <c r="B443" s="1"/>
      <c r="C443" s="1"/>
      <c r="D443" s="1"/>
      <c r="E443" s="1"/>
      <c r="F443" s="1"/>
      <c r="G443" s="1"/>
      <c r="H443" s="1"/>
      <c r="I443" s="1"/>
      <c r="J443" s="1"/>
      <c r="K443" s="1"/>
      <c r="L443" s="1"/>
      <c r="M443" s="1"/>
    </row>
    <row r="444" ht="15.75" customHeight="1">
      <c r="A444" s="1"/>
      <c r="B444" s="1"/>
      <c r="C444" s="1"/>
      <c r="D444" s="1"/>
      <c r="E444" s="1"/>
      <c r="F444" s="1"/>
      <c r="G444" s="1"/>
      <c r="H444" s="1"/>
      <c r="I444" s="1"/>
      <c r="J444" s="1"/>
      <c r="K444" s="1"/>
      <c r="L444" s="1"/>
      <c r="M444" s="1"/>
    </row>
    <row r="445" ht="15.75" customHeight="1">
      <c r="A445" s="1"/>
      <c r="B445" s="1"/>
      <c r="C445" s="1"/>
      <c r="D445" s="1"/>
      <c r="E445" s="1"/>
      <c r="F445" s="1"/>
      <c r="G445" s="1"/>
      <c r="H445" s="1"/>
      <c r="I445" s="1"/>
      <c r="J445" s="1"/>
      <c r="K445" s="1"/>
      <c r="L445" s="1"/>
      <c r="M445" s="1"/>
    </row>
    <row r="446" ht="15.75" customHeight="1">
      <c r="A446" s="1"/>
      <c r="B446" s="1"/>
      <c r="C446" s="1"/>
      <c r="D446" s="1"/>
      <c r="E446" s="1"/>
      <c r="F446" s="1"/>
      <c r="G446" s="1"/>
      <c r="H446" s="1"/>
      <c r="I446" s="1"/>
      <c r="J446" s="1"/>
      <c r="K446" s="1"/>
      <c r="L446" s="1"/>
      <c r="M446" s="1"/>
    </row>
    <row r="447" ht="15.75" customHeight="1">
      <c r="A447" s="1"/>
      <c r="B447" s="1"/>
      <c r="C447" s="1"/>
      <c r="D447" s="1"/>
      <c r="E447" s="1"/>
      <c r="F447" s="1"/>
      <c r="G447" s="1"/>
      <c r="H447" s="1"/>
      <c r="I447" s="1"/>
      <c r="J447" s="1"/>
      <c r="K447" s="1"/>
      <c r="L447" s="1"/>
      <c r="M447" s="1"/>
    </row>
    <row r="448" ht="15.75" customHeight="1">
      <c r="A448" s="1"/>
      <c r="B448" s="1"/>
      <c r="C448" s="1"/>
      <c r="D448" s="1"/>
      <c r="E448" s="1"/>
      <c r="F448" s="1"/>
      <c r="G448" s="1"/>
      <c r="H448" s="1"/>
      <c r="I448" s="1"/>
      <c r="J448" s="1"/>
      <c r="K448" s="1"/>
      <c r="L448" s="1"/>
      <c r="M448" s="1"/>
    </row>
    <row r="449" ht="15.75" customHeight="1">
      <c r="A449" s="1"/>
      <c r="B449" s="1"/>
      <c r="C449" s="1"/>
      <c r="D449" s="1"/>
      <c r="E449" s="1"/>
      <c r="F449" s="1"/>
      <c r="G449" s="1"/>
      <c r="H449" s="1"/>
      <c r="I449" s="1"/>
      <c r="J449" s="1"/>
      <c r="K449" s="1"/>
      <c r="L449" s="1"/>
      <c r="M449" s="1"/>
    </row>
    <row r="450" ht="15.75" customHeight="1">
      <c r="A450" s="1"/>
      <c r="B450" s="1"/>
      <c r="C450" s="1"/>
      <c r="D450" s="1"/>
      <c r="E450" s="1"/>
      <c r="F450" s="1"/>
      <c r="G450" s="1"/>
      <c r="H450" s="1"/>
      <c r="I450" s="1"/>
      <c r="J450" s="1"/>
      <c r="K450" s="1"/>
      <c r="L450" s="1"/>
      <c r="M450" s="1"/>
    </row>
    <row r="451" ht="15.75" customHeight="1">
      <c r="A451" s="1"/>
      <c r="B451" s="1"/>
      <c r="C451" s="1"/>
      <c r="D451" s="1"/>
      <c r="E451" s="1"/>
      <c r="F451" s="1"/>
      <c r="G451" s="1"/>
      <c r="H451" s="1"/>
      <c r="I451" s="1"/>
      <c r="J451" s="1"/>
      <c r="K451" s="1"/>
      <c r="L451" s="1"/>
      <c r="M451" s="1"/>
    </row>
    <row r="452" ht="15.75" customHeight="1">
      <c r="A452" s="1"/>
      <c r="B452" s="1"/>
      <c r="C452" s="1"/>
      <c r="D452" s="1"/>
      <c r="E452" s="1"/>
      <c r="F452" s="1"/>
      <c r="G452" s="1"/>
      <c r="H452" s="1"/>
      <c r="I452" s="1"/>
      <c r="J452" s="1"/>
      <c r="K452" s="1"/>
      <c r="L452" s="1"/>
      <c r="M452" s="1"/>
    </row>
    <row r="453" ht="15.75" customHeight="1">
      <c r="A453" s="1"/>
      <c r="B453" s="1"/>
      <c r="C453" s="1"/>
      <c r="D453" s="1"/>
      <c r="E453" s="1"/>
      <c r="F453" s="1"/>
      <c r="G453" s="1"/>
      <c r="H453" s="1"/>
      <c r="I453" s="1"/>
      <c r="J453" s="1"/>
      <c r="K453" s="1"/>
      <c r="L453" s="1"/>
      <c r="M453" s="1"/>
    </row>
    <row r="454" ht="15.75" customHeight="1">
      <c r="A454" s="1"/>
      <c r="B454" s="1"/>
      <c r="C454" s="1"/>
      <c r="D454" s="1"/>
      <c r="E454" s="1"/>
      <c r="F454" s="1"/>
      <c r="G454" s="1"/>
      <c r="H454" s="1"/>
      <c r="I454" s="1"/>
      <c r="J454" s="1"/>
      <c r="K454" s="1"/>
      <c r="L454" s="1"/>
      <c r="M454" s="1"/>
    </row>
    <row r="455" ht="15.75" customHeight="1">
      <c r="A455" s="1"/>
      <c r="B455" s="1"/>
      <c r="C455" s="1"/>
      <c r="D455" s="1"/>
      <c r="E455" s="1"/>
      <c r="F455" s="1"/>
      <c r="G455" s="1"/>
      <c r="H455" s="1"/>
      <c r="I455" s="1"/>
      <c r="J455" s="1"/>
      <c r="K455" s="1"/>
      <c r="L455" s="1"/>
      <c r="M455" s="1"/>
    </row>
    <row r="456" ht="15.75" customHeight="1">
      <c r="A456" s="1"/>
      <c r="B456" s="1"/>
      <c r="C456" s="1"/>
      <c r="D456" s="1"/>
      <c r="E456" s="1"/>
      <c r="F456" s="1"/>
      <c r="G456" s="1"/>
      <c r="H456" s="1"/>
      <c r="I456" s="1"/>
      <c r="J456" s="1"/>
      <c r="K456" s="1"/>
      <c r="L456" s="1"/>
      <c r="M456" s="1"/>
    </row>
    <row r="457" ht="15.75" customHeight="1">
      <c r="A457" s="1"/>
      <c r="B457" s="1"/>
      <c r="C457" s="1"/>
      <c r="D457" s="1"/>
      <c r="E457" s="1"/>
      <c r="F457" s="1"/>
      <c r="G457" s="1"/>
      <c r="H457" s="1"/>
      <c r="I457" s="1"/>
      <c r="J457" s="1"/>
      <c r="K457" s="1"/>
      <c r="L457" s="1"/>
      <c r="M457" s="1"/>
    </row>
    <row r="458" ht="15.75" customHeight="1">
      <c r="A458" s="1"/>
      <c r="B458" s="1"/>
      <c r="C458" s="1"/>
      <c r="D458" s="1"/>
      <c r="E458" s="1"/>
      <c r="F458" s="1"/>
      <c r="G458" s="1"/>
      <c r="H458" s="1"/>
      <c r="I458" s="1"/>
      <c r="J458" s="1"/>
      <c r="K458" s="1"/>
      <c r="L458" s="1"/>
      <c r="M458" s="1"/>
    </row>
    <row r="459" ht="15.75" customHeight="1">
      <c r="A459" s="1"/>
      <c r="B459" s="1"/>
      <c r="C459" s="1"/>
      <c r="D459" s="1"/>
      <c r="E459" s="1"/>
      <c r="F459" s="1"/>
      <c r="G459" s="1"/>
      <c r="H459" s="1"/>
      <c r="I459" s="1"/>
      <c r="J459" s="1"/>
      <c r="K459" s="1"/>
      <c r="L459" s="1"/>
      <c r="M459" s="1"/>
    </row>
    <row r="460" ht="15.75" customHeight="1">
      <c r="A460" s="1"/>
      <c r="B460" s="1"/>
      <c r="C460" s="1"/>
      <c r="D460" s="1"/>
      <c r="E460" s="1"/>
      <c r="F460" s="1"/>
      <c r="G460" s="1"/>
      <c r="H460" s="1"/>
      <c r="I460" s="1"/>
      <c r="J460" s="1"/>
      <c r="K460" s="1"/>
      <c r="L460" s="1"/>
      <c r="M460" s="1"/>
    </row>
    <row r="461" ht="15.75" customHeight="1">
      <c r="A461" s="1"/>
      <c r="B461" s="1"/>
      <c r="C461" s="1"/>
      <c r="D461" s="1"/>
      <c r="E461" s="1"/>
      <c r="F461" s="1"/>
      <c r="G461" s="1"/>
      <c r="H461" s="1"/>
      <c r="I461" s="1"/>
      <c r="J461" s="1"/>
      <c r="K461" s="1"/>
      <c r="L461" s="1"/>
      <c r="M461" s="1"/>
    </row>
    <row r="462" ht="15.75" customHeight="1">
      <c r="A462" s="1"/>
      <c r="B462" s="1"/>
      <c r="C462" s="1"/>
      <c r="D462" s="1"/>
      <c r="E462" s="1"/>
      <c r="F462" s="1"/>
      <c r="G462" s="1"/>
      <c r="H462" s="1"/>
      <c r="I462" s="1"/>
      <c r="J462" s="1"/>
      <c r="K462" s="1"/>
      <c r="L462" s="1"/>
      <c r="M462" s="1"/>
    </row>
    <row r="463" ht="15.75" customHeight="1">
      <c r="A463" s="1"/>
      <c r="B463" s="1"/>
      <c r="C463" s="1"/>
      <c r="D463" s="1"/>
      <c r="E463" s="1"/>
      <c r="F463" s="1"/>
      <c r="G463" s="1"/>
      <c r="H463" s="1"/>
      <c r="I463" s="1"/>
      <c r="J463" s="1"/>
      <c r="K463" s="1"/>
      <c r="L463" s="1"/>
      <c r="M463" s="1"/>
    </row>
    <row r="464" ht="15.75" customHeight="1">
      <c r="A464" s="1"/>
      <c r="B464" s="1"/>
      <c r="C464" s="1"/>
      <c r="D464" s="1"/>
      <c r="E464" s="1"/>
      <c r="F464" s="1"/>
      <c r="G464" s="1"/>
      <c r="H464" s="1"/>
      <c r="I464" s="1"/>
      <c r="J464" s="1"/>
      <c r="K464" s="1"/>
      <c r="L464" s="1"/>
      <c r="M464" s="1"/>
    </row>
    <row r="465" ht="15.75" customHeight="1">
      <c r="A465" s="1"/>
      <c r="B465" s="1"/>
      <c r="C465" s="1"/>
      <c r="D465" s="1"/>
      <c r="E465" s="1"/>
      <c r="F465" s="1"/>
      <c r="G465" s="1"/>
      <c r="H465" s="1"/>
      <c r="I465" s="1"/>
      <c r="J465" s="1"/>
      <c r="K465" s="1"/>
      <c r="L465" s="1"/>
      <c r="M465" s="1"/>
    </row>
    <row r="466" ht="15.75" customHeight="1">
      <c r="A466" s="1"/>
      <c r="B466" s="1"/>
      <c r="C466" s="1"/>
      <c r="D466" s="1"/>
      <c r="E466" s="1"/>
      <c r="F466" s="1"/>
      <c r="G466" s="1"/>
      <c r="H466" s="1"/>
      <c r="I466" s="1"/>
      <c r="J466" s="1"/>
      <c r="K466" s="1"/>
      <c r="L466" s="1"/>
      <c r="M466" s="1"/>
    </row>
    <row r="467" ht="15.75" customHeight="1">
      <c r="A467" s="1"/>
      <c r="B467" s="1"/>
      <c r="C467" s="1"/>
      <c r="D467" s="1"/>
      <c r="E467" s="1"/>
      <c r="F467" s="1"/>
      <c r="G467" s="1"/>
      <c r="H467" s="1"/>
      <c r="I467" s="1"/>
      <c r="J467" s="1"/>
      <c r="K467" s="1"/>
      <c r="L467" s="1"/>
      <c r="M467" s="1"/>
    </row>
    <row r="468" ht="15.75" customHeight="1">
      <c r="A468" s="1"/>
      <c r="B468" s="1"/>
      <c r="C468" s="1"/>
      <c r="D468" s="1"/>
      <c r="E468" s="1"/>
      <c r="F468" s="1"/>
      <c r="G468" s="1"/>
      <c r="H468" s="1"/>
      <c r="I468" s="1"/>
      <c r="J468" s="1"/>
      <c r="K468" s="1"/>
      <c r="L468" s="1"/>
      <c r="M468" s="1"/>
    </row>
    <row r="469" ht="15.75" customHeight="1">
      <c r="A469" s="1"/>
      <c r="B469" s="1"/>
      <c r="C469" s="1"/>
      <c r="D469" s="1"/>
      <c r="E469" s="1"/>
      <c r="F469" s="1"/>
      <c r="G469" s="1"/>
      <c r="H469" s="1"/>
      <c r="I469" s="1"/>
      <c r="J469" s="1"/>
      <c r="K469" s="1"/>
      <c r="L469" s="1"/>
      <c r="M469" s="1"/>
    </row>
    <row r="470" ht="15.75" customHeight="1">
      <c r="A470" s="1"/>
      <c r="B470" s="1"/>
      <c r="C470" s="1"/>
      <c r="D470" s="1"/>
      <c r="E470" s="1"/>
      <c r="F470" s="1"/>
      <c r="G470" s="1"/>
      <c r="H470" s="1"/>
      <c r="I470" s="1"/>
      <c r="J470" s="1"/>
      <c r="K470" s="1"/>
      <c r="L470" s="1"/>
      <c r="M470" s="1"/>
    </row>
    <row r="471" ht="15.75" customHeight="1">
      <c r="A471" s="1"/>
      <c r="B471" s="1"/>
      <c r="C471" s="1"/>
      <c r="D471" s="1"/>
      <c r="E471" s="1"/>
      <c r="F471" s="1"/>
      <c r="G471" s="1"/>
      <c r="H471" s="1"/>
      <c r="I471" s="1"/>
      <c r="J471" s="1"/>
      <c r="K471" s="1"/>
      <c r="L471" s="1"/>
      <c r="M471" s="1"/>
    </row>
    <row r="472" ht="15.75" customHeight="1">
      <c r="A472" s="1"/>
      <c r="B472" s="1"/>
      <c r="C472" s="1"/>
      <c r="D472" s="1"/>
      <c r="E472" s="1"/>
      <c r="F472" s="1"/>
      <c r="G472" s="1"/>
      <c r="H472" s="1"/>
      <c r="I472" s="1"/>
      <c r="J472" s="1"/>
      <c r="K472" s="1"/>
      <c r="L472" s="1"/>
      <c r="M472" s="1"/>
    </row>
    <row r="473" ht="15.75" customHeight="1">
      <c r="A473" s="1"/>
      <c r="B473" s="1"/>
      <c r="C473" s="1"/>
      <c r="D473" s="1"/>
      <c r="E473" s="1"/>
      <c r="F473" s="1"/>
      <c r="G473" s="1"/>
      <c r="H473" s="1"/>
      <c r="I473" s="1"/>
      <c r="J473" s="1"/>
      <c r="K473" s="1"/>
      <c r="L473" s="1"/>
      <c r="M473" s="1"/>
    </row>
    <row r="474" ht="15.75" customHeight="1">
      <c r="A474" s="1"/>
      <c r="B474" s="1"/>
      <c r="C474" s="1"/>
      <c r="D474" s="1"/>
      <c r="E474" s="1"/>
      <c r="F474" s="1"/>
      <c r="G474" s="1"/>
      <c r="H474" s="1"/>
      <c r="I474" s="1"/>
      <c r="J474" s="1"/>
      <c r="K474" s="1"/>
      <c r="L474" s="1"/>
      <c r="M474" s="1"/>
    </row>
    <row r="475" ht="15.75" customHeight="1">
      <c r="A475" s="1"/>
      <c r="B475" s="1"/>
      <c r="C475" s="1"/>
      <c r="D475" s="1"/>
      <c r="E475" s="1"/>
      <c r="F475" s="1"/>
      <c r="G475" s="1"/>
      <c r="H475" s="1"/>
      <c r="I475" s="1"/>
      <c r="J475" s="1"/>
      <c r="K475" s="1"/>
      <c r="L475" s="1"/>
      <c r="M475" s="1"/>
    </row>
    <row r="476" ht="15.75" customHeight="1">
      <c r="A476" s="1"/>
      <c r="B476" s="1"/>
      <c r="C476" s="1"/>
      <c r="D476" s="1"/>
      <c r="E476" s="1"/>
      <c r="F476" s="1"/>
      <c r="G476" s="1"/>
      <c r="H476" s="1"/>
      <c r="I476" s="1"/>
      <c r="J476" s="1"/>
      <c r="K476" s="1"/>
      <c r="L476" s="1"/>
      <c r="M476" s="1"/>
    </row>
    <row r="477" ht="15.75" customHeight="1">
      <c r="A477" s="1"/>
      <c r="B477" s="1"/>
      <c r="C477" s="1"/>
      <c r="D477" s="1"/>
      <c r="E477" s="1"/>
      <c r="F477" s="1"/>
      <c r="G477" s="1"/>
      <c r="H477" s="1"/>
      <c r="I477" s="1"/>
      <c r="J477" s="1"/>
      <c r="K477" s="1"/>
      <c r="L477" s="1"/>
      <c r="M477" s="1"/>
    </row>
    <row r="478" ht="15.75" customHeight="1">
      <c r="A478" s="1"/>
      <c r="B478" s="1"/>
      <c r="C478" s="1"/>
      <c r="D478" s="1"/>
      <c r="E478" s="1"/>
      <c r="F478" s="1"/>
      <c r="G478" s="1"/>
      <c r="H478" s="1"/>
      <c r="I478" s="1"/>
      <c r="J478" s="1"/>
      <c r="K478" s="1"/>
      <c r="L478" s="1"/>
      <c r="M478" s="1"/>
    </row>
    <row r="479" ht="15.75" customHeight="1">
      <c r="A479" s="1"/>
      <c r="B479" s="1"/>
      <c r="C479" s="1"/>
      <c r="D479" s="1"/>
      <c r="E479" s="1"/>
      <c r="F479" s="1"/>
      <c r="G479" s="1"/>
      <c r="H479" s="1"/>
      <c r="I479" s="1"/>
      <c r="J479" s="1"/>
      <c r="K479" s="1"/>
      <c r="L479" s="1"/>
      <c r="M479" s="1"/>
    </row>
    <row r="480" ht="15.75" customHeight="1">
      <c r="A480" s="1"/>
      <c r="B480" s="1"/>
      <c r="C480" s="1"/>
      <c r="D480" s="1"/>
      <c r="E480" s="1"/>
      <c r="F480" s="1"/>
      <c r="G480" s="1"/>
      <c r="H480" s="1"/>
      <c r="I480" s="1"/>
      <c r="J480" s="1"/>
      <c r="K480" s="1"/>
      <c r="L480" s="1"/>
      <c r="M480" s="1"/>
    </row>
    <row r="481" ht="15.75" customHeight="1">
      <c r="A481" s="1"/>
      <c r="B481" s="1"/>
      <c r="C481" s="1"/>
      <c r="D481" s="1"/>
      <c r="E481" s="1"/>
      <c r="F481" s="1"/>
      <c r="G481" s="1"/>
      <c r="H481" s="1"/>
      <c r="I481" s="1"/>
      <c r="J481" s="1"/>
      <c r="K481" s="1"/>
      <c r="L481" s="1"/>
      <c r="M481" s="1"/>
    </row>
    <row r="482" ht="15.75" customHeight="1">
      <c r="A482" s="1"/>
      <c r="B482" s="1"/>
      <c r="C482" s="1"/>
      <c r="D482" s="1"/>
      <c r="E482" s="1"/>
      <c r="F482" s="1"/>
      <c r="G482" s="1"/>
      <c r="H482" s="1"/>
      <c r="I482" s="1"/>
      <c r="J482" s="1"/>
      <c r="K482" s="1"/>
      <c r="L482" s="1"/>
      <c r="M482" s="1"/>
    </row>
    <row r="483" ht="15.75" customHeight="1">
      <c r="A483" s="1"/>
      <c r="B483" s="1"/>
      <c r="C483" s="1"/>
      <c r="D483" s="1"/>
      <c r="E483" s="1"/>
      <c r="F483" s="1"/>
      <c r="G483" s="1"/>
      <c r="H483" s="1"/>
      <c r="I483" s="1"/>
      <c r="J483" s="1"/>
      <c r="K483" s="1"/>
      <c r="L483" s="1"/>
      <c r="M483" s="1"/>
    </row>
    <row r="484" ht="15.75" customHeight="1">
      <c r="A484" s="1"/>
      <c r="B484" s="1"/>
      <c r="C484" s="1"/>
      <c r="D484" s="1"/>
      <c r="E484" s="1"/>
      <c r="F484" s="1"/>
      <c r="G484" s="1"/>
      <c r="H484" s="1"/>
      <c r="I484" s="1"/>
      <c r="J484" s="1"/>
      <c r="K484" s="1"/>
      <c r="L484" s="1"/>
      <c r="M484" s="1"/>
    </row>
    <row r="485" ht="15.75" customHeight="1">
      <c r="A485" s="1"/>
      <c r="B485" s="1"/>
      <c r="C485" s="1"/>
      <c r="D485" s="1"/>
      <c r="E485" s="1"/>
      <c r="F485" s="1"/>
      <c r="G485" s="1"/>
      <c r="H485" s="1"/>
      <c r="I485" s="1"/>
      <c r="J485" s="1"/>
      <c r="K485" s="1"/>
      <c r="L485" s="1"/>
      <c r="M485" s="1"/>
    </row>
    <row r="486" ht="15.75" customHeight="1">
      <c r="A486" s="1"/>
      <c r="B486" s="1"/>
      <c r="C486" s="1"/>
      <c r="D486" s="1"/>
      <c r="E486" s="1"/>
      <c r="F486" s="1"/>
      <c r="G486" s="1"/>
      <c r="H486" s="1"/>
      <c r="I486" s="1"/>
      <c r="J486" s="1"/>
      <c r="K486" s="1"/>
      <c r="L486" s="1"/>
      <c r="M486" s="1"/>
    </row>
    <row r="487" ht="15.75" customHeight="1">
      <c r="A487" s="1"/>
      <c r="B487" s="1"/>
      <c r="C487" s="1"/>
      <c r="D487" s="1"/>
      <c r="E487" s="1"/>
      <c r="F487" s="1"/>
      <c r="G487" s="1"/>
      <c r="H487" s="1"/>
      <c r="I487" s="1"/>
      <c r="J487" s="1"/>
      <c r="K487" s="1"/>
      <c r="L487" s="1"/>
      <c r="M487" s="1"/>
    </row>
    <row r="488" ht="15.75" customHeight="1">
      <c r="A488" s="1"/>
      <c r="B488" s="1"/>
      <c r="C488" s="1"/>
      <c r="D488" s="1"/>
      <c r="E488" s="1"/>
      <c r="F488" s="1"/>
      <c r="G488" s="1"/>
      <c r="H488" s="1"/>
      <c r="I488" s="1"/>
      <c r="J488" s="1"/>
      <c r="K488" s="1"/>
      <c r="L488" s="1"/>
      <c r="M488" s="1"/>
    </row>
    <row r="489" ht="15.75" customHeight="1">
      <c r="A489" s="1"/>
      <c r="B489" s="1"/>
      <c r="C489" s="1"/>
      <c r="D489" s="1"/>
      <c r="E489" s="1"/>
      <c r="F489" s="1"/>
      <c r="G489" s="1"/>
      <c r="H489" s="1"/>
      <c r="I489" s="1"/>
      <c r="J489" s="1"/>
      <c r="K489" s="1"/>
      <c r="L489" s="1"/>
      <c r="M489" s="1"/>
    </row>
    <row r="490" ht="15.75" customHeight="1">
      <c r="A490" s="1"/>
      <c r="B490" s="1"/>
      <c r="C490" s="1"/>
      <c r="D490" s="1"/>
      <c r="E490" s="1"/>
      <c r="F490" s="1"/>
      <c r="G490" s="1"/>
      <c r="H490" s="1"/>
      <c r="I490" s="1"/>
      <c r="J490" s="1"/>
      <c r="K490" s="1"/>
      <c r="L490" s="1"/>
      <c r="M490" s="1"/>
    </row>
    <row r="491" ht="15.75" customHeight="1">
      <c r="A491" s="1"/>
      <c r="B491" s="1"/>
      <c r="C491" s="1"/>
      <c r="D491" s="1"/>
      <c r="E491" s="1"/>
      <c r="F491" s="1"/>
      <c r="G491" s="1"/>
      <c r="H491" s="1"/>
      <c r="I491" s="1"/>
      <c r="J491" s="1"/>
      <c r="K491" s="1"/>
      <c r="L491" s="1"/>
      <c r="M491" s="1"/>
    </row>
    <row r="492" ht="15.75" customHeight="1">
      <c r="A492" s="1"/>
      <c r="B492" s="1"/>
      <c r="C492" s="1"/>
      <c r="D492" s="1"/>
      <c r="E492" s="1"/>
      <c r="F492" s="1"/>
      <c r="G492" s="1"/>
      <c r="H492" s="1"/>
      <c r="I492" s="1"/>
      <c r="J492" s="1"/>
      <c r="K492" s="1"/>
      <c r="L492" s="1"/>
      <c r="M492" s="1"/>
    </row>
    <row r="493" ht="15.75" customHeight="1">
      <c r="A493" s="1"/>
      <c r="B493" s="1"/>
      <c r="C493" s="1"/>
      <c r="D493" s="1"/>
      <c r="E493" s="1"/>
      <c r="F493" s="1"/>
      <c r="G493" s="1"/>
      <c r="H493" s="1"/>
      <c r="I493" s="1"/>
      <c r="J493" s="1"/>
      <c r="K493" s="1"/>
      <c r="L493" s="1"/>
      <c r="M493" s="1"/>
    </row>
    <row r="494" ht="15.75" customHeight="1">
      <c r="A494" s="1"/>
      <c r="B494" s="1"/>
      <c r="C494" s="1"/>
      <c r="D494" s="1"/>
      <c r="E494" s="1"/>
      <c r="F494" s="1"/>
      <c r="G494" s="1"/>
      <c r="H494" s="1"/>
      <c r="I494" s="1"/>
      <c r="J494" s="1"/>
      <c r="K494" s="1"/>
      <c r="L494" s="1"/>
      <c r="M494" s="1"/>
    </row>
    <row r="495" ht="15.75" customHeight="1">
      <c r="A495" s="1"/>
      <c r="B495" s="1"/>
      <c r="C495" s="1"/>
      <c r="D495" s="1"/>
      <c r="E495" s="1"/>
      <c r="F495" s="1"/>
      <c r="G495" s="1"/>
      <c r="H495" s="1"/>
      <c r="I495" s="1"/>
      <c r="J495" s="1"/>
      <c r="K495" s="1"/>
      <c r="L495" s="1"/>
      <c r="M495" s="1"/>
    </row>
    <row r="496" ht="15.75" customHeight="1">
      <c r="A496" s="1"/>
      <c r="B496" s="1"/>
      <c r="C496" s="1"/>
      <c r="D496" s="1"/>
      <c r="E496" s="1"/>
      <c r="F496" s="1"/>
      <c r="G496" s="1"/>
      <c r="H496" s="1"/>
      <c r="I496" s="1"/>
      <c r="J496" s="1"/>
      <c r="K496" s="1"/>
      <c r="L496" s="1"/>
      <c r="M496" s="1"/>
    </row>
    <row r="497" ht="15.75" customHeight="1">
      <c r="A497" s="1"/>
      <c r="B497" s="1"/>
      <c r="C497" s="1"/>
      <c r="D497" s="1"/>
      <c r="E497" s="1"/>
      <c r="F497" s="1"/>
      <c r="G497" s="1"/>
      <c r="H497" s="1"/>
      <c r="I497" s="1"/>
      <c r="J497" s="1"/>
      <c r="K497" s="1"/>
      <c r="L497" s="1"/>
      <c r="M497" s="1"/>
    </row>
    <row r="498" ht="15.75" customHeight="1">
      <c r="A498" s="1"/>
      <c r="B498" s="1"/>
      <c r="C498" s="1"/>
      <c r="D498" s="1"/>
      <c r="E498" s="1"/>
      <c r="F498" s="1"/>
      <c r="G498" s="1"/>
      <c r="H498" s="1"/>
      <c r="I498" s="1"/>
      <c r="J498" s="1"/>
      <c r="K498" s="1"/>
      <c r="L498" s="1"/>
      <c r="M498" s="1"/>
    </row>
    <row r="499" ht="15.75" customHeight="1">
      <c r="A499" s="1"/>
      <c r="B499" s="1"/>
      <c r="C499" s="1"/>
      <c r="D499" s="1"/>
      <c r="E499" s="1"/>
      <c r="F499" s="1"/>
      <c r="G499" s="1"/>
      <c r="H499" s="1"/>
      <c r="I499" s="1"/>
      <c r="J499" s="1"/>
      <c r="K499" s="1"/>
      <c r="L499" s="1"/>
      <c r="M499" s="1"/>
    </row>
    <row r="500" ht="15.75" customHeight="1">
      <c r="A500" s="1"/>
      <c r="B500" s="1"/>
      <c r="C500" s="1"/>
      <c r="D500" s="1"/>
      <c r="E500" s="1"/>
      <c r="F500" s="1"/>
      <c r="G500" s="1"/>
      <c r="H500" s="1"/>
      <c r="I500" s="1"/>
      <c r="J500" s="1"/>
      <c r="K500" s="1"/>
      <c r="L500" s="1"/>
      <c r="M500" s="1"/>
    </row>
    <row r="501" ht="15.75" customHeight="1">
      <c r="A501" s="1"/>
      <c r="B501" s="1"/>
      <c r="C501" s="1"/>
      <c r="D501" s="1"/>
      <c r="E501" s="1"/>
      <c r="F501" s="1"/>
      <c r="G501" s="1"/>
      <c r="H501" s="1"/>
      <c r="I501" s="1"/>
      <c r="J501" s="1"/>
      <c r="K501" s="1"/>
      <c r="L501" s="1"/>
      <c r="M501" s="1"/>
    </row>
    <row r="502" ht="15.75" customHeight="1">
      <c r="A502" s="1"/>
      <c r="B502" s="1"/>
      <c r="C502" s="1"/>
      <c r="D502" s="1"/>
      <c r="E502" s="1"/>
      <c r="F502" s="1"/>
      <c r="G502" s="1"/>
      <c r="H502" s="1"/>
      <c r="I502" s="1"/>
      <c r="J502" s="1"/>
      <c r="K502" s="1"/>
      <c r="L502" s="1"/>
      <c r="M502" s="1"/>
    </row>
    <row r="503" ht="15.75" customHeight="1">
      <c r="A503" s="1"/>
      <c r="B503" s="1"/>
      <c r="C503" s="1"/>
      <c r="D503" s="1"/>
      <c r="E503" s="1"/>
      <c r="F503" s="1"/>
      <c r="G503" s="1"/>
      <c r="H503" s="1"/>
      <c r="I503" s="1"/>
      <c r="J503" s="1"/>
      <c r="K503" s="1"/>
      <c r="L503" s="1"/>
      <c r="M503" s="1"/>
    </row>
    <row r="504" ht="15.75" customHeight="1">
      <c r="A504" s="1"/>
      <c r="B504" s="1"/>
      <c r="C504" s="1"/>
      <c r="D504" s="1"/>
      <c r="E504" s="1"/>
      <c r="F504" s="1"/>
      <c r="G504" s="1"/>
      <c r="H504" s="1"/>
      <c r="I504" s="1"/>
      <c r="J504" s="1"/>
      <c r="K504" s="1"/>
      <c r="L504" s="1"/>
      <c r="M504" s="1"/>
    </row>
    <row r="505" ht="15.75" customHeight="1">
      <c r="A505" s="1"/>
      <c r="B505" s="1"/>
      <c r="C505" s="1"/>
      <c r="D505" s="1"/>
      <c r="E505" s="1"/>
      <c r="F505" s="1"/>
      <c r="G505" s="1"/>
      <c r="H505" s="1"/>
      <c r="I505" s="1"/>
      <c r="J505" s="1"/>
      <c r="K505" s="1"/>
      <c r="L505" s="1"/>
      <c r="M505" s="1"/>
    </row>
    <row r="506" ht="15.75" customHeight="1">
      <c r="A506" s="1"/>
      <c r="B506" s="1"/>
      <c r="C506" s="1"/>
      <c r="D506" s="1"/>
      <c r="E506" s="1"/>
      <c r="F506" s="1"/>
      <c r="G506" s="1"/>
      <c r="H506" s="1"/>
      <c r="I506" s="1"/>
      <c r="J506" s="1"/>
      <c r="K506" s="1"/>
      <c r="L506" s="1"/>
      <c r="M506" s="1"/>
    </row>
    <row r="507" ht="15.75" customHeight="1">
      <c r="A507" s="1"/>
      <c r="B507" s="1"/>
      <c r="C507" s="1"/>
      <c r="D507" s="1"/>
      <c r="E507" s="1"/>
      <c r="F507" s="1"/>
      <c r="G507" s="1"/>
      <c r="H507" s="1"/>
      <c r="I507" s="1"/>
      <c r="J507" s="1"/>
      <c r="K507" s="1"/>
      <c r="L507" s="1"/>
      <c r="M507" s="1"/>
    </row>
    <row r="508" ht="15.75" customHeight="1">
      <c r="A508" s="1"/>
      <c r="B508" s="1"/>
      <c r="C508" s="1"/>
      <c r="D508" s="1"/>
      <c r="E508" s="1"/>
      <c r="F508" s="1"/>
      <c r="G508" s="1"/>
      <c r="H508" s="1"/>
      <c r="I508" s="1"/>
      <c r="J508" s="1"/>
      <c r="K508" s="1"/>
      <c r="L508" s="1"/>
      <c r="M508" s="1"/>
    </row>
    <row r="509" ht="15.75" customHeight="1">
      <c r="A509" s="1"/>
      <c r="B509" s="1"/>
      <c r="C509" s="1"/>
      <c r="D509" s="1"/>
      <c r="E509" s="1"/>
      <c r="F509" s="1"/>
      <c r="G509" s="1"/>
      <c r="H509" s="1"/>
      <c r="I509" s="1"/>
      <c r="J509" s="1"/>
      <c r="K509" s="1"/>
      <c r="L509" s="1"/>
      <c r="M509" s="1"/>
    </row>
    <row r="510" ht="15.75" customHeight="1">
      <c r="A510" s="1"/>
      <c r="B510" s="1"/>
      <c r="C510" s="1"/>
      <c r="D510" s="1"/>
      <c r="E510" s="1"/>
      <c r="F510" s="1"/>
      <c r="G510" s="1"/>
      <c r="H510" s="1"/>
      <c r="I510" s="1"/>
      <c r="J510" s="1"/>
      <c r="K510" s="1"/>
      <c r="L510" s="1"/>
      <c r="M510" s="1"/>
    </row>
    <row r="511" ht="15.75" customHeight="1">
      <c r="A511" s="1"/>
      <c r="B511" s="1"/>
      <c r="C511" s="1"/>
      <c r="D511" s="1"/>
      <c r="E511" s="1"/>
      <c r="F511" s="1"/>
      <c r="G511" s="1"/>
      <c r="H511" s="1"/>
      <c r="I511" s="1"/>
      <c r="J511" s="1"/>
      <c r="K511" s="1"/>
      <c r="L511" s="1"/>
      <c r="M511" s="1"/>
    </row>
    <row r="512" ht="15.75" customHeight="1">
      <c r="A512" s="1"/>
      <c r="B512" s="1"/>
      <c r="C512" s="1"/>
      <c r="D512" s="1"/>
      <c r="E512" s="1"/>
      <c r="F512" s="1"/>
      <c r="G512" s="1"/>
      <c r="H512" s="1"/>
      <c r="I512" s="1"/>
      <c r="J512" s="1"/>
      <c r="K512" s="1"/>
      <c r="L512" s="1"/>
      <c r="M512" s="1"/>
    </row>
    <row r="513" ht="15.75" customHeight="1">
      <c r="A513" s="1"/>
      <c r="B513" s="1"/>
      <c r="C513" s="1"/>
      <c r="D513" s="1"/>
      <c r="E513" s="1"/>
      <c r="F513" s="1"/>
      <c r="G513" s="1"/>
      <c r="H513" s="1"/>
      <c r="I513" s="1"/>
      <c r="J513" s="1"/>
      <c r="K513" s="1"/>
      <c r="L513" s="1"/>
      <c r="M513" s="1"/>
    </row>
    <row r="514" ht="15.75" customHeight="1">
      <c r="A514" s="1"/>
      <c r="B514" s="1"/>
      <c r="C514" s="1"/>
      <c r="D514" s="1"/>
      <c r="E514" s="1"/>
      <c r="F514" s="1"/>
      <c r="G514" s="1"/>
      <c r="H514" s="1"/>
      <c r="I514" s="1"/>
      <c r="J514" s="1"/>
      <c r="K514" s="1"/>
      <c r="L514" s="1"/>
      <c r="M514" s="1"/>
    </row>
    <row r="515" ht="15.75" customHeight="1">
      <c r="A515" s="1"/>
      <c r="B515" s="1"/>
      <c r="C515" s="1"/>
      <c r="D515" s="1"/>
      <c r="E515" s="1"/>
      <c r="F515" s="1"/>
      <c r="G515" s="1"/>
      <c r="H515" s="1"/>
      <c r="I515" s="1"/>
      <c r="J515" s="1"/>
      <c r="K515" s="1"/>
      <c r="L515" s="1"/>
      <c r="M515" s="1"/>
    </row>
    <row r="516" ht="15.75" customHeight="1">
      <c r="A516" s="1"/>
      <c r="B516" s="1"/>
      <c r="C516" s="1"/>
      <c r="D516" s="1"/>
      <c r="E516" s="1"/>
      <c r="F516" s="1"/>
      <c r="G516" s="1"/>
      <c r="H516" s="1"/>
      <c r="I516" s="1"/>
      <c r="J516" s="1"/>
      <c r="K516" s="1"/>
      <c r="L516" s="1"/>
      <c r="M516" s="1"/>
    </row>
    <row r="517" ht="15.75" customHeight="1">
      <c r="A517" s="1"/>
      <c r="B517" s="1"/>
      <c r="C517" s="1"/>
      <c r="D517" s="1"/>
      <c r="E517" s="1"/>
      <c r="F517" s="1"/>
      <c r="G517" s="1"/>
      <c r="H517" s="1"/>
      <c r="I517" s="1"/>
      <c r="J517" s="1"/>
      <c r="K517" s="1"/>
      <c r="L517" s="1"/>
      <c r="M517" s="1"/>
    </row>
    <row r="518" ht="15.75" customHeight="1">
      <c r="A518" s="1"/>
      <c r="B518" s="1"/>
      <c r="C518" s="1"/>
      <c r="D518" s="1"/>
      <c r="E518" s="1"/>
      <c r="F518" s="1"/>
      <c r="G518" s="1"/>
      <c r="H518" s="1"/>
      <c r="I518" s="1"/>
      <c r="J518" s="1"/>
      <c r="K518" s="1"/>
      <c r="L518" s="1"/>
      <c r="M518" s="1"/>
    </row>
    <row r="519" ht="15.75" customHeight="1">
      <c r="A519" s="1"/>
      <c r="B519" s="1"/>
      <c r="C519" s="1"/>
      <c r="D519" s="1"/>
      <c r="E519" s="1"/>
      <c r="F519" s="1"/>
      <c r="G519" s="1"/>
      <c r="H519" s="1"/>
      <c r="I519" s="1"/>
      <c r="J519" s="1"/>
      <c r="K519" s="1"/>
      <c r="L519" s="1"/>
      <c r="M519" s="1"/>
    </row>
    <row r="520" ht="15.75" customHeight="1">
      <c r="A520" s="1"/>
      <c r="B520" s="1"/>
      <c r="C520" s="1"/>
      <c r="D520" s="1"/>
      <c r="E520" s="1"/>
      <c r="F520" s="1"/>
      <c r="G520" s="1"/>
      <c r="H520" s="1"/>
      <c r="I520" s="1"/>
      <c r="J520" s="1"/>
      <c r="K520" s="1"/>
      <c r="L520" s="1"/>
      <c r="M520" s="1"/>
    </row>
    <row r="521" ht="15.75" customHeight="1">
      <c r="A521" s="1"/>
      <c r="B521" s="1"/>
      <c r="C521" s="1"/>
      <c r="D521" s="1"/>
      <c r="E521" s="1"/>
      <c r="F521" s="1"/>
      <c r="G521" s="1"/>
      <c r="H521" s="1"/>
      <c r="I521" s="1"/>
      <c r="J521" s="1"/>
      <c r="K521" s="1"/>
      <c r="L521" s="1"/>
      <c r="M521" s="1"/>
    </row>
    <row r="522" ht="15.75" customHeight="1">
      <c r="A522" s="1"/>
      <c r="B522" s="1"/>
      <c r="C522" s="1"/>
      <c r="D522" s="1"/>
      <c r="E522" s="1"/>
      <c r="F522" s="1"/>
      <c r="G522" s="1"/>
      <c r="H522" s="1"/>
      <c r="I522" s="1"/>
      <c r="J522" s="1"/>
      <c r="K522" s="1"/>
      <c r="L522" s="1"/>
      <c r="M522" s="1"/>
    </row>
    <row r="523" ht="15.75" customHeight="1">
      <c r="A523" s="1"/>
      <c r="B523" s="1"/>
      <c r="C523" s="1"/>
      <c r="D523" s="1"/>
      <c r="E523" s="1"/>
      <c r="F523" s="1"/>
      <c r="G523" s="1"/>
      <c r="H523" s="1"/>
      <c r="I523" s="1"/>
      <c r="J523" s="1"/>
      <c r="K523" s="1"/>
      <c r="L523" s="1"/>
      <c r="M523" s="1"/>
    </row>
    <row r="524" ht="15.75" customHeight="1">
      <c r="A524" s="1"/>
      <c r="B524" s="1"/>
      <c r="C524" s="1"/>
      <c r="D524" s="1"/>
      <c r="E524" s="1"/>
      <c r="F524" s="1"/>
      <c r="G524" s="1"/>
      <c r="H524" s="1"/>
      <c r="I524" s="1"/>
      <c r="J524" s="1"/>
      <c r="K524" s="1"/>
      <c r="L524" s="1"/>
      <c r="M524" s="1"/>
    </row>
    <row r="525" ht="15.75" customHeight="1">
      <c r="A525" s="1"/>
      <c r="B525" s="1"/>
      <c r="C525" s="1"/>
      <c r="D525" s="1"/>
      <c r="E525" s="1"/>
      <c r="F525" s="1"/>
      <c r="G525" s="1"/>
      <c r="H525" s="1"/>
      <c r="I525" s="1"/>
      <c r="J525" s="1"/>
      <c r="K525" s="1"/>
      <c r="L525" s="1"/>
      <c r="M525" s="1"/>
    </row>
    <row r="526" ht="15.75" customHeight="1">
      <c r="A526" s="1"/>
      <c r="B526" s="1"/>
      <c r="C526" s="1"/>
      <c r="D526" s="1"/>
      <c r="E526" s="1"/>
      <c r="F526" s="1"/>
      <c r="G526" s="1"/>
      <c r="H526" s="1"/>
      <c r="I526" s="1"/>
      <c r="J526" s="1"/>
      <c r="K526" s="1"/>
      <c r="L526" s="1"/>
      <c r="M526" s="1"/>
    </row>
    <row r="527" ht="15.75" customHeight="1">
      <c r="A527" s="1"/>
      <c r="B527" s="1"/>
      <c r="C527" s="1"/>
      <c r="D527" s="1"/>
      <c r="E527" s="1"/>
      <c r="F527" s="1"/>
      <c r="G527" s="1"/>
      <c r="H527" s="1"/>
      <c r="I527" s="1"/>
      <c r="J527" s="1"/>
      <c r="K527" s="1"/>
      <c r="L527" s="1"/>
      <c r="M527" s="1"/>
    </row>
    <row r="528" ht="15.75" customHeight="1">
      <c r="A528" s="1"/>
      <c r="B528" s="1"/>
      <c r="C528" s="1"/>
      <c r="D528" s="1"/>
      <c r="E528" s="1"/>
      <c r="F528" s="1"/>
      <c r="G528" s="1"/>
      <c r="H528" s="1"/>
      <c r="I528" s="1"/>
      <c r="J528" s="1"/>
      <c r="K528" s="1"/>
      <c r="L528" s="1"/>
      <c r="M528" s="1"/>
    </row>
    <row r="529" ht="15.75" customHeight="1">
      <c r="A529" s="1"/>
      <c r="B529" s="1"/>
      <c r="C529" s="1"/>
      <c r="D529" s="1"/>
      <c r="E529" s="1"/>
      <c r="F529" s="1"/>
      <c r="G529" s="1"/>
      <c r="H529" s="1"/>
      <c r="I529" s="1"/>
      <c r="J529" s="1"/>
      <c r="K529" s="1"/>
      <c r="L529" s="1"/>
      <c r="M529" s="1"/>
    </row>
    <row r="530" ht="15.75" customHeight="1">
      <c r="A530" s="1"/>
      <c r="B530" s="1"/>
      <c r="C530" s="1"/>
      <c r="D530" s="1"/>
      <c r="E530" s="1"/>
      <c r="F530" s="1"/>
      <c r="G530" s="1"/>
      <c r="H530" s="1"/>
      <c r="I530" s="1"/>
      <c r="J530" s="1"/>
      <c r="K530" s="1"/>
      <c r="L530" s="1"/>
      <c r="M530" s="1"/>
    </row>
    <row r="531" ht="15.75" customHeight="1">
      <c r="A531" s="1"/>
      <c r="B531" s="1"/>
      <c r="C531" s="1"/>
      <c r="D531" s="1"/>
      <c r="E531" s="1"/>
      <c r="F531" s="1"/>
      <c r="G531" s="1"/>
      <c r="H531" s="1"/>
      <c r="I531" s="1"/>
      <c r="J531" s="1"/>
      <c r="K531" s="1"/>
      <c r="L531" s="1"/>
      <c r="M531" s="1"/>
    </row>
    <row r="532" ht="15.75" customHeight="1">
      <c r="A532" s="1"/>
      <c r="B532" s="1"/>
      <c r="C532" s="1"/>
      <c r="D532" s="1"/>
      <c r="E532" s="1"/>
      <c r="F532" s="1"/>
      <c r="G532" s="1"/>
      <c r="H532" s="1"/>
      <c r="I532" s="1"/>
      <c r="J532" s="1"/>
      <c r="K532" s="1"/>
      <c r="L532" s="1"/>
      <c r="M532" s="1"/>
    </row>
    <row r="533" ht="15.75" customHeight="1">
      <c r="A533" s="1"/>
      <c r="B533" s="1"/>
      <c r="C533" s="1"/>
      <c r="D533" s="1"/>
      <c r="E533" s="1"/>
      <c r="F533" s="1"/>
      <c r="G533" s="1"/>
      <c r="H533" s="1"/>
      <c r="I533" s="1"/>
      <c r="J533" s="1"/>
      <c r="K533" s="1"/>
      <c r="L533" s="1"/>
      <c r="M533" s="1"/>
    </row>
    <row r="534" ht="15.75" customHeight="1">
      <c r="A534" s="1"/>
      <c r="B534" s="1"/>
      <c r="C534" s="1"/>
      <c r="D534" s="1"/>
      <c r="E534" s="1"/>
      <c r="F534" s="1"/>
      <c r="G534" s="1"/>
      <c r="H534" s="1"/>
      <c r="I534" s="1"/>
      <c r="J534" s="1"/>
      <c r="K534" s="1"/>
      <c r="L534" s="1"/>
      <c r="M534" s="1"/>
    </row>
    <row r="535" ht="15.75" customHeight="1">
      <c r="A535" s="1"/>
      <c r="B535" s="1"/>
      <c r="C535" s="1"/>
      <c r="D535" s="1"/>
      <c r="E535" s="1"/>
      <c r="F535" s="1"/>
      <c r="G535" s="1"/>
      <c r="H535" s="1"/>
      <c r="I535" s="1"/>
      <c r="J535" s="1"/>
      <c r="K535" s="1"/>
      <c r="L535" s="1"/>
      <c r="M535" s="1"/>
    </row>
    <row r="536" ht="15.75" customHeight="1">
      <c r="A536" s="1"/>
      <c r="B536" s="1"/>
      <c r="C536" s="1"/>
      <c r="D536" s="1"/>
      <c r="E536" s="1"/>
      <c r="F536" s="1"/>
      <c r="G536" s="1"/>
      <c r="H536" s="1"/>
      <c r="I536" s="1"/>
      <c r="J536" s="1"/>
      <c r="K536" s="1"/>
      <c r="L536" s="1"/>
      <c r="M536" s="1"/>
    </row>
    <row r="537" ht="15.75" customHeight="1">
      <c r="A537" s="1"/>
      <c r="B537" s="1"/>
      <c r="C537" s="1"/>
      <c r="D537" s="1"/>
      <c r="E537" s="1"/>
      <c r="F537" s="1"/>
      <c r="G537" s="1"/>
      <c r="H537" s="1"/>
      <c r="I537" s="1"/>
      <c r="J537" s="1"/>
      <c r="K537" s="1"/>
      <c r="L537" s="1"/>
      <c r="M537" s="1"/>
    </row>
    <row r="538" ht="15.75" customHeight="1">
      <c r="A538" s="1"/>
      <c r="B538" s="1"/>
      <c r="C538" s="1"/>
      <c r="D538" s="1"/>
      <c r="E538" s="1"/>
      <c r="F538" s="1"/>
      <c r="G538" s="1"/>
      <c r="H538" s="1"/>
      <c r="I538" s="1"/>
      <c r="J538" s="1"/>
      <c r="K538" s="1"/>
      <c r="L538" s="1"/>
      <c r="M538" s="1"/>
    </row>
    <row r="539" ht="15.75" customHeight="1">
      <c r="A539" s="1"/>
      <c r="B539" s="1"/>
      <c r="C539" s="1"/>
      <c r="D539" s="1"/>
      <c r="E539" s="1"/>
      <c r="F539" s="1"/>
      <c r="G539" s="1"/>
      <c r="H539" s="1"/>
      <c r="I539" s="1"/>
      <c r="J539" s="1"/>
      <c r="K539" s="1"/>
      <c r="L539" s="1"/>
      <c r="M539" s="1"/>
    </row>
    <row r="540" ht="15.75" customHeight="1">
      <c r="A540" s="1"/>
      <c r="B540" s="1"/>
      <c r="C540" s="1"/>
      <c r="D540" s="1"/>
      <c r="E540" s="1"/>
      <c r="F540" s="1"/>
      <c r="G540" s="1"/>
      <c r="H540" s="1"/>
      <c r="I540" s="1"/>
      <c r="J540" s="1"/>
      <c r="K540" s="1"/>
      <c r="L540" s="1"/>
      <c r="M540" s="1"/>
    </row>
    <row r="541" ht="15.75" customHeight="1">
      <c r="A541" s="1"/>
      <c r="B541" s="1"/>
      <c r="C541" s="1"/>
      <c r="D541" s="1"/>
      <c r="E541" s="1"/>
      <c r="F541" s="1"/>
      <c r="G541" s="1"/>
      <c r="H541" s="1"/>
      <c r="I541" s="1"/>
      <c r="J541" s="1"/>
      <c r="K541" s="1"/>
      <c r="L541" s="1"/>
      <c r="M541" s="1"/>
    </row>
    <row r="542" ht="15.75" customHeight="1">
      <c r="A542" s="1"/>
      <c r="B542" s="1"/>
      <c r="C542" s="1"/>
      <c r="D542" s="1"/>
      <c r="E542" s="1"/>
      <c r="F542" s="1"/>
      <c r="G542" s="1"/>
      <c r="H542" s="1"/>
      <c r="I542" s="1"/>
      <c r="J542" s="1"/>
      <c r="K542" s="1"/>
      <c r="L542" s="1"/>
      <c r="M542" s="1"/>
    </row>
    <row r="543" ht="15.75" customHeight="1">
      <c r="A543" s="1"/>
      <c r="B543" s="1"/>
      <c r="C543" s="1"/>
      <c r="D543" s="1"/>
      <c r="E543" s="1"/>
      <c r="F543" s="1"/>
      <c r="G543" s="1"/>
      <c r="H543" s="1"/>
      <c r="I543" s="1"/>
      <c r="J543" s="1"/>
      <c r="K543" s="1"/>
      <c r="L543" s="1"/>
      <c r="M543" s="1"/>
    </row>
    <row r="544" ht="15.75" customHeight="1">
      <c r="A544" s="1"/>
      <c r="B544" s="1"/>
      <c r="C544" s="1"/>
      <c r="D544" s="1"/>
      <c r="E544" s="1"/>
      <c r="F544" s="1"/>
      <c r="G544" s="1"/>
      <c r="H544" s="1"/>
      <c r="I544" s="1"/>
      <c r="J544" s="1"/>
      <c r="K544" s="1"/>
      <c r="L544" s="1"/>
      <c r="M544" s="1"/>
    </row>
    <row r="545" ht="15.75" customHeight="1">
      <c r="A545" s="1"/>
      <c r="B545" s="1"/>
      <c r="C545" s="1"/>
      <c r="D545" s="1"/>
      <c r="E545" s="1"/>
      <c r="F545" s="1"/>
      <c r="G545" s="1"/>
      <c r="H545" s="1"/>
      <c r="I545" s="1"/>
      <c r="J545" s="1"/>
      <c r="K545" s="1"/>
      <c r="L545" s="1"/>
      <c r="M545" s="1"/>
    </row>
    <row r="546" ht="15.75" customHeight="1">
      <c r="A546" s="1"/>
      <c r="B546" s="1"/>
      <c r="C546" s="1"/>
      <c r="D546" s="1"/>
      <c r="E546" s="1"/>
      <c r="F546" s="1"/>
      <c r="G546" s="1"/>
      <c r="H546" s="1"/>
      <c r="I546" s="1"/>
      <c r="J546" s="1"/>
      <c r="K546" s="1"/>
      <c r="L546" s="1"/>
      <c r="M546" s="1"/>
    </row>
    <row r="547" ht="15.75" customHeight="1">
      <c r="A547" s="1"/>
      <c r="B547" s="1"/>
      <c r="C547" s="1"/>
      <c r="D547" s="1"/>
      <c r="E547" s="1"/>
      <c r="F547" s="1"/>
      <c r="G547" s="1"/>
      <c r="H547" s="1"/>
      <c r="I547" s="1"/>
      <c r="J547" s="1"/>
      <c r="K547" s="1"/>
      <c r="L547" s="1"/>
      <c r="M547" s="1"/>
    </row>
    <row r="548" ht="15.75" customHeight="1">
      <c r="A548" s="1"/>
      <c r="B548" s="1"/>
      <c r="C548" s="1"/>
      <c r="D548" s="1"/>
      <c r="E548" s="1"/>
      <c r="F548" s="1"/>
      <c r="G548" s="1"/>
      <c r="H548" s="1"/>
      <c r="I548" s="1"/>
      <c r="J548" s="1"/>
      <c r="K548" s="1"/>
      <c r="L548" s="1"/>
      <c r="M548" s="1"/>
    </row>
    <row r="549" ht="15.75" customHeight="1">
      <c r="A549" s="1"/>
      <c r="B549" s="1"/>
      <c r="C549" s="1"/>
      <c r="D549" s="1"/>
      <c r="E549" s="1"/>
      <c r="F549" s="1"/>
      <c r="G549" s="1"/>
      <c r="H549" s="1"/>
      <c r="I549" s="1"/>
      <c r="J549" s="1"/>
      <c r="K549" s="1"/>
      <c r="L549" s="1"/>
      <c r="M549" s="1"/>
    </row>
    <row r="550" ht="15.75" customHeight="1">
      <c r="A550" s="1"/>
      <c r="B550" s="1"/>
      <c r="C550" s="1"/>
      <c r="D550" s="1"/>
      <c r="E550" s="1"/>
      <c r="F550" s="1"/>
      <c r="G550" s="1"/>
      <c r="H550" s="1"/>
      <c r="I550" s="1"/>
      <c r="J550" s="1"/>
      <c r="K550" s="1"/>
      <c r="L550" s="1"/>
      <c r="M550" s="1"/>
    </row>
    <row r="551" ht="15.75" customHeight="1">
      <c r="A551" s="1"/>
      <c r="B551" s="1"/>
      <c r="C551" s="1"/>
      <c r="D551" s="1"/>
      <c r="E551" s="1"/>
      <c r="F551" s="1"/>
      <c r="G551" s="1"/>
      <c r="H551" s="1"/>
      <c r="I551" s="1"/>
      <c r="J551" s="1"/>
      <c r="K551" s="1"/>
      <c r="L551" s="1"/>
      <c r="M551" s="1"/>
    </row>
    <row r="552" ht="15.75" customHeight="1">
      <c r="A552" s="1"/>
      <c r="B552" s="1"/>
      <c r="C552" s="1"/>
      <c r="D552" s="1"/>
      <c r="E552" s="1"/>
      <c r="F552" s="1"/>
      <c r="G552" s="1"/>
      <c r="H552" s="1"/>
      <c r="I552" s="1"/>
      <c r="J552" s="1"/>
      <c r="K552" s="1"/>
      <c r="L552" s="1"/>
      <c r="M552" s="1"/>
    </row>
    <row r="553" ht="15.75" customHeight="1">
      <c r="A553" s="1"/>
      <c r="B553" s="1"/>
      <c r="C553" s="1"/>
      <c r="D553" s="1"/>
      <c r="E553" s="1"/>
      <c r="F553" s="1"/>
      <c r="G553" s="1"/>
      <c r="H553" s="1"/>
      <c r="I553" s="1"/>
      <c r="J553" s="1"/>
      <c r="K553" s="1"/>
      <c r="L553" s="1"/>
      <c r="M553" s="1"/>
    </row>
    <row r="554" ht="15.75" customHeight="1">
      <c r="A554" s="1"/>
      <c r="B554" s="1"/>
      <c r="C554" s="1"/>
      <c r="D554" s="1"/>
      <c r="E554" s="1"/>
      <c r="F554" s="1"/>
      <c r="G554" s="1"/>
      <c r="H554" s="1"/>
      <c r="I554" s="1"/>
      <c r="J554" s="1"/>
      <c r="K554" s="1"/>
      <c r="L554" s="1"/>
      <c r="M554" s="1"/>
    </row>
    <row r="555" ht="15.75" customHeight="1">
      <c r="A555" s="1"/>
      <c r="B555" s="1"/>
      <c r="C555" s="1"/>
      <c r="D555" s="1"/>
      <c r="E555" s="1"/>
      <c r="F555" s="1"/>
      <c r="G555" s="1"/>
      <c r="H555" s="1"/>
      <c r="I555" s="1"/>
      <c r="J555" s="1"/>
      <c r="K555" s="1"/>
      <c r="L555" s="1"/>
      <c r="M555" s="1"/>
    </row>
    <row r="556" ht="15.75" customHeight="1">
      <c r="A556" s="1"/>
      <c r="B556" s="1"/>
      <c r="C556" s="1"/>
      <c r="D556" s="1"/>
      <c r="E556" s="1"/>
      <c r="F556" s="1"/>
      <c r="G556" s="1"/>
      <c r="H556" s="1"/>
      <c r="I556" s="1"/>
      <c r="J556" s="1"/>
      <c r="K556" s="1"/>
      <c r="L556" s="1"/>
      <c r="M556" s="1"/>
    </row>
    <row r="557" ht="15.75" customHeight="1">
      <c r="A557" s="1"/>
      <c r="B557" s="1"/>
      <c r="C557" s="1"/>
      <c r="D557" s="1"/>
      <c r="E557" s="1"/>
      <c r="F557" s="1"/>
      <c r="G557" s="1"/>
      <c r="H557" s="1"/>
      <c r="I557" s="1"/>
      <c r="J557" s="1"/>
      <c r="K557" s="1"/>
      <c r="L557" s="1"/>
      <c r="M557" s="1"/>
    </row>
    <row r="558" ht="15.75" customHeight="1">
      <c r="A558" s="1"/>
      <c r="B558" s="1"/>
      <c r="C558" s="1"/>
      <c r="D558" s="1"/>
      <c r="E558" s="1"/>
      <c r="F558" s="1"/>
      <c r="G558" s="1"/>
      <c r="H558" s="1"/>
      <c r="I558" s="1"/>
      <c r="J558" s="1"/>
      <c r="K558" s="1"/>
      <c r="L558" s="1"/>
      <c r="M558" s="1"/>
    </row>
    <row r="559" ht="15.75" customHeight="1">
      <c r="A559" s="1"/>
      <c r="B559" s="1"/>
      <c r="C559" s="1"/>
      <c r="D559" s="1"/>
      <c r="E559" s="1"/>
      <c r="F559" s="1"/>
      <c r="G559" s="1"/>
      <c r="H559" s="1"/>
      <c r="I559" s="1"/>
      <c r="J559" s="1"/>
      <c r="K559" s="1"/>
      <c r="L559" s="1"/>
      <c r="M559" s="1"/>
    </row>
    <row r="560" ht="15.75" customHeight="1">
      <c r="A560" s="1"/>
      <c r="B560" s="1"/>
      <c r="C560" s="1"/>
      <c r="D560" s="1"/>
      <c r="E560" s="1"/>
      <c r="F560" s="1"/>
      <c r="G560" s="1"/>
      <c r="H560" s="1"/>
      <c r="I560" s="1"/>
      <c r="J560" s="1"/>
      <c r="K560" s="1"/>
      <c r="L560" s="1"/>
      <c r="M560" s="1"/>
    </row>
    <row r="561" ht="15.75" customHeight="1">
      <c r="A561" s="1"/>
      <c r="B561" s="1"/>
      <c r="C561" s="1"/>
      <c r="D561" s="1"/>
      <c r="E561" s="1"/>
      <c r="F561" s="1"/>
      <c r="G561" s="1"/>
      <c r="H561" s="1"/>
      <c r="I561" s="1"/>
      <c r="J561" s="1"/>
      <c r="K561" s="1"/>
      <c r="L561" s="1"/>
      <c r="M561" s="1"/>
    </row>
    <row r="562" ht="15.75" customHeight="1">
      <c r="A562" s="1"/>
      <c r="B562" s="1"/>
      <c r="C562" s="1"/>
      <c r="D562" s="1"/>
      <c r="E562" s="1"/>
      <c r="F562" s="1"/>
      <c r="G562" s="1"/>
      <c r="H562" s="1"/>
      <c r="I562" s="1"/>
      <c r="J562" s="1"/>
      <c r="K562" s="1"/>
      <c r="L562" s="1"/>
      <c r="M562" s="1"/>
    </row>
    <row r="563" ht="15.75" customHeight="1">
      <c r="A563" s="1"/>
      <c r="B563" s="1"/>
      <c r="C563" s="1"/>
      <c r="D563" s="1"/>
      <c r="E563" s="1"/>
      <c r="F563" s="1"/>
      <c r="G563" s="1"/>
      <c r="H563" s="1"/>
      <c r="I563" s="1"/>
      <c r="J563" s="1"/>
      <c r="K563" s="1"/>
      <c r="L563" s="1"/>
      <c r="M563" s="1"/>
    </row>
    <row r="564" ht="15.75" customHeight="1">
      <c r="A564" s="1"/>
      <c r="B564" s="1"/>
      <c r="C564" s="1"/>
      <c r="D564" s="1"/>
      <c r="E564" s="1"/>
      <c r="F564" s="1"/>
      <c r="G564" s="1"/>
      <c r="H564" s="1"/>
      <c r="I564" s="1"/>
      <c r="J564" s="1"/>
      <c r="K564" s="1"/>
      <c r="L564" s="1"/>
      <c r="M564" s="1"/>
    </row>
    <row r="565" ht="15.75" customHeight="1">
      <c r="A565" s="1"/>
      <c r="B565" s="1"/>
      <c r="C565" s="1"/>
      <c r="D565" s="1"/>
      <c r="E565" s="1"/>
      <c r="F565" s="1"/>
      <c r="G565" s="1"/>
      <c r="H565" s="1"/>
      <c r="I565" s="1"/>
      <c r="J565" s="1"/>
      <c r="K565" s="1"/>
      <c r="L565" s="1"/>
      <c r="M565" s="1"/>
    </row>
    <row r="566" ht="15.75" customHeight="1">
      <c r="A566" s="1"/>
      <c r="B566" s="1"/>
      <c r="C566" s="1"/>
      <c r="D566" s="1"/>
      <c r="E566" s="1"/>
      <c r="F566" s="1"/>
      <c r="G566" s="1"/>
      <c r="H566" s="1"/>
      <c r="I566" s="1"/>
      <c r="J566" s="1"/>
      <c r="K566" s="1"/>
      <c r="L566" s="1"/>
      <c r="M566" s="1"/>
    </row>
    <row r="567" ht="15.75" customHeight="1">
      <c r="A567" s="1"/>
      <c r="B567" s="1"/>
      <c r="C567" s="1"/>
      <c r="D567" s="1"/>
      <c r="E567" s="1"/>
      <c r="F567" s="1"/>
      <c r="G567" s="1"/>
      <c r="H567" s="1"/>
      <c r="I567" s="1"/>
      <c r="J567" s="1"/>
      <c r="K567" s="1"/>
      <c r="L567" s="1"/>
      <c r="M567" s="1"/>
    </row>
    <row r="568" ht="15.75" customHeight="1">
      <c r="A568" s="1"/>
      <c r="B568" s="1"/>
      <c r="C568" s="1"/>
      <c r="D568" s="1"/>
      <c r="E568" s="1"/>
      <c r="F568" s="1"/>
      <c r="G568" s="1"/>
      <c r="H568" s="1"/>
      <c r="I568" s="1"/>
      <c r="J568" s="1"/>
      <c r="K568" s="1"/>
      <c r="L568" s="1"/>
      <c r="M568" s="1"/>
    </row>
    <row r="569" ht="15.75" customHeight="1">
      <c r="A569" s="1"/>
      <c r="B569" s="1"/>
      <c r="C569" s="1"/>
      <c r="D569" s="1"/>
      <c r="E569" s="1"/>
      <c r="F569" s="1"/>
      <c r="G569" s="1"/>
      <c r="H569" s="1"/>
      <c r="I569" s="1"/>
      <c r="J569" s="1"/>
      <c r="K569" s="1"/>
      <c r="L569" s="1"/>
      <c r="M569" s="1"/>
    </row>
    <row r="570" ht="15.75" customHeight="1">
      <c r="A570" s="1"/>
      <c r="B570" s="1"/>
      <c r="C570" s="1"/>
      <c r="D570" s="1"/>
      <c r="E570" s="1"/>
      <c r="F570" s="1"/>
      <c r="G570" s="1"/>
      <c r="H570" s="1"/>
      <c r="I570" s="1"/>
      <c r="J570" s="1"/>
      <c r="K570" s="1"/>
      <c r="L570" s="1"/>
      <c r="M570" s="1"/>
    </row>
    <row r="571" ht="15.75" customHeight="1">
      <c r="A571" s="1"/>
      <c r="B571" s="1"/>
      <c r="C571" s="1"/>
      <c r="D571" s="1"/>
      <c r="E571" s="1"/>
      <c r="F571" s="1"/>
      <c r="G571" s="1"/>
      <c r="H571" s="1"/>
      <c r="I571" s="1"/>
      <c r="J571" s="1"/>
      <c r="K571" s="1"/>
      <c r="L571" s="1"/>
      <c r="M571" s="1"/>
    </row>
    <row r="572" ht="15.75" customHeight="1">
      <c r="A572" s="1"/>
      <c r="B572" s="1"/>
      <c r="C572" s="1"/>
      <c r="D572" s="1"/>
      <c r="E572" s="1"/>
      <c r="F572" s="1"/>
      <c r="G572" s="1"/>
      <c r="H572" s="1"/>
      <c r="I572" s="1"/>
      <c r="J572" s="1"/>
      <c r="K572" s="1"/>
      <c r="L572" s="1"/>
      <c r="M572" s="1"/>
    </row>
    <row r="573" ht="15.75" customHeight="1">
      <c r="A573" s="1"/>
      <c r="B573" s="1"/>
      <c r="C573" s="1"/>
      <c r="D573" s="1"/>
      <c r="E573" s="1"/>
      <c r="F573" s="1"/>
      <c r="G573" s="1"/>
      <c r="H573" s="1"/>
      <c r="I573" s="1"/>
      <c r="J573" s="1"/>
      <c r="K573" s="1"/>
      <c r="L573" s="1"/>
      <c r="M573" s="1"/>
    </row>
    <row r="574" ht="15.75" customHeight="1">
      <c r="A574" s="1"/>
      <c r="B574" s="1"/>
      <c r="C574" s="1"/>
      <c r="D574" s="1"/>
      <c r="E574" s="1"/>
      <c r="F574" s="1"/>
      <c r="G574" s="1"/>
      <c r="H574" s="1"/>
      <c r="I574" s="1"/>
      <c r="J574" s="1"/>
      <c r="K574" s="1"/>
      <c r="L574" s="1"/>
      <c r="M574" s="1"/>
    </row>
    <row r="575" ht="15.75" customHeight="1">
      <c r="A575" s="1"/>
      <c r="B575" s="1"/>
      <c r="C575" s="1"/>
      <c r="D575" s="1"/>
      <c r="E575" s="1"/>
      <c r="F575" s="1"/>
      <c r="G575" s="1"/>
      <c r="H575" s="1"/>
      <c r="I575" s="1"/>
      <c r="J575" s="1"/>
      <c r="K575" s="1"/>
      <c r="L575" s="1"/>
      <c r="M575" s="1"/>
    </row>
    <row r="576" ht="15.75" customHeight="1">
      <c r="A576" s="1"/>
      <c r="B576" s="1"/>
      <c r="C576" s="1"/>
      <c r="D576" s="1"/>
      <c r="E576" s="1"/>
      <c r="F576" s="1"/>
      <c r="G576" s="1"/>
      <c r="H576" s="1"/>
      <c r="I576" s="1"/>
      <c r="J576" s="1"/>
      <c r="K576" s="1"/>
      <c r="L576" s="1"/>
      <c r="M576" s="1"/>
    </row>
    <row r="577" ht="15.75" customHeight="1">
      <c r="A577" s="1"/>
      <c r="B577" s="1"/>
      <c r="C577" s="1"/>
      <c r="D577" s="1"/>
      <c r="E577" s="1"/>
      <c r="F577" s="1"/>
      <c r="G577" s="1"/>
      <c r="H577" s="1"/>
      <c r="I577" s="1"/>
      <c r="J577" s="1"/>
      <c r="K577" s="1"/>
      <c r="L577" s="1"/>
      <c r="M577" s="1"/>
    </row>
    <row r="578" ht="15.75" customHeight="1">
      <c r="A578" s="1"/>
      <c r="B578" s="1"/>
      <c r="C578" s="1"/>
      <c r="D578" s="1"/>
      <c r="E578" s="1"/>
      <c r="F578" s="1"/>
      <c r="G578" s="1"/>
      <c r="H578" s="1"/>
      <c r="I578" s="1"/>
      <c r="J578" s="1"/>
      <c r="K578" s="1"/>
      <c r="L578" s="1"/>
      <c r="M578" s="1"/>
    </row>
    <row r="579" ht="15.75" customHeight="1">
      <c r="A579" s="1"/>
      <c r="B579" s="1"/>
      <c r="C579" s="1"/>
      <c r="D579" s="1"/>
      <c r="E579" s="1"/>
      <c r="F579" s="1"/>
      <c r="G579" s="1"/>
      <c r="H579" s="1"/>
      <c r="I579" s="1"/>
      <c r="J579" s="1"/>
      <c r="K579" s="1"/>
      <c r="L579" s="1"/>
      <c r="M579" s="1"/>
    </row>
    <row r="580" ht="15.75" customHeight="1">
      <c r="A580" s="1"/>
      <c r="B580" s="1"/>
      <c r="C580" s="1"/>
      <c r="D580" s="1"/>
      <c r="E580" s="1"/>
      <c r="F580" s="1"/>
      <c r="G580" s="1"/>
      <c r="H580" s="1"/>
      <c r="I580" s="1"/>
      <c r="J580" s="1"/>
      <c r="K580" s="1"/>
      <c r="L580" s="1"/>
      <c r="M580" s="1"/>
    </row>
    <row r="581" ht="15.75" customHeight="1">
      <c r="A581" s="1"/>
      <c r="B581" s="1"/>
      <c r="C581" s="1"/>
      <c r="D581" s="1"/>
      <c r="E581" s="1"/>
      <c r="F581" s="1"/>
      <c r="G581" s="1"/>
      <c r="H581" s="1"/>
      <c r="I581" s="1"/>
      <c r="J581" s="1"/>
      <c r="K581" s="1"/>
      <c r="L581" s="1"/>
      <c r="M581" s="1"/>
    </row>
    <row r="582" ht="15.75" customHeight="1">
      <c r="A582" s="1"/>
      <c r="B582" s="1"/>
      <c r="C582" s="1"/>
      <c r="D582" s="1"/>
      <c r="E582" s="1"/>
      <c r="F582" s="1"/>
      <c r="G582" s="1"/>
      <c r="H582" s="1"/>
      <c r="I582" s="1"/>
      <c r="J582" s="1"/>
      <c r="K582" s="1"/>
      <c r="L582" s="1"/>
      <c r="M582" s="1"/>
    </row>
    <row r="583" ht="15.75" customHeight="1">
      <c r="A583" s="1"/>
      <c r="B583" s="1"/>
      <c r="C583" s="1"/>
      <c r="D583" s="1"/>
      <c r="E583" s="1"/>
      <c r="F583" s="1"/>
      <c r="G583" s="1"/>
      <c r="H583" s="1"/>
      <c r="I583" s="1"/>
      <c r="J583" s="1"/>
      <c r="K583" s="1"/>
      <c r="L583" s="1"/>
      <c r="M583" s="1"/>
    </row>
    <row r="584" ht="15.75" customHeight="1">
      <c r="A584" s="1"/>
      <c r="B584" s="1"/>
      <c r="C584" s="1"/>
      <c r="D584" s="1"/>
      <c r="E584" s="1"/>
      <c r="F584" s="1"/>
      <c r="G584" s="1"/>
      <c r="H584" s="1"/>
      <c r="I584" s="1"/>
      <c r="J584" s="1"/>
      <c r="K584" s="1"/>
      <c r="L584" s="1"/>
      <c r="M584" s="1"/>
    </row>
    <row r="585" ht="15.75" customHeight="1">
      <c r="A585" s="1"/>
      <c r="B585" s="1"/>
      <c r="C585" s="1"/>
      <c r="D585" s="1"/>
      <c r="E585" s="1"/>
      <c r="F585" s="1"/>
      <c r="G585" s="1"/>
      <c r="H585" s="1"/>
      <c r="I585" s="1"/>
      <c r="J585" s="1"/>
      <c r="K585" s="1"/>
      <c r="L585" s="1"/>
      <c r="M585" s="1"/>
    </row>
    <row r="586" ht="15.75" customHeight="1">
      <c r="A586" s="1"/>
      <c r="B586" s="1"/>
      <c r="C586" s="1"/>
      <c r="D586" s="1"/>
      <c r="E586" s="1"/>
      <c r="F586" s="1"/>
      <c r="G586" s="1"/>
      <c r="H586" s="1"/>
      <c r="I586" s="1"/>
      <c r="J586" s="1"/>
      <c r="K586" s="1"/>
      <c r="L586" s="1"/>
      <c r="M586" s="1"/>
    </row>
    <row r="587" ht="15.75" customHeight="1">
      <c r="A587" s="1"/>
      <c r="B587" s="1"/>
      <c r="C587" s="1"/>
      <c r="D587" s="1"/>
      <c r="E587" s="1"/>
      <c r="F587" s="1"/>
      <c r="G587" s="1"/>
      <c r="H587" s="1"/>
      <c r="I587" s="1"/>
      <c r="J587" s="1"/>
      <c r="K587" s="1"/>
      <c r="L587" s="1"/>
      <c r="M587" s="1"/>
    </row>
    <row r="588" ht="15.75" customHeight="1">
      <c r="A588" s="1"/>
      <c r="B588" s="1"/>
      <c r="C588" s="1"/>
      <c r="D588" s="1"/>
      <c r="E588" s="1"/>
      <c r="F588" s="1"/>
      <c r="G588" s="1"/>
      <c r="H588" s="1"/>
      <c r="I588" s="1"/>
      <c r="J588" s="1"/>
      <c r="K588" s="1"/>
      <c r="L588" s="1"/>
      <c r="M588" s="1"/>
    </row>
    <row r="589" ht="15.75" customHeight="1">
      <c r="A589" s="1"/>
      <c r="B589" s="1"/>
      <c r="C589" s="1"/>
      <c r="D589" s="1"/>
      <c r="E589" s="1"/>
      <c r="F589" s="1"/>
      <c r="G589" s="1"/>
      <c r="H589" s="1"/>
      <c r="I589" s="1"/>
      <c r="J589" s="1"/>
      <c r="K589" s="1"/>
      <c r="L589" s="1"/>
      <c r="M589" s="1"/>
    </row>
    <row r="590" ht="15.75" customHeight="1">
      <c r="A590" s="1"/>
      <c r="B590" s="1"/>
      <c r="C590" s="1"/>
      <c r="D590" s="1"/>
      <c r="E590" s="1"/>
      <c r="F590" s="1"/>
      <c r="G590" s="1"/>
      <c r="H590" s="1"/>
      <c r="I590" s="1"/>
      <c r="J590" s="1"/>
      <c r="K590" s="1"/>
      <c r="L590" s="1"/>
      <c r="M590" s="1"/>
    </row>
    <row r="591" ht="15.75" customHeight="1">
      <c r="A591" s="1"/>
      <c r="B591" s="1"/>
      <c r="C591" s="1"/>
      <c r="D591" s="1"/>
      <c r="E591" s="1"/>
      <c r="F591" s="1"/>
      <c r="G591" s="1"/>
      <c r="H591" s="1"/>
      <c r="I591" s="1"/>
      <c r="J591" s="1"/>
      <c r="K591" s="1"/>
      <c r="L591" s="1"/>
      <c r="M591" s="1"/>
    </row>
    <row r="592" ht="15.75" customHeight="1">
      <c r="A592" s="1"/>
      <c r="B592" s="1"/>
      <c r="C592" s="1"/>
      <c r="D592" s="1"/>
      <c r="E592" s="1"/>
      <c r="F592" s="1"/>
      <c r="G592" s="1"/>
      <c r="H592" s="1"/>
      <c r="I592" s="1"/>
      <c r="J592" s="1"/>
      <c r="K592" s="1"/>
      <c r="L592" s="1"/>
      <c r="M592" s="1"/>
    </row>
    <row r="593" ht="15.75" customHeight="1">
      <c r="A593" s="1"/>
      <c r="B593" s="1"/>
      <c r="C593" s="1"/>
      <c r="D593" s="1"/>
      <c r="E593" s="1"/>
      <c r="F593" s="1"/>
      <c r="G593" s="1"/>
      <c r="H593" s="1"/>
      <c r="I593" s="1"/>
      <c r="J593" s="1"/>
      <c r="K593" s="1"/>
      <c r="L593" s="1"/>
      <c r="M593" s="1"/>
    </row>
    <row r="594" ht="15.75" customHeight="1">
      <c r="A594" s="1"/>
      <c r="B594" s="1"/>
      <c r="C594" s="1"/>
      <c r="D594" s="1"/>
      <c r="E594" s="1"/>
      <c r="F594" s="1"/>
      <c r="G594" s="1"/>
      <c r="H594" s="1"/>
      <c r="I594" s="1"/>
      <c r="J594" s="1"/>
      <c r="K594" s="1"/>
      <c r="L594" s="1"/>
      <c r="M594" s="1"/>
    </row>
    <row r="595" ht="15.75" customHeight="1">
      <c r="A595" s="1"/>
      <c r="B595" s="1"/>
      <c r="C595" s="1"/>
      <c r="D595" s="1"/>
      <c r="E595" s="1"/>
      <c r="F595" s="1"/>
      <c r="G595" s="1"/>
      <c r="H595" s="1"/>
      <c r="I595" s="1"/>
      <c r="J595" s="1"/>
      <c r="K595" s="1"/>
      <c r="L595" s="1"/>
      <c r="M595" s="1"/>
    </row>
    <row r="596" ht="15.75" customHeight="1">
      <c r="A596" s="1"/>
      <c r="B596" s="1"/>
      <c r="C596" s="1"/>
      <c r="D596" s="1"/>
      <c r="E596" s="1"/>
      <c r="F596" s="1"/>
      <c r="G596" s="1"/>
      <c r="H596" s="1"/>
      <c r="I596" s="1"/>
      <c r="J596" s="1"/>
      <c r="K596" s="1"/>
      <c r="L596" s="1"/>
      <c r="M596" s="1"/>
    </row>
    <row r="597" ht="15.75" customHeight="1">
      <c r="A597" s="1"/>
      <c r="B597" s="1"/>
      <c r="C597" s="1"/>
      <c r="D597" s="1"/>
      <c r="E597" s="1"/>
      <c r="F597" s="1"/>
      <c r="G597" s="1"/>
      <c r="H597" s="1"/>
      <c r="I597" s="1"/>
      <c r="J597" s="1"/>
      <c r="K597" s="1"/>
      <c r="L597" s="1"/>
      <c r="M597" s="1"/>
    </row>
    <row r="598" ht="15.75" customHeight="1">
      <c r="A598" s="1"/>
      <c r="B598" s="1"/>
      <c r="C598" s="1"/>
      <c r="D598" s="1"/>
      <c r="E598" s="1"/>
      <c r="F598" s="1"/>
      <c r="G598" s="1"/>
      <c r="H598" s="1"/>
      <c r="I598" s="1"/>
      <c r="J598" s="1"/>
      <c r="K598" s="1"/>
      <c r="L598" s="1"/>
      <c r="M598" s="1"/>
    </row>
    <row r="599" ht="15.75" customHeight="1">
      <c r="A599" s="1"/>
      <c r="B599" s="1"/>
      <c r="C599" s="1"/>
      <c r="D599" s="1"/>
      <c r="E599" s="1"/>
      <c r="F599" s="1"/>
      <c r="G599" s="1"/>
      <c r="H599" s="1"/>
      <c r="I599" s="1"/>
      <c r="J599" s="1"/>
      <c r="K599" s="1"/>
      <c r="L599" s="1"/>
      <c r="M599" s="1"/>
    </row>
    <row r="600" ht="15.75" customHeight="1">
      <c r="A600" s="1"/>
      <c r="B600" s="1"/>
      <c r="C600" s="1"/>
      <c r="D600" s="1"/>
      <c r="E600" s="1"/>
      <c r="F600" s="1"/>
      <c r="G600" s="1"/>
      <c r="H600" s="1"/>
      <c r="I600" s="1"/>
      <c r="J600" s="1"/>
      <c r="K600" s="1"/>
      <c r="L600" s="1"/>
      <c r="M600" s="1"/>
    </row>
    <row r="601" ht="15.75" customHeight="1">
      <c r="A601" s="1"/>
      <c r="B601" s="1"/>
      <c r="C601" s="1"/>
      <c r="D601" s="1"/>
      <c r="E601" s="1"/>
      <c r="F601" s="1"/>
      <c r="G601" s="1"/>
      <c r="H601" s="1"/>
      <c r="I601" s="1"/>
      <c r="J601" s="1"/>
      <c r="K601" s="1"/>
      <c r="L601" s="1"/>
      <c r="M601" s="1"/>
    </row>
    <row r="602" ht="15.75" customHeight="1">
      <c r="A602" s="1"/>
      <c r="B602" s="1"/>
      <c r="C602" s="1"/>
      <c r="D602" s="1"/>
      <c r="E602" s="1"/>
      <c r="F602" s="1"/>
      <c r="G602" s="1"/>
      <c r="H602" s="1"/>
      <c r="I602" s="1"/>
      <c r="J602" s="1"/>
      <c r="K602" s="1"/>
      <c r="L602" s="1"/>
      <c r="M602" s="1"/>
    </row>
    <row r="603" ht="15.75" customHeight="1">
      <c r="A603" s="1"/>
      <c r="B603" s="1"/>
      <c r="C603" s="1"/>
      <c r="D603" s="1"/>
      <c r="E603" s="1"/>
      <c r="F603" s="1"/>
      <c r="G603" s="1"/>
      <c r="H603" s="1"/>
      <c r="I603" s="1"/>
      <c r="J603" s="1"/>
      <c r="K603" s="1"/>
      <c r="L603" s="1"/>
      <c r="M603" s="1"/>
    </row>
    <row r="604" ht="15.75" customHeight="1">
      <c r="A604" s="1"/>
      <c r="B604" s="1"/>
      <c r="C604" s="1"/>
      <c r="D604" s="1"/>
      <c r="E604" s="1"/>
      <c r="F604" s="1"/>
      <c r="G604" s="1"/>
      <c r="H604" s="1"/>
      <c r="I604" s="1"/>
      <c r="J604" s="1"/>
      <c r="K604" s="1"/>
      <c r="L604" s="1"/>
      <c r="M604" s="1"/>
    </row>
    <row r="605" ht="15.75" customHeight="1">
      <c r="A605" s="1"/>
      <c r="B605" s="1"/>
      <c r="C605" s="1"/>
      <c r="D605" s="1"/>
      <c r="E605" s="1"/>
      <c r="F605" s="1"/>
      <c r="G605" s="1"/>
      <c r="H605" s="1"/>
      <c r="I605" s="1"/>
      <c r="J605" s="1"/>
      <c r="K605" s="1"/>
      <c r="L605" s="1"/>
      <c r="M605" s="1"/>
    </row>
    <row r="606" ht="15.75" customHeight="1">
      <c r="A606" s="1"/>
      <c r="B606" s="1"/>
      <c r="C606" s="1"/>
      <c r="D606" s="1"/>
      <c r="E606" s="1"/>
      <c r="F606" s="1"/>
      <c r="G606" s="1"/>
      <c r="H606" s="1"/>
      <c r="I606" s="1"/>
      <c r="J606" s="1"/>
      <c r="K606" s="1"/>
      <c r="L606" s="1"/>
      <c r="M606" s="1"/>
    </row>
    <row r="607" ht="15.75" customHeight="1">
      <c r="A607" s="1"/>
      <c r="B607" s="1"/>
      <c r="C607" s="1"/>
      <c r="D607" s="1"/>
      <c r="E607" s="1"/>
      <c r="F607" s="1"/>
      <c r="G607" s="1"/>
      <c r="H607" s="1"/>
      <c r="I607" s="1"/>
      <c r="J607" s="1"/>
      <c r="K607" s="1"/>
      <c r="L607" s="1"/>
      <c r="M607" s="1"/>
    </row>
    <row r="608" ht="15.75" customHeight="1">
      <c r="A608" s="1"/>
      <c r="B608" s="1"/>
      <c r="C608" s="1"/>
      <c r="D608" s="1"/>
      <c r="E608" s="1"/>
      <c r="F608" s="1"/>
      <c r="G608" s="1"/>
      <c r="H608" s="1"/>
      <c r="I608" s="1"/>
      <c r="J608" s="1"/>
      <c r="K608" s="1"/>
      <c r="L608" s="1"/>
      <c r="M608" s="1"/>
    </row>
    <row r="609" ht="15.75" customHeight="1">
      <c r="A609" s="1"/>
      <c r="B609" s="1"/>
      <c r="C609" s="1"/>
      <c r="D609" s="1"/>
      <c r="E609" s="1"/>
      <c r="F609" s="1"/>
      <c r="G609" s="1"/>
      <c r="H609" s="1"/>
      <c r="I609" s="1"/>
      <c r="J609" s="1"/>
      <c r="K609" s="1"/>
      <c r="L609" s="1"/>
      <c r="M609" s="1"/>
    </row>
    <row r="610" ht="15.75" customHeight="1">
      <c r="A610" s="1"/>
      <c r="B610" s="1"/>
      <c r="C610" s="1"/>
      <c r="D610" s="1"/>
      <c r="E610" s="1"/>
      <c r="F610" s="1"/>
      <c r="G610" s="1"/>
      <c r="H610" s="1"/>
      <c r="I610" s="1"/>
      <c r="J610" s="1"/>
      <c r="K610" s="1"/>
      <c r="L610" s="1"/>
      <c r="M610" s="1"/>
    </row>
    <row r="611" ht="15.75" customHeight="1">
      <c r="A611" s="1"/>
      <c r="B611" s="1"/>
      <c r="C611" s="1"/>
      <c r="D611" s="1"/>
      <c r="E611" s="1"/>
      <c r="F611" s="1"/>
      <c r="G611" s="1"/>
      <c r="H611" s="1"/>
      <c r="I611" s="1"/>
      <c r="J611" s="1"/>
      <c r="K611" s="1"/>
      <c r="L611" s="1"/>
      <c r="M611" s="1"/>
    </row>
    <row r="612" ht="15.75" customHeight="1">
      <c r="A612" s="1"/>
      <c r="B612" s="1"/>
      <c r="C612" s="1"/>
      <c r="D612" s="1"/>
      <c r="E612" s="1"/>
      <c r="F612" s="1"/>
      <c r="G612" s="1"/>
      <c r="H612" s="1"/>
      <c r="I612" s="1"/>
      <c r="J612" s="1"/>
      <c r="K612" s="1"/>
      <c r="L612" s="1"/>
      <c r="M612" s="1"/>
    </row>
    <row r="613" ht="15.75" customHeight="1">
      <c r="A613" s="1"/>
      <c r="B613" s="1"/>
      <c r="C613" s="1"/>
      <c r="D613" s="1"/>
      <c r="E613" s="1"/>
      <c r="F613" s="1"/>
      <c r="G613" s="1"/>
      <c r="H613" s="1"/>
      <c r="I613" s="1"/>
      <c r="J613" s="1"/>
      <c r="K613" s="1"/>
      <c r="L613" s="1"/>
      <c r="M613" s="1"/>
    </row>
    <row r="614" ht="15.75" customHeight="1">
      <c r="A614" s="1"/>
      <c r="B614" s="1"/>
      <c r="C614" s="1"/>
      <c r="D614" s="1"/>
      <c r="E614" s="1"/>
      <c r="F614" s="1"/>
      <c r="G614" s="1"/>
      <c r="H614" s="1"/>
      <c r="I614" s="1"/>
      <c r="J614" s="1"/>
      <c r="K614" s="1"/>
      <c r="L614" s="1"/>
      <c r="M614" s="1"/>
    </row>
    <row r="615" ht="15.75" customHeight="1">
      <c r="A615" s="1"/>
      <c r="B615" s="1"/>
      <c r="C615" s="1"/>
      <c r="D615" s="1"/>
      <c r="E615" s="1"/>
      <c r="F615" s="1"/>
      <c r="G615" s="1"/>
      <c r="H615" s="1"/>
      <c r="I615" s="1"/>
      <c r="J615" s="1"/>
      <c r="K615" s="1"/>
      <c r="L615" s="1"/>
      <c r="M615" s="1"/>
    </row>
    <row r="616" ht="15.75" customHeight="1">
      <c r="A616" s="1"/>
      <c r="B616" s="1"/>
      <c r="C616" s="1"/>
      <c r="D616" s="1"/>
      <c r="E616" s="1"/>
      <c r="F616" s="1"/>
      <c r="G616" s="1"/>
      <c r="H616" s="1"/>
      <c r="I616" s="1"/>
      <c r="J616" s="1"/>
      <c r="K616" s="1"/>
      <c r="L616" s="1"/>
      <c r="M616" s="1"/>
    </row>
    <row r="617" ht="15.75" customHeight="1">
      <c r="A617" s="1"/>
      <c r="B617" s="1"/>
      <c r="C617" s="1"/>
      <c r="D617" s="1"/>
      <c r="E617" s="1"/>
      <c r="F617" s="1"/>
      <c r="G617" s="1"/>
      <c r="H617" s="1"/>
      <c r="I617" s="1"/>
      <c r="J617" s="1"/>
      <c r="K617" s="1"/>
      <c r="L617" s="1"/>
      <c r="M617" s="1"/>
    </row>
    <row r="618" ht="15.75" customHeight="1">
      <c r="A618" s="1"/>
      <c r="B618" s="1"/>
      <c r="C618" s="1"/>
      <c r="D618" s="1"/>
      <c r="E618" s="1"/>
      <c r="F618" s="1"/>
      <c r="G618" s="1"/>
      <c r="H618" s="1"/>
      <c r="I618" s="1"/>
      <c r="J618" s="1"/>
      <c r="K618" s="1"/>
      <c r="L618" s="1"/>
      <c r="M618" s="1"/>
    </row>
    <row r="619" ht="15.75" customHeight="1">
      <c r="A619" s="1"/>
      <c r="B619" s="1"/>
      <c r="C619" s="1"/>
      <c r="D619" s="1"/>
      <c r="E619" s="1"/>
      <c r="F619" s="1"/>
      <c r="G619" s="1"/>
      <c r="H619" s="1"/>
      <c r="I619" s="1"/>
      <c r="J619" s="1"/>
      <c r="K619" s="1"/>
      <c r="L619" s="1"/>
      <c r="M619" s="1"/>
    </row>
    <row r="620" ht="15.75" customHeight="1">
      <c r="A620" s="1"/>
      <c r="B620" s="1"/>
      <c r="C620" s="1"/>
      <c r="D620" s="1"/>
      <c r="E620" s="1"/>
      <c r="F620" s="1"/>
      <c r="G620" s="1"/>
      <c r="H620" s="1"/>
      <c r="I620" s="1"/>
      <c r="J620" s="1"/>
      <c r="K620" s="1"/>
      <c r="L620" s="1"/>
      <c r="M620" s="1"/>
    </row>
    <row r="621" ht="15.75" customHeight="1">
      <c r="A621" s="1"/>
      <c r="B621" s="1"/>
      <c r="C621" s="1"/>
      <c r="D621" s="1"/>
      <c r="E621" s="1"/>
      <c r="F621" s="1"/>
      <c r="G621" s="1"/>
      <c r="H621" s="1"/>
      <c r="I621" s="1"/>
      <c r="J621" s="1"/>
      <c r="K621" s="1"/>
      <c r="L621" s="1"/>
      <c r="M621" s="1"/>
    </row>
    <row r="622" ht="15.75" customHeight="1">
      <c r="A622" s="1"/>
      <c r="B622" s="1"/>
      <c r="C622" s="1"/>
      <c r="D622" s="1"/>
      <c r="E622" s="1"/>
      <c r="F622" s="1"/>
      <c r="G622" s="1"/>
      <c r="H622" s="1"/>
      <c r="I622" s="1"/>
      <c r="J622" s="1"/>
      <c r="K622" s="1"/>
      <c r="L622" s="1"/>
      <c r="M622" s="1"/>
    </row>
    <row r="623" ht="15.75" customHeight="1">
      <c r="A623" s="1"/>
      <c r="B623" s="1"/>
      <c r="C623" s="1"/>
      <c r="D623" s="1"/>
      <c r="E623" s="1"/>
      <c r="F623" s="1"/>
      <c r="G623" s="1"/>
      <c r="H623" s="1"/>
      <c r="I623" s="1"/>
      <c r="J623" s="1"/>
      <c r="K623" s="1"/>
      <c r="L623" s="1"/>
      <c r="M623" s="1"/>
    </row>
    <row r="624" ht="15.75" customHeight="1">
      <c r="A624" s="1"/>
      <c r="B624" s="1"/>
      <c r="C624" s="1"/>
      <c r="D624" s="1"/>
      <c r="E624" s="1"/>
      <c r="F624" s="1"/>
      <c r="G624" s="1"/>
      <c r="H624" s="1"/>
      <c r="I624" s="1"/>
      <c r="J624" s="1"/>
      <c r="K624" s="1"/>
      <c r="L624" s="1"/>
      <c r="M624" s="1"/>
    </row>
    <row r="625" ht="15.75" customHeight="1">
      <c r="A625" s="1"/>
      <c r="B625" s="1"/>
      <c r="C625" s="1"/>
      <c r="D625" s="1"/>
      <c r="E625" s="1"/>
      <c r="F625" s="1"/>
      <c r="G625" s="1"/>
      <c r="H625" s="1"/>
      <c r="I625" s="1"/>
      <c r="J625" s="1"/>
      <c r="K625" s="1"/>
      <c r="L625" s="1"/>
      <c r="M625" s="1"/>
    </row>
    <row r="626" ht="15.75" customHeight="1">
      <c r="A626" s="1"/>
      <c r="B626" s="1"/>
      <c r="C626" s="1"/>
      <c r="D626" s="1"/>
      <c r="E626" s="1"/>
      <c r="F626" s="1"/>
      <c r="G626" s="1"/>
      <c r="H626" s="1"/>
      <c r="I626" s="1"/>
      <c r="J626" s="1"/>
      <c r="K626" s="1"/>
      <c r="L626" s="1"/>
      <c r="M626" s="1"/>
    </row>
    <row r="627" ht="15.75" customHeight="1">
      <c r="A627" s="1"/>
      <c r="B627" s="1"/>
      <c r="C627" s="1"/>
      <c r="D627" s="1"/>
      <c r="E627" s="1"/>
      <c r="F627" s="1"/>
      <c r="G627" s="1"/>
      <c r="H627" s="1"/>
      <c r="I627" s="1"/>
      <c r="J627" s="1"/>
      <c r="K627" s="1"/>
      <c r="L627" s="1"/>
      <c r="M627" s="1"/>
    </row>
    <row r="628" ht="15.75" customHeight="1">
      <c r="A628" s="1"/>
      <c r="B628" s="1"/>
      <c r="C628" s="1"/>
      <c r="D628" s="1"/>
      <c r="E628" s="1"/>
      <c r="F628" s="1"/>
      <c r="G628" s="1"/>
      <c r="H628" s="1"/>
      <c r="I628" s="1"/>
      <c r="J628" s="1"/>
      <c r="K628" s="1"/>
      <c r="L628" s="1"/>
      <c r="M628" s="1"/>
    </row>
    <row r="629" ht="15.75" customHeight="1">
      <c r="A629" s="1"/>
      <c r="B629" s="1"/>
      <c r="C629" s="1"/>
      <c r="D629" s="1"/>
      <c r="E629" s="1"/>
      <c r="F629" s="1"/>
      <c r="G629" s="1"/>
      <c r="H629" s="1"/>
      <c r="I629" s="1"/>
      <c r="J629" s="1"/>
      <c r="K629" s="1"/>
      <c r="L629" s="1"/>
      <c r="M629" s="1"/>
    </row>
    <row r="630" ht="15.75" customHeight="1">
      <c r="A630" s="1"/>
      <c r="B630" s="1"/>
      <c r="C630" s="1"/>
      <c r="D630" s="1"/>
      <c r="E630" s="1"/>
      <c r="F630" s="1"/>
      <c r="G630" s="1"/>
      <c r="H630" s="1"/>
      <c r="I630" s="1"/>
      <c r="J630" s="1"/>
      <c r="K630" s="1"/>
      <c r="L630" s="1"/>
      <c r="M630" s="1"/>
    </row>
    <row r="631" ht="15.75" customHeight="1">
      <c r="A631" s="1"/>
      <c r="B631" s="1"/>
      <c r="C631" s="1"/>
      <c r="D631" s="1"/>
      <c r="E631" s="1"/>
      <c r="F631" s="1"/>
      <c r="G631" s="1"/>
      <c r="H631" s="1"/>
      <c r="I631" s="1"/>
      <c r="J631" s="1"/>
      <c r="K631" s="1"/>
      <c r="L631" s="1"/>
      <c r="M631" s="1"/>
    </row>
    <row r="632" ht="15.75" customHeight="1">
      <c r="A632" s="1"/>
      <c r="B632" s="1"/>
      <c r="C632" s="1"/>
      <c r="D632" s="1"/>
      <c r="E632" s="1"/>
      <c r="F632" s="1"/>
      <c r="G632" s="1"/>
      <c r="H632" s="1"/>
      <c r="I632" s="1"/>
      <c r="J632" s="1"/>
      <c r="K632" s="1"/>
      <c r="L632" s="1"/>
      <c r="M632" s="1"/>
    </row>
    <row r="633" ht="15.75" customHeight="1">
      <c r="A633" s="1"/>
      <c r="B633" s="1"/>
      <c r="C633" s="1"/>
      <c r="D633" s="1"/>
      <c r="E633" s="1"/>
      <c r="F633" s="1"/>
      <c r="G633" s="1"/>
      <c r="H633" s="1"/>
      <c r="I633" s="1"/>
      <c r="J633" s="1"/>
      <c r="K633" s="1"/>
      <c r="L633" s="1"/>
      <c r="M633" s="1"/>
    </row>
    <row r="634" ht="15.75" customHeight="1">
      <c r="A634" s="1"/>
      <c r="B634" s="1"/>
      <c r="C634" s="1"/>
      <c r="D634" s="1"/>
      <c r="E634" s="1"/>
      <c r="F634" s="1"/>
      <c r="G634" s="1"/>
      <c r="H634" s="1"/>
      <c r="I634" s="1"/>
      <c r="J634" s="1"/>
      <c r="K634" s="1"/>
      <c r="L634" s="1"/>
      <c r="M634" s="1"/>
    </row>
    <row r="635" ht="15.75" customHeight="1">
      <c r="A635" s="1"/>
      <c r="B635" s="1"/>
      <c r="C635" s="1"/>
      <c r="D635" s="1"/>
      <c r="E635" s="1"/>
      <c r="F635" s="1"/>
      <c r="G635" s="1"/>
      <c r="H635" s="1"/>
      <c r="I635" s="1"/>
      <c r="J635" s="1"/>
      <c r="K635" s="1"/>
      <c r="L635" s="1"/>
      <c r="M635" s="1"/>
    </row>
    <row r="636" ht="15.75" customHeight="1">
      <c r="A636" s="1"/>
      <c r="B636" s="1"/>
      <c r="C636" s="1"/>
      <c r="D636" s="1"/>
      <c r="E636" s="1"/>
      <c r="F636" s="1"/>
      <c r="G636" s="1"/>
      <c r="H636" s="1"/>
      <c r="I636" s="1"/>
      <c r="J636" s="1"/>
      <c r="K636" s="1"/>
      <c r="L636" s="1"/>
      <c r="M636" s="1"/>
    </row>
    <row r="637" ht="15.75" customHeight="1">
      <c r="A637" s="1"/>
      <c r="B637" s="1"/>
      <c r="C637" s="1"/>
      <c r="D637" s="1"/>
      <c r="E637" s="1"/>
      <c r="F637" s="1"/>
      <c r="G637" s="1"/>
      <c r="H637" s="1"/>
      <c r="I637" s="1"/>
      <c r="J637" s="1"/>
      <c r="K637" s="1"/>
      <c r="L637" s="1"/>
      <c r="M637" s="1"/>
    </row>
    <row r="638" ht="15.75" customHeight="1">
      <c r="A638" s="1"/>
      <c r="B638" s="1"/>
      <c r="C638" s="1"/>
      <c r="D638" s="1"/>
      <c r="E638" s="1"/>
      <c r="F638" s="1"/>
      <c r="G638" s="1"/>
      <c r="H638" s="1"/>
      <c r="I638" s="1"/>
      <c r="J638" s="1"/>
      <c r="K638" s="1"/>
      <c r="L638" s="1"/>
      <c r="M638" s="1"/>
    </row>
    <row r="639" ht="15.75" customHeight="1">
      <c r="A639" s="1"/>
      <c r="B639" s="1"/>
      <c r="C639" s="1"/>
      <c r="D639" s="1"/>
      <c r="E639" s="1"/>
      <c r="F639" s="1"/>
      <c r="G639" s="1"/>
      <c r="H639" s="1"/>
      <c r="I639" s="1"/>
      <c r="J639" s="1"/>
      <c r="K639" s="1"/>
      <c r="L639" s="1"/>
      <c r="M639" s="1"/>
    </row>
    <row r="640" ht="15.75" customHeight="1">
      <c r="A640" s="1"/>
      <c r="B640" s="1"/>
      <c r="C640" s="1"/>
      <c r="D640" s="1"/>
      <c r="E640" s="1"/>
      <c r="F640" s="1"/>
      <c r="G640" s="1"/>
      <c r="H640" s="1"/>
      <c r="I640" s="1"/>
      <c r="J640" s="1"/>
      <c r="K640" s="1"/>
      <c r="L640" s="1"/>
      <c r="M640" s="1"/>
    </row>
    <row r="641" ht="15.75" customHeight="1">
      <c r="A641" s="1"/>
      <c r="B641" s="1"/>
      <c r="C641" s="1"/>
      <c r="D641" s="1"/>
      <c r="E641" s="1"/>
      <c r="F641" s="1"/>
      <c r="G641" s="1"/>
      <c r="H641" s="1"/>
      <c r="I641" s="1"/>
      <c r="J641" s="1"/>
      <c r="K641" s="1"/>
      <c r="L641" s="1"/>
      <c r="M641" s="1"/>
    </row>
    <row r="642" ht="15.75" customHeight="1">
      <c r="A642" s="1"/>
      <c r="B642" s="1"/>
      <c r="C642" s="1"/>
      <c r="D642" s="1"/>
      <c r="E642" s="1"/>
      <c r="F642" s="1"/>
      <c r="G642" s="1"/>
      <c r="H642" s="1"/>
      <c r="I642" s="1"/>
      <c r="J642" s="1"/>
      <c r="K642" s="1"/>
      <c r="L642" s="1"/>
      <c r="M642" s="1"/>
    </row>
    <row r="643" ht="15.75" customHeight="1">
      <c r="A643" s="1"/>
      <c r="B643" s="1"/>
      <c r="C643" s="1"/>
      <c r="D643" s="1"/>
      <c r="E643" s="1"/>
      <c r="F643" s="1"/>
      <c r="G643" s="1"/>
      <c r="H643" s="1"/>
      <c r="I643" s="1"/>
      <c r="J643" s="1"/>
      <c r="K643" s="1"/>
      <c r="L643" s="1"/>
      <c r="M643" s="1"/>
    </row>
    <row r="644" ht="15.75" customHeight="1">
      <c r="A644" s="1"/>
      <c r="B644" s="1"/>
      <c r="C644" s="1"/>
      <c r="D644" s="1"/>
      <c r="E644" s="1"/>
      <c r="F644" s="1"/>
      <c r="G644" s="1"/>
      <c r="H644" s="1"/>
      <c r="I644" s="1"/>
      <c r="J644" s="1"/>
      <c r="K644" s="1"/>
      <c r="L644" s="1"/>
      <c r="M644" s="1"/>
    </row>
    <row r="645" ht="15.75" customHeight="1">
      <c r="A645" s="1"/>
      <c r="B645" s="1"/>
      <c r="C645" s="1"/>
      <c r="D645" s="1"/>
      <c r="E645" s="1"/>
      <c r="F645" s="1"/>
      <c r="G645" s="1"/>
      <c r="H645" s="1"/>
      <c r="I645" s="1"/>
      <c r="J645" s="1"/>
      <c r="K645" s="1"/>
      <c r="L645" s="1"/>
      <c r="M645" s="1"/>
    </row>
    <row r="646" ht="15.75" customHeight="1">
      <c r="A646" s="1"/>
      <c r="B646" s="1"/>
      <c r="C646" s="1"/>
      <c r="D646" s="1"/>
      <c r="E646" s="1"/>
      <c r="F646" s="1"/>
      <c r="G646" s="1"/>
      <c r="H646" s="1"/>
      <c r="I646" s="1"/>
      <c r="J646" s="1"/>
      <c r="K646" s="1"/>
      <c r="L646" s="1"/>
      <c r="M646" s="1"/>
    </row>
    <row r="647" ht="15.75" customHeight="1">
      <c r="A647" s="1"/>
      <c r="B647" s="1"/>
      <c r="C647" s="1"/>
      <c r="D647" s="1"/>
      <c r="E647" s="1"/>
      <c r="F647" s="1"/>
      <c r="G647" s="1"/>
      <c r="H647" s="1"/>
      <c r="I647" s="1"/>
      <c r="J647" s="1"/>
      <c r="K647" s="1"/>
      <c r="L647" s="1"/>
      <c r="M647" s="1"/>
    </row>
    <row r="648" ht="15.75" customHeight="1">
      <c r="A648" s="1"/>
      <c r="B648" s="1"/>
      <c r="C648" s="1"/>
      <c r="D648" s="1"/>
      <c r="E648" s="1"/>
      <c r="F648" s="1"/>
      <c r="G648" s="1"/>
      <c r="H648" s="1"/>
      <c r="I648" s="1"/>
      <c r="J648" s="1"/>
      <c r="K648" s="1"/>
      <c r="L648" s="1"/>
      <c r="M648" s="1"/>
    </row>
    <row r="649" ht="15.75" customHeight="1">
      <c r="A649" s="1"/>
      <c r="B649" s="1"/>
      <c r="C649" s="1"/>
      <c r="D649" s="1"/>
      <c r="E649" s="1"/>
      <c r="F649" s="1"/>
      <c r="G649" s="1"/>
      <c r="H649" s="1"/>
      <c r="I649" s="1"/>
      <c r="J649" s="1"/>
      <c r="K649" s="1"/>
      <c r="L649" s="1"/>
      <c r="M649" s="1"/>
    </row>
    <row r="650" ht="15.75" customHeight="1">
      <c r="A650" s="1"/>
      <c r="B650" s="1"/>
      <c r="C650" s="1"/>
      <c r="D650" s="1"/>
      <c r="E650" s="1"/>
      <c r="F650" s="1"/>
      <c r="G650" s="1"/>
      <c r="H650" s="1"/>
      <c r="I650" s="1"/>
      <c r="J650" s="1"/>
      <c r="K650" s="1"/>
      <c r="L650" s="1"/>
      <c r="M650" s="1"/>
    </row>
    <row r="651" ht="15.75" customHeight="1">
      <c r="A651" s="1"/>
      <c r="B651" s="1"/>
      <c r="C651" s="1"/>
      <c r="D651" s="1"/>
      <c r="E651" s="1"/>
      <c r="F651" s="1"/>
      <c r="G651" s="1"/>
      <c r="H651" s="1"/>
      <c r="I651" s="1"/>
      <c r="J651" s="1"/>
      <c r="K651" s="1"/>
      <c r="L651" s="1"/>
      <c r="M651" s="1"/>
    </row>
    <row r="652" ht="15.75" customHeight="1">
      <c r="A652" s="1"/>
      <c r="B652" s="1"/>
      <c r="C652" s="1"/>
      <c r="D652" s="1"/>
      <c r="E652" s="1"/>
      <c r="F652" s="1"/>
      <c r="G652" s="1"/>
      <c r="H652" s="1"/>
      <c r="I652" s="1"/>
      <c r="J652" s="1"/>
      <c r="K652" s="1"/>
      <c r="L652" s="1"/>
      <c r="M652" s="1"/>
    </row>
    <row r="653" ht="15.75" customHeight="1">
      <c r="A653" s="1"/>
      <c r="B653" s="1"/>
      <c r="C653" s="1"/>
      <c r="D653" s="1"/>
      <c r="E653" s="1"/>
      <c r="F653" s="1"/>
      <c r="G653" s="1"/>
      <c r="H653" s="1"/>
      <c r="I653" s="1"/>
      <c r="J653" s="1"/>
      <c r="K653" s="1"/>
      <c r="L653" s="1"/>
      <c r="M653" s="1"/>
    </row>
    <row r="654" ht="15.75" customHeight="1">
      <c r="A654" s="1"/>
      <c r="B654" s="1"/>
      <c r="C654" s="1"/>
      <c r="D654" s="1"/>
      <c r="E654" s="1"/>
      <c r="F654" s="1"/>
      <c r="G654" s="1"/>
      <c r="H654" s="1"/>
      <c r="I654" s="1"/>
      <c r="J654" s="1"/>
      <c r="K654" s="1"/>
      <c r="L654" s="1"/>
      <c r="M654" s="1"/>
    </row>
    <row r="655" ht="15.75" customHeight="1">
      <c r="A655" s="1"/>
      <c r="B655" s="1"/>
      <c r="C655" s="1"/>
      <c r="D655" s="1"/>
      <c r="E655" s="1"/>
      <c r="F655" s="1"/>
      <c r="G655" s="1"/>
      <c r="H655" s="1"/>
      <c r="I655" s="1"/>
      <c r="J655" s="1"/>
      <c r="K655" s="1"/>
      <c r="L655" s="1"/>
      <c r="M655" s="1"/>
    </row>
    <row r="656" ht="15.75" customHeight="1">
      <c r="A656" s="1"/>
      <c r="B656" s="1"/>
      <c r="C656" s="1"/>
      <c r="D656" s="1"/>
      <c r="E656" s="1"/>
      <c r="F656" s="1"/>
      <c r="G656" s="1"/>
      <c r="H656" s="1"/>
      <c r="I656" s="1"/>
      <c r="J656" s="1"/>
      <c r="K656" s="1"/>
      <c r="L656" s="1"/>
      <c r="M656" s="1"/>
    </row>
    <row r="657" ht="15.75" customHeight="1">
      <c r="A657" s="1"/>
      <c r="B657" s="1"/>
      <c r="C657" s="1"/>
      <c r="D657" s="1"/>
      <c r="E657" s="1"/>
      <c r="F657" s="1"/>
      <c r="G657" s="1"/>
      <c r="H657" s="1"/>
      <c r="I657" s="1"/>
      <c r="J657" s="1"/>
      <c r="K657" s="1"/>
      <c r="L657" s="1"/>
      <c r="M657" s="1"/>
    </row>
    <row r="658" ht="15.75" customHeight="1">
      <c r="A658" s="1"/>
      <c r="B658" s="1"/>
      <c r="C658" s="1"/>
      <c r="D658" s="1"/>
      <c r="E658" s="1"/>
      <c r="F658" s="1"/>
      <c r="G658" s="1"/>
      <c r="H658" s="1"/>
      <c r="I658" s="1"/>
      <c r="J658" s="1"/>
      <c r="K658" s="1"/>
      <c r="L658" s="1"/>
      <c r="M658" s="1"/>
    </row>
    <row r="659" ht="15.75" customHeight="1">
      <c r="A659" s="1"/>
      <c r="B659" s="1"/>
      <c r="C659" s="1"/>
      <c r="D659" s="1"/>
      <c r="E659" s="1"/>
      <c r="F659" s="1"/>
      <c r="G659" s="1"/>
      <c r="H659" s="1"/>
      <c r="I659" s="1"/>
      <c r="J659" s="1"/>
      <c r="K659" s="1"/>
      <c r="L659" s="1"/>
      <c r="M659" s="1"/>
    </row>
    <row r="660" ht="15.75" customHeight="1">
      <c r="A660" s="1"/>
      <c r="B660" s="1"/>
      <c r="C660" s="1"/>
      <c r="D660" s="1"/>
      <c r="E660" s="1"/>
      <c r="F660" s="1"/>
      <c r="G660" s="1"/>
      <c r="H660" s="1"/>
      <c r="I660" s="1"/>
      <c r="J660" s="1"/>
      <c r="K660" s="1"/>
      <c r="L660" s="1"/>
      <c r="M660" s="1"/>
    </row>
    <row r="661" ht="15.75" customHeight="1">
      <c r="A661" s="1"/>
      <c r="B661" s="1"/>
      <c r="C661" s="1"/>
      <c r="D661" s="1"/>
      <c r="E661" s="1"/>
      <c r="F661" s="1"/>
      <c r="G661" s="1"/>
      <c r="H661" s="1"/>
      <c r="I661" s="1"/>
      <c r="J661" s="1"/>
      <c r="K661" s="1"/>
      <c r="L661" s="1"/>
      <c r="M661" s="1"/>
    </row>
    <row r="662" ht="15.75" customHeight="1">
      <c r="A662" s="1"/>
      <c r="B662" s="1"/>
      <c r="C662" s="1"/>
      <c r="D662" s="1"/>
      <c r="E662" s="1"/>
      <c r="F662" s="1"/>
      <c r="G662" s="1"/>
      <c r="H662" s="1"/>
      <c r="I662" s="1"/>
      <c r="J662" s="1"/>
      <c r="K662" s="1"/>
      <c r="L662" s="1"/>
      <c r="M662" s="1"/>
    </row>
    <row r="663" ht="15.75" customHeight="1">
      <c r="A663" s="1"/>
      <c r="B663" s="1"/>
      <c r="C663" s="1"/>
      <c r="D663" s="1"/>
      <c r="E663" s="1"/>
      <c r="F663" s="1"/>
      <c r="G663" s="1"/>
      <c r="H663" s="1"/>
      <c r="I663" s="1"/>
      <c r="J663" s="1"/>
      <c r="K663" s="1"/>
      <c r="L663" s="1"/>
      <c r="M663" s="1"/>
    </row>
    <row r="664" ht="15.75" customHeight="1">
      <c r="A664" s="1"/>
      <c r="B664" s="1"/>
      <c r="C664" s="1"/>
      <c r="D664" s="1"/>
      <c r="E664" s="1"/>
      <c r="F664" s="1"/>
      <c r="G664" s="1"/>
      <c r="H664" s="1"/>
      <c r="I664" s="1"/>
      <c r="J664" s="1"/>
      <c r="K664" s="1"/>
      <c r="L664" s="1"/>
      <c r="M664" s="1"/>
    </row>
    <row r="665" ht="15.75" customHeight="1">
      <c r="A665" s="1"/>
      <c r="B665" s="1"/>
      <c r="C665" s="1"/>
      <c r="D665" s="1"/>
      <c r="E665" s="1"/>
      <c r="F665" s="1"/>
      <c r="G665" s="1"/>
      <c r="H665" s="1"/>
      <c r="I665" s="1"/>
      <c r="J665" s="1"/>
      <c r="K665" s="1"/>
      <c r="L665" s="1"/>
      <c r="M665" s="1"/>
    </row>
    <row r="666" ht="15.75" customHeight="1">
      <c r="A666" s="1"/>
      <c r="B666" s="1"/>
      <c r="C666" s="1"/>
      <c r="D666" s="1"/>
      <c r="E666" s="1"/>
      <c r="F666" s="1"/>
      <c r="G666" s="1"/>
      <c r="H666" s="1"/>
      <c r="I666" s="1"/>
      <c r="J666" s="1"/>
      <c r="K666" s="1"/>
      <c r="L666" s="1"/>
      <c r="M666" s="1"/>
    </row>
    <row r="667" ht="15.75" customHeight="1">
      <c r="A667" s="1"/>
      <c r="B667" s="1"/>
      <c r="C667" s="1"/>
      <c r="D667" s="1"/>
      <c r="E667" s="1"/>
      <c r="F667" s="1"/>
      <c r="G667" s="1"/>
      <c r="H667" s="1"/>
      <c r="I667" s="1"/>
      <c r="J667" s="1"/>
      <c r="K667" s="1"/>
      <c r="L667" s="1"/>
      <c r="M667" s="1"/>
    </row>
    <row r="668" ht="15.75" customHeight="1">
      <c r="A668" s="1"/>
      <c r="B668" s="1"/>
      <c r="C668" s="1"/>
      <c r="D668" s="1"/>
      <c r="E668" s="1"/>
      <c r="F668" s="1"/>
      <c r="G668" s="1"/>
      <c r="H668" s="1"/>
      <c r="I668" s="1"/>
      <c r="J668" s="1"/>
      <c r="K668" s="1"/>
      <c r="L668" s="1"/>
      <c r="M668" s="1"/>
    </row>
    <row r="669" ht="15.75" customHeight="1">
      <c r="A669" s="1"/>
      <c r="B669" s="1"/>
      <c r="C669" s="1"/>
      <c r="D669" s="1"/>
      <c r="E669" s="1"/>
      <c r="F669" s="1"/>
      <c r="G669" s="1"/>
      <c r="H669" s="1"/>
      <c r="I669" s="1"/>
      <c r="J669" s="1"/>
      <c r="K669" s="1"/>
      <c r="L669" s="1"/>
      <c r="M669" s="1"/>
    </row>
    <row r="670" ht="15.75" customHeight="1">
      <c r="A670" s="1"/>
      <c r="B670" s="1"/>
      <c r="C670" s="1"/>
      <c r="D670" s="1"/>
      <c r="E670" s="1"/>
      <c r="F670" s="1"/>
      <c r="G670" s="1"/>
      <c r="H670" s="1"/>
      <c r="I670" s="1"/>
      <c r="J670" s="1"/>
      <c r="K670" s="1"/>
      <c r="L670" s="1"/>
      <c r="M670" s="1"/>
    </row>
    <row r="671" ht="15.75" customHeight="1">
      <c r="A671" s="1"/>
      <c r="B671" s="1"/>
      <c r="C671" s="1"/>
      <c r="D671" s="1"/>
      <c r="E671" s="1"/>
      <c r="F671" s="1"/>
      <c r="G671" s="1"/>
      <c r="H671" s="1"/>
      <c r="I671" s="1"/>
      <c r="J671" s="1"/>
      <c r="K671" s="1"/>
      <c r="L671" s="1"/>
      <c r="M671" s="1"/>
    </row>
    <row r="672" ht="15.75" customHeight="1">
      <c r="A672" s="1"/>
      <c r="B672" s="1"/>
      <c r="C672" s="1"/>
      <c r="D672" s="1"/>
      <c r="E672" s="1"/>
      <c r="F672" s="1"/>
      <c r="G672" s="1"/>
      <c r="H672" s="1"/>
      <c r="I672" s="1"/>
      <c r="J672" s="1"/>
      <c r="K672" s="1"/>
      <c r="L672" s="1"/>
      <c r="M672" s="1"/>
    </row>
    <row r="673" ht="15.75" customHeight="1">
      <c r="A673" s="1"/>
      <c r="B673" s="1"/>
      <c r="C673" s="1"/>
      <c r="D673" s="1"/>
      <c r="E673" s="1"/>
      <c r="F673" s="1"/>
      <c r="G673" s="1"/>
      <c r="H673" s="1"/>
      <c r="I673" s="1"/>
      <c r="J673" s="1"/>
      <c r="K673" s="1"/>
      <c r="L673" s="1"/>
      <c r="M673" s="1"/>
    </row>
    <row r="674" ht="15.75" customHeight="1">
      <c r="A674" s="1"/>
      <c r="B674" s="1"/>
      <c r="C674" s="1"/>
      <c r="D674" s="1"/>
      <c r="E674" s="1"/>
      <c r="F674" s="1"/>
      <c r="G674" s="1"/>
      <c r="H674" s="1"/>
      <c r="I674" s="1"/>
      <c r="J674" s="1"/>
      <c r="K674" s="1"/>
      <c r="L674" s="1"/>
      <c r="M674" s="1"/>
    </row>
    <row r="675" ht="15.75" customHeight="1">
      <c r="A675" s="1"/>
      <c r="B675" s="1"/>
      <c r="C675" s="1"/>
      <c r="D675" s="1"/>
      <c r="E675" s="1"/>
      <c r="F675" s="1"/>
      <c r="G675" s="1"/>
      <c r="H675" s="1"/>
      <c r="I675" s="1"/>
      <c r="J675" s="1"/>
      <c r="K675" s="1"/>
      <c r="L675" s="1"/>
      <c r="M675" s="1"/>
    </row>
    <row r="676" ht="15.75" customHeight="1">
      <c r="A676" s="1"/>
      <c r="B676" s="1"/>
      <c r="C676" s="1"/>
      <c r="D676" s="1"/>
      <c r="E676" s="1"/>
      <c r="F676" s="1"/>
      <c r="G676" s="1"/>
      <c r="H676" s="1"/>
      <c r="I676" s="1"/>
      <c r="J676" s="1"/>
      <c r="K676" s="1"/>
      <c r="L676" s="1"/>
      <c r="M676" s="1"/>
    </row>
    <row r="677" ht="15.75" customHeight="1">
      <c r="A677" s="1"/>
      <c r="B677" s="1"/>
      <c r="C677" s="1"/>
      <c r="D677" s="1"/>
      <c r="E677" s="1"/>
      <c r="F677" s="1"/>
      <c r="G677" s="1"/>
      <c r="H677" s="1"/>
      <c r="I677" s="1"/>
      <c r="J677" s="1"/>
      <c r="K677" s="1"/>
      <c r="L677" s="1"/>
      <c r="M677" s="1"/>
    </row>
    <row r="678" ht="15.75" customHeight="1">
      <c r="A678" s="1"/>
      <c r="B678" s="1"/>
      <c r="C678" s="1"/>
      <c r="D678" s="1"/>
      <c r="E678" s="1"/>
      <c r="F678" s="1"/>
      <c r="G678" s="1"/>
      <c r="H678" s="1"/>
      <c r="I678" s="1"/>
      <c r="J678" s="1"/>
      <c r="K678" s="1"/>
      <c r="L678" s="1"/>
      <c r="M678" s="1"/>
    </row>
    <row r="679" ht="15.75" customHeight="1">
      <c r="A679" s="1"/>
      <c r="B679" s="1"/>
      <c r="C679" s="1"/>
      <c r="D679" s="1"/>
      <c r="E679" s="1"/>
      <c r="F679" s="1"/>
      <c r="G679" s="1"/>
      <c r="H679" s="1"/>
      <c r="I679" s="1"/>
      <c r="J679" s="1"/>
      <c r="K679" s="1"/>
      <c r="L679" s="1"/>
      <c r="M679" s="1"/>
    </row>
    <row r="680" ht="15.75" customHeight="1">
      <c r="A680" s="1"/>
      <c r="B680" s="1"/>
      <c r="C680" s="1"/>
      <c r="D680" s="1"/>
      <c r="E680" s="1"/>
      <c r="F680" s="1"/>
      <c r="G680" s="1"/>
      <c r="H680" s="1"/>
      <c r="I680" s="1"/>
      <c r="J680" s="1"/>
      <c r="K680" s="1"/>
      <c r="L680" s="1"/>
      <c r="M680" s="1"/>
    </row>
    <row r="681" ht="15.75" customHeight="1">
      <c r="A681" s="1"/>
      <c r="B681" s="1"/>
      <c r="C681" s="1"/>
      <c r="D681" s="1"/>
      <c r="E681" s="1"/>
      <c r="F681" s="1"/>
      <c r="G681" s="1"/>
      <c r="H681" s="1"/>
      <c r="I681" s="1"/>
      <c r="J681" s="1"/>
      <c r="K681" s="1"/>
      <c r="L681" s="1"/>
      <c r="M681" s="1"/>
    </row>
    <row r="682" ht="15.75" customHeight="1">
      <c r="A682" s="1"/>
      <c r="B682" s="1"/>
      <c r="C682" s="1"/>
      <c r="D682" s="1"/>
      <c r="E682" s="1"/>
      <c r="F682" s="1"/>
      <c r="G682" s="1"/>
      <c r="H682" s="1"/>
      <c r="I682" s="1"/>
      <c r="J682" s="1"/>
      <c r="K682" s="1"/>
      <c r="L682" s="1"/>
      <c r="M682" s="1"/>
    </row>
    <row r="683" ht="15.75" customHeight="1">
      <c r="A683" s="1"/>
      <c r="B683" s="1"/>
      <c r="C683" s="1"/>
      <c r="D683" s="1"/>
      <c r="E683" s="1"/>
      <c r="F683" s="1"/>
      <c r="G683" s="1"/>
      <c r="H683" s="1"/>
      <c r="I683" s="1"/>
      <c r="J683" s="1"/>
      <c r="K683" s="1"/>
      <c r="L683" s="1"/>
      <c r="M683" s="1"/>
    </row>
    <row r="684" ht="15.75" customHeight="1">
      <c r="A684" s="1"/>
      <c r="B684" s="1"/>
      <c r="C684" s="1"/>
      <c r="D684" s="1"/>
      <c r="E684" s="1"/>
      <c r="F684" s="1"/>
      <c r="G684" s="1"/>
      <c r="H684" s="1"/>
      <c r="I684" s="1"/>
      <c r="J684" s="1"/>
      <c r="K684" s="1"/>
      <c r="L684" s="1"/>
      <c r="M684" s="1"/>
    </row>
    <row r="685" ht="15.75" customHeight="1">
      <c r="A685" s="1"/>
      <c r="B685" s="1"/>
      <c r="C685" s="1"/>
      <c r="D685" s="1"/>
      <c r="E685" s="1"/>
      <c r="F685" s="1"/>
      <c r="G685" s="1"/>
      <c r="H685" s="1"/>
      <c r="I685" s="1"/>
      <c r="J685" s="1"/>
      <c r="K685" s="1"/>
      <c r="L685" s="1"/>
      <c r="M685" s="1"/>
    </row>
    <row r="686" ht="15.75" customHeight="1">
      <c r="A686" s="1"/>
      <c r="B686" s="1"/>
      <c r="C686" s="1"/>
      <c r="D686" s="1"/>
      <c r="E686" s="1"/>
      <c r="F686" s="1"/>
      <c r="G686" s="1"/>
      <c r="H686" s="1"/>
      <c r="I686" s="1"/>
      <c r="J686" s="1"/>
      <c r="K686" s="1"/>
      <c r="L686" s="1"/>
      <c r="M686" s="1"/>
    </row>
    <row r="687" ht="15.75" customHeight="1">
      <c r="A687" s="1"/>
      <c r="B687" s="1"/>
      <c r="C687" s="1"/>
      <c r="D687" s="1"/>
      <c r="E687" s="1"/>
      <c r="F687" s="1"/>
      <c r="G687" s="1"/>
      <c r="H687" s="1"/>
      <c r="I687" s="1"/>
      <c r="J687" s="1"/>
      <c r="K687" s="1"/>
      <c r="L687" s="1"/>
      <c r="M687" s="1"/>
    </row>
    <row r="688" ht="15.75" customHeight="1">
      <c r="A688" s="1"/>
      <c r="B688" s="1"/>
      <c r="C688" s="1"/>
      <c r="D688" s="1"/>
      <c r="E688" s="1"/>
      <c r="F688" s="1"/>
      <c r="G688" s="1"/>
      <c r="H688" s="1"/>
      <c r="I688" s="1"/>
      <c r="J688" s="1"/>
      <c r="K688" s="1"/>
      <c r="L688" s="1"/>
      <c r="M688" s="1"/>
    </row>
    <row r="689" ht="15.75" customHeight="1">
      <c r="A689" s="1"/>
      <c r="B689" s="1"/>
      <c r="C689" s="1"/>
      <c r="D689" s="1"/>
      <c r="E689" s="1"/>
      <c r="F689" s="1"/>
      <c r="G689" s="1"/>
      <c r="H689" s="1"/>
      <c r="I689" s="1"/>
      <c r="J689" s="1"/>
      <c r="K689" s="1"/>
      <c r="L689" s="1"/>
      <c r="M689" s="1"/>
    </row>
    <row r="690" ht="15.75" customHeight="1">
      <c r="A690" s="1"/>
      <c r="B690" s="1"/>
      <c r="C690" s="1"/>
      <c r="D690" s="1"/>
      <c r="E690" s="1"/>
      <c r="F690" s="1"/>
      <c r="G690" s="1"/>
      <c r="H690" s="1"/>
      <c r="I690" s="1"/>
      <c r="J690" s="1"/>
      <c r="K690" s="1"/>
      <c r="L690" s="1"/>
      <c r="M690" s="1"/>
    </row>
    <row r="691" ht="15.75" customHeight="1">
      <c r="A691" s="1"/>
      <c r="B691" s="1"/>
      <c r="C691" s="1"/>
      <c r="D691" s="1"/>
      <c r="E691" s="1"/>
      <c r="F691" s="1"/>
      <c r="G691" s="1"/>
      <c r="H691" s="1"/>
      <c r="I691" s="1"/>
      <c r="J691" s="1"/>
      <c r="K691" s="1"/>
      <c r="L691" s="1"/>
      <c r="M691" s="1"/>
    </row>
    <row r="692" ht="15.75" customHeight="1">
      <c r="A692" s="1"/>
      <c r="B692" s="1"/>
      <c r="C692" s="1"/>
      <c r="D692" s="1"/>
      <c r="E692" s="1"/>
      <c r="F692" s="1"/>
      <c r="G692" s="1"/>
      <c r="H692" s="1"/>
      <c r="I692" s="1"/>
      <c r="J692" s="1"/>
      <c r="K692" s="1"/>
      <c r="L692" s="1"/>
      <c r="M692" s="1"/>
    </row>
    <row r="693" ht="15.75" customHeight="1">
      <c r="A693" s="1"/>
      <c r="B693" s="1"/>
      <c r="C693" s="1"/>
      <c r="D693" s="1"/>
      <c r="E693" s="1"/>
      <c r="F693" s="1"/>
      <c r="G693" s="1"/>
      <c r="H693" s="1"/>
      <c r="I693" s="1"/>
      <c r="J693" s="1"/>
      <c r="K693" s="1"/>
      <c r="L693" s="1"/>
      <c r="M693" s="1"/>
    </row>
    <row r="694" ht="15.75" customHeight="1">
      <c r="A694" s="1"/>
      <c r="B694" s="1"/>
      <c r="C694" s="1"/>
      <c r="D694" s="1"/>
      <c r="E694" s="1"/>
      <c r="F694" s="1"/>
      <c r="G694" s="1"/>
      <c r="H694" s="1"/>
      <c r="I694" s="1"/>
      <c r="J694" s="1"/>
      <c r="K694" s="1"/>
      <c r="L694" s="1"/>
      <c r="M694" s="1"/>
    </row>
    <row r="695" ht="15.75" customHeight="1">
      <c r="A695" s="1"/>
      <c r="B695" s="1"/>
      <c r="C695" s="1"/>
      <c r="D695" s="1"/>
      <c r="E695" s="1"/>
      <c r="F695" s="1"/>
      <c r="G695" s="1"/>
      <c r="H695" s="1"/>
      <c r="I695" s="1"/>
      <c r="J695" s="1"/>
      <c r="K695" s="1"/>
      <c r="L695" s="1"/>
      <c r="M695" s="1"/>
    </row>
    <row r="696" ht="15.75" customHeight="1">
      <c r="A696" s="1"/>
      <c r="B696" s="1"/>
      <c r="C696" s="1"/>
      <c r="D696" s="1"/>
      <c r="E696" s="1"/>
      <c r="F696" s="1"/>
      <c r="G696" s="1"/>
      <c r="H696" s="1"/>
      <c r="I696" s="1"/>
      <c r="J696" s="1"/>
      <c r="K696" s="1"/>
      <c r="L696" s="1"/>
      <c r="M696" s="1"/>
    </row>
    <row r="697" ht="15.75" customHeight="1">
      <c r="A697" s="1"/>
      <c r="B697" s="1"/>
      <c r="C697" s="1"/>
      <c r="D697" s="1"/>
      <c r="E697" s="1"/>
      <c r="F697" s="1"/>
      <c r="G697" s="1"/>
      <c r="H697" s="1"/>
      <c r="I697" s="1"/>
      <c r="J697" s="1"/>
      <c r="K697" s="1"/>
      <c r="L697" s="1"/>
      <c r="M697" s="1"/>
    </row>
    <row r="698" ht="15.75" customHeight="1">
      <c r="A698" s="1"/>
      <c r="B698" s="1"/>
      <c r="C698" s="1"/>
      <c r="D698" s="1"/>
      <c r="E698" s="1"/>
      <c r="F698" s="1"/>
      <c r="G698" s="1"/>
      <c r="H698" s="1"/>
      <c r="I698" s="1"/>
      <c r="J698" s="1"/>
      <c r="K698" s="1"/>
      <c r="L698" s="1"/>
      <c r="M698" s="1"/>
    </row>
    <row r="699" ht="15.75" customHeight="1">
      <c r="A699" s="1"/>
      <c r="B699" s="1"/>
      <c r="C699" s="1"/>
      <c r="D699" s="1"/>
      <c r="E699" s="1"/>
      <c r="F699" s="1"/>
      <c r="G699" s="1"/>
      <c r="H699" s="1"/>
      <c r="I699" s="1"/>
      <c r="J699" s="1"/>
      <c r="K699" s="1"/>
      <c r="L699" s="1"/>
      <c r="M699" s="1"/>
    </row>
    <row r="700" ht="15.75" customHeight="1">
      <c r="A700" s="1"/>
      <c r="B700" s="1"/>
      <c r="C700" s="1"/>
      <c r="D700" s="1"/>
      <c r="E700" s="1"/>
      <c r="F700" s="1"/>
      <c r="G700" s="1"/>
      <c r="H700" s="1"/>
      <c r="I700" s="1"/>
      <c r="J700" s="1"/>
      <c r="K700" s="1"/>
      <c r="L700" s="1"/>
      <c r="M700" s="1"/>
    </row>
    <row r="701" ht="15.75" customHeight="1">
      <c r="A701" s="1"/>
      <c r="B701" s="1"/>
      <c r="C701" s="1"/>
      <c r="D701" s="1"/>
      <c r="E701" s="1"/>
      <c r="F701" s="1"/>
      <c r="G701" s="1"/>
      <c r="H701" s="1"/>
      <c r="I701" s="1"/>
      <c r="J701" s="1"/>
      <c r="K701" s="1"/>
      <c r="L701" s="1"/>
      <c r="M701" s="1"/>
    </row>
    <row r="702" ht="15.75" customHeight="1">
      <c r="A702" s="1"/>
      <c r="B702" s="1"/>
      <c r="C702" s="1"/>
      <c r="D702" s="1"/>
      <c r="E702" s="1"/>
      <c r="F702" s="1"/>
      <c r="G702" s="1"/>
      <c r="H702" s="1"/>
      <c r="I702" s="1"/>
      <c r="J702" s="1"/>
      <c r="K702" s="1"/>
      <c r="L702" s="1"/>
      <c r="M702" s="1"/>
    </row>
    <row r="703" ht="15.75" customHeight="1">
      <c r="A703" s="1"/>
      <c r="B703" s="1"/>
      <c r="C703" s="1"/>
      <c r="D703" s="1"/>
      <c r="E703" s="1"/>
      <c r="F703" s="1"/>
      <c r="G703" s="1"/>
      <c r="H703" s="1"/>
      <c r="I703" s="1"/>
      <c r="J703" s="1"/>
      <c r="K703" s="1"/>
      <c r="L703" s="1"/>
      <c r="M703" s="1"/>
    </row>
    <row r="704" ht="15.75" customHeight="1">
      <c r="A704" s="1"/>
      <c r="B704" s="1"/>
      <c r="C704" s="1"/>
      <c r="D704" s="1"/>
      <c r="E704" s="1"/>
      <c r="F704" s="1"/>
      <c r="G704" s="1"/>
      <c r="H704" s="1"/>
      <c r="I704" s="1"/>
      <c r="J704" s="1"/>
      <c r="K704" s="1"/>
      <c r="L704" s="1"/>
      <c r="M704" s="1"/>
    </row>
    <row r="705" ht="15.75" customHeight="1">
      <c r="A705" s="1"/>
      <c r="B705" s="1"/>
      <c r="C705" s="1"/>
      <c r="D705" s="1"/>
      <c r="E705" s="1"/>
      <c r="F705" s="1"/>
      <c r="G705" s="1"/>
      <c r="H705" s="1"/>
      <c r="I705" s="1"/>
      <c r="J705" s="1"/>
      <c r="K705" s="1"/>
      <c r="L705" s="1"/>
      <c r="M705" s="1"/>
    </row>
    <row r="706" ht="15.75" customHeight="1">
      <c r="A706" s="1"/>
      <c r="B706" s="1"/>
      <c r="C706" s="1"/>
      <c r="D706" s="1"/>
      <c r="E706" s="1"/>
      <c r="F706" s="1"/>
      <c r="G706" s="1"/>
      <c r="H706" s="1"/>
      <c r="I706" s="1"/>
      <c r="J706" s="1"/>
      <c r="K706" s="1"/>
      <c r="L706" s="1"/>
      <c r="M706" s="1"/>
    </row>
    <row r="707" ht="15.75" customHeight="1">
      <c r="A707" s="1"/>
      <c r="B707" s="1"/>
      <c r="C707" s="1"/>
      <c r="D707" s="1"/>
      <c r="E707" s="1"/>
      <c r="F707" s="1"/>
      <c r="G707" s="1"/>
      <c r="H707" s="1"/>
      <c r="I707" s="1"/>
      <c r="J707" s="1"/>
      <c r="K707" s="1"/>
      <c r="L707" s="1"/>
      <c r="M707" s="1"/>
    </row>
    <row r="708" ht="15.75" customHeight="1">
      <c r="A708" s="1"/>
      <c r="B708" s="1"/>
      <c r="C708" s="1"/>
      <c r="D708" s="1"/>
      <c r="E708" s="1"/>
      <c r="F708" s="1"/>
      <c r="G708" s="1"/>
      <c r="H708" s="1"/>
      <c r="I708" s="1"/>
      <c r="J708" s="1"/>
      <c r="K708" s="1"/>
      <c r="L708" s="1"/>
      <c r="M708" s="1"/>
    </row>
    <row r="709" ht="15.75" customHeight="1">
      <c r="A709" s="1"/>
      <c r="B709" s="1"/>
      <c r="C709" s="1"/>
      <c r="D709" s="1"/>
      <c r="E709" s="1"/>
      <c r="F709" s="1"/>
      <c r="G709" s="1"/>
      <c r="H709" s="1"/>
      <c r="I709" s="1"/>
      <c r="J709" s="1"/>
      <c r="K709" s="1"/>
      <c r="L709" s="1"/>
      <c r="M709" s="1"/>
    </row>
    <row r="710" ht="15.75" customHeight="1">
      <c r="A710" s="1"/>
      <c r="B710" s="1"/>
      <c r="C710" s="1"/>
      <c r="D710" s="1"/>
      <c r="E710" s="1"/>
      <c r="F710" s="1"/>
      <c r="G710" s="1"/>
      <c r="H710" s="1"/>
      <c r="I710" s="1"/>
      <c r="J710" s="1"/>
      <c r="K710" s="1"/>
      <c r="L710" s="1"/>
      <c r="M710" s="1"/>
    </row>
    <row r="711" ht="15.75" customHeight="1">
      <c r="A711" s="1"/>
      <c r="B711" s="1"/>
      <c r="C711" s="1"/>
      <c r="D711" s="1"/>
      <c r="E711" s="1"/>
      <c r="F711" s="1"/>
      <c r="G711" s="1"/>
      <c r="H711" s="1"/>
      <c r="I711" s="1"/>
      <c r="J711" s="1"/>
      <c r="K711" s="1"/>
      <c r="L711" s="1"/>
      <c r="M711" s="1"/>
    </row>
    <row r="712" ht="15.75" customHeight="1">
      <c r="A712" s="1"/>
      <c r="B712" s="1"/>
      <c r="C712" s="1"/>
      <c r="D712" s="1"/>
      <c r="E712" s="1"/>
      <c r="F712" s="1"/>
      <c r="G712" s="1"/>
      <c r="H712" s="1"/>
      <c r="I712" s="1"/>
      <c r="J712" s="1"/>
      <c r="K712" s="1"/>
      <c r="L712" s="1"/>
      <c r="M712" s="1"/>
    </row>
    <row r="713" ht="15.75" customHeight="1">
      <c r="A713" s="1"/>
      <c r="B713" s="1"/>
      <c r="C713" s="1"/>
      <c r="D713" s="1"/>
      <c r="E713" s="1"/>
      <c r="F713" s="1"/>
      <c r="G713" s="1"/>
      <c r="H713" s="1"/>
      <c r="I713" s="1"/>
      <c r="J713" s="1"/>
      <c r="K713" s="1"/>
      <c r="L713" s="1"/>
      <c r="M713" s="1"/>
    </row>
    <row r="714" ht="15.75" customHeight="1">
      <c r="A714" s="1"/>
      <c r="B714" s="1"/>
      <c r="C714" s="1"/>
      <c r="D714" s="1"/>
      <c r="E714" s="1"/>
      <c r="F714" s="1"/>
      <c r="G714" s="1"/>
      <c r="H714" s="1"/>
      <c r="I714" s="1"/>
      <c r="J714" s="1"/>
      <c r="K714" s="1"/>
      <c r="L714" s="1"/>
      <c r="M714" s="1"/>
    </row>
    <row r="715" ht="15.75" customHeight="1">
      <c r="A715" s="1"/>
      <c r="B715" s="1"/>
      <c r="C715" s="1"/>
      <c r="D715" s="1"/>
      <c r="E715" s="1"/>
      <c r="F715" s="1"/>
      <c r="G715" s="1"/>
      <c r="H715" s="1"/>
      <c r="I715" s="1"/>
      <c r="J715" s="1"/>
      <c r="K715" s="1"/>
      <c r="L715" s="1"/>
      <c r="M715" s="1"/>
    </row>
    <row r="716" ht="15.75" customHeight="1">
      <c r="A716" s="1"/>
      <c r="B716" s="1"/>
      <c r="C716" s="1"/>
      <c r="D716" s="1"/>
      <c r="E716" s="1"/>
      <c r="F716" s="1"/>
      <c r="G716" s="1"/>
      <c r="H716" s="1"/>
      <c r="I716" s="1"/>
      <c r="J716" s="1"/>
      <c r="K716" s="1"/>
      <c r="L716" s="1"/>
      <c r="M716" s="1"/>
    </row>
    <row r="717" ht="15.75" customHeight="1">
      <c r="A717" s="1"/>
      <c r="B717" s="1"/>
      <c r="C717" s="1"/>
      <c r="D717" s="1"/>
      <c r="E717" s="1"/>
      <c r="F717" s="1"/>
      <c r="G717" s="1"/>
      <c r="H717" s="1"/>
      <c r="I717" s="1"/>
      <c r="J717" s="1"/>
      <c r="K717" s="1"/>
      <c r="L717" s="1"/>
      <c r="M717" s="1"/>
    </row>
    <row r="718" ht="15.75" customHeight="1">
      <c r="A718" s="1"/>
      <c r="B718" s="1"/>
      <c r="C718" s="1"/>
      <c r="D718" s="1"/>
      <c r="E718" s="1"/>
      <c r="F718" s="1"/>
      <c r="G718" s="1"/>
      <c r="H718" s="1"/>
      <c r="I718" s="1"/>
      <c r="J718" s="1"/>
      <c r="K718" s="1"/>
      <c r="L718" s="1"/>
      <c r="M718" s="1"/>
    </row>
    <row r="719" ht="15.75" customHeight="1">
      <c r="A719" s="1"/>
      <c r="B719" s="1"/>
      <c r="C719" s="1"/>
      <c r="D719" s="1"/>
      <c r="E719" s="1"/>
      <c r="F719" s="1"/>
      <c r="G719" s="1"/>
      <c r="H719" s="1"/>
      <c r="I719" s="1"/>
      <c r="J719" s="1"/>
      <c r="K719" s="1"/>
      <c r="L719" s="1"/>
      <c r="M719" s="1"/>
    </row>
    <row r="720" ht="15.75" customHeight="1">
      <c r="A720" s="1"/>
      <c r="B720" s="1"/>
      <c r="C720" s="1"/>
      <c r="D720" s="1"/>
      <c r="E720" s="1"/>
      <c r="F720" s="1"/>
      <c r="G720" s="1"/>
      <c r="H720" s="1"/>
      <c r="I720" s="1"/>
      <c r="J720" s="1"/>
      <c r="K720" s="1"/>
      <c r="L720" s="1"/>
      <c r="M720" s="1"/>
    </row>
    <row r="721" ht="15.75" customHeight="1">
      <c r="A721" s="1"/>
      <c r="B721" s="1"/>
      <c r="C721" s="1"/>
      <c r="D721" s="1"/>
      <c r="E721" s="1"/>
      <c r="F721" s="1"/>
      <c r="G721" s="1"/>
      <c r="H721" s="1"/>
      <c r="I721" s="1"/>
      <c r="J721" s="1"/>
      <c r="K721" s="1"/>
      <c r="L721" s="1"/>
      <c r="M721" s="1"/>
    </row>
    <row r="722" ht="15.75" customHeight="1">
      <c r="A722" s="1"/>
      <c r="B722" s="1"/>
      <c r="C722" s="1"/>
      <c r="D722" s="1"/>
      <c r="E722" s="1"/>
      <c r="F722" s="1"/>
      <c r="G722" s="1"/>
      <c r="H722" s="1"/>
      <c r="I722" s="1"/>
      <c r="J722" s="1"/>
      <c r="K722" s="1"/>
      <c r="L722" s="1"/>
      <c r="M722" s="1"/>
    </row>
    <row r="723" ht="15.75" customHeight="1">
      <c r="A723" s="1"/>
      <c r="B723" s="1"/>
      <c r="C723" s="1"/>
      <c r="D723" s="1"/>
      <c r="E723" s="1"/>
      <c r="F723" s="1"/>
      <c r="G723" s="1"/>
      <c r="H723" s="1"/>
      <c r="I723" s="1"/>
      <c r="J723" s="1"/>
      <c r="K723" s="1"/>
      <c r="L723" s="1"/>
      <c r="M723" s="1"/>
    </row>
    <row r="724" ht="15.75" customHeight="1">
      <c r="A724" s="1"/>
      <c r="B724" s="1"/>
      <c r="C724" s="1"/>
      <c r="D724" s="1"/>
      <c r="E724" s="1"/>
      <c r="F724" s="1"/>
      <c r="G724" s="1"/>
      <c r="H724" s="1"/>
      <c r="I724" s="1"/>
      <c r="J724" s="1"/>
      <c r="K724" s="1"/>
      <c r="L724" s="1"/>
      <c r="M724" s="1"/>
    </row>
    <row r="725" ht="15.75" customHeight="1">
      <c r="A725" s="1"/>
      <c r="B725" s="1"/>
      <c r="C725" s="1"/>
      <c r="D725" s="1"/>
      <c r="E725" s="1"/>
      <c r="F725" s="1"/>
      <c r="G725" s="1"/>
      <c r="H725" s="1"/>
      <c r="I725" s="1"/>
      <c r="J725" s="1"/>
      <c r="K725" s="1"/>
      <c r="L725" s="1"/>
      <c r="M725" s="1"/>
    </row>
    <row r="726" ht="15.75" customHeight="1">
      <c r="A726" s="1"/>
      <c r="B726" s="1"/>
      <c r="C726" s="1"/>
      <c r="D726" s="1"/>
      <c r="E726" s="1"/>
      <c r="F726" s="1"/>
      <c r="G726" s="1"/>
      <c r="H726" s="1"/>
      <c r="I726" s="1"/>
      <c r="J726" s="1"/>
      <c r="K726" s="1"/>
      <c r="L726" s="1"/>
      <c r="M726" s="1"/>
    </row>
    <row r="727" ht="15.75" customHeight="1">
      <c r="A727" s="1"/>
      <c r="B727" s="1"/>
      <c r="C727" s="1"/>
      <c r="D727" s="1"/>
      <c r="E727" s="1"/>
      <c r="F727" s="1"/>
      <c r="G727" s="1"/>
      <c r="H727" s="1"/>
      <c r="I727" s="1"/>
      <c r="J727" s="1"/>
      <c r="K727" s="1"/>
      <c r="L727" s="1"/>
      <c r="M727" s="1"/>
    </row>
    <row r="728" ht="15.75" customHeight="1">
      <c r="A728" s="1"/>
      <c r="B728" s="1"/>
      <c r="C728" s="1"/>
      <c r="D728" s="1"/>
      <c r="E728" s="1"/>
      <c r="F728" s="1"/>
      <c r="G728" s="1"/>
      <c r="H728" s="1"/>
      <c r="I728" s="1"/>
      <c r="J728" s="1"/>
      <c r="K728" s="1"/>
      <c r="L728" s="1"/>
      <c r="M728" s="1"/>
    </row>
    <row r="729" ht="15.75" customHeight="1">
      <c r="A729" s="1"/>
      <c r="B729" s="1"/>
      <c r="C729" s="1"/>
      <c r="D729" s="1"/>
      <c r="E729" s="1"/>
      <c r="F729" s="1"/>
      <c r="G729" s="1"/>
      <c r="H729" s="1"/>
      <c r="I729" s="1"/>
      <c r="J729" s="1"/>
      <c r="K729" s="1"/>
      <c r="L729" s="1"/>
      <c r="M729" s="1"/>
    </row>
    <row r="730" ht="15.75" customHeight="1">
      <c r="A730" s="1"/>
      <c r="B730" s="1"/>
      <c r="C730" s="1"/>
      <c r="D730" s="1"/>
      <c r="E730" s="1"/>
      <c r="F730" s="1"/>
      <c r="G730" s="1"/>
      <c r="H730" s="1"/>
      <c r="I730" s="1"/>
      <c r="J730" s="1"/>
      <c r="K730" s="1"/>
      <c r="L730" s="1"/>
      <c r="M730" s="1"/>
    </row>
    <row r="731" ht="15.75" customHeight="1">
      <c r="A731" s="1"/>
      <c r="B731" s="1"/>
      <c r="C731" s="1"/>
      <c r="D731" s="1"/>
      <c r="E731" s="1"/>
      <c r="F731" s="1"/>
      <c r="G731" s="1"/>
      <c r="H731" s="1"/>
      <c r="I731" s="1"/>
      <c r="J731" s="1"/>
      <c r="K731" s="1"/>
      <c r="L731" s="1"/>
      <c r="M731" s="1"/>
    </row>
    <row r="732" ht="15.75" customHeight="1">
      <c r="A732" s="1"/>
      <c r="B732" s="1"/>
      <c r="C732" s="1"/>
      <c r="D732" s="1"/>
      <c r="E732" s="1"/>
      <c r="F732" s="1"/>
      <c r="G732" s="1"/>
      <c r="H732" s="1"/>
      <c r="I732" s="1"/>
      <c r="J732" s="1"/>
      <c r="K732" s="1"/>
      <c r="L732" s="1"/>
      <c r="M732" s="1"/>
    </row>
    <row r="733" ht="15.75" customHeight="1">
      <c r="A733" s="1"/>
      <c r="B733" s="1"/>
      <c r="C733" s="1"/>
      <c r="D733" s="1"/>
      <c r="E733" s="1"/>
      <c r="F733" s="1"/>
      <c r="G733" s="1"/>
      <c r="H733" s="1"/>
      <c r="I733" s="1"/>
      <c r="J733" s="1"/>
      <c r="K733" s="1"/>
      <c r="L733" s="1"/>
      <c r="M733" s="1"/>
    </row>
    <row r="734" ht="15.75" customHeight="1">
      <c r="A734" s="1"/>
      <c r="B734" s="1"/>
      <c r="C734" s="1"/>
      <c r="D734" s="1"/>
      <c r="E734" s="1"/>
      <c r="F734" s="1"/>
      <c r="G734" s="1"/>
      <c r="H734" s="1"/>
      <c r="I734" s="1"/>
      <c r="J734" s="1"/>
      <c r="K734" s="1"/>
      <c r="L734" s="1"/>
      <c r="M734" s="1"/>
    </row>
    <row r="735" ht="15.75" customHeight="1">
      <c r="A735" s="1"/>
      <c r="B735" s="1"/>
      <c r="C735" s="1"/>
      <c r="D735" s="1"/>
      <c r="E735" s="1"/>
      <c r="F735" s="1"/>
      <c r="G735" s="1"/>
      <c r="H735" s="1"/>
      <c r="I735" s="1"/>
      <c r="J735" s="1"/>
      <c r="K735" s="1"/>
      <c r="L735" s="1"/>
      <c r="M735" s="1"/>
    </row>
    <row r="736" ht="15.75" customHeight="1">
      <c r="A736" s="1"/>
      <c r="B736" s="1"/>
      <c r="C736" s="1"/>
      <c r="D736" s="1"/>
      <c r="E736" s="1"/>
      <c r="F736" s="1"/>
      <c r="G736" s="1"/>
      <c r="H736" s="1"/>
      <c r="I736" s="1"/>
      <c r="J736" s="1"/>
      <c r="K736" s="1"/>
      <c r="L736" s="1"/>
      <c r="M736" s="1"/>
    </row>
    <row r="737" ht="15.75" customHeight="1">
      <c r="A737" s="1"/>
      <c r="B737" s="1"/>
      <c r="C737" s="1"/>
      <c r="D737" s="1"/>
      <c r="E737" s="1"/>
      <c r="F737" s="1"/>
      <c r="G737" s="1"/>
      <c r="H737" s="1"/>
      <c r="I737" s="1"/>
      <c r="J737" s="1"/>
      <c r="K737" s="1"/>
      <c r="L737" s="1"/>
      <c r="M737" s="1"/>
    </row>
    <row r="738" ht="15.75" customHeight="1">
      <c r="A738" s="1"/>
      <c r="B738" s="1"/>
      <c r="C738" s="1"/>
      <c r="D738" s="1"/>
      <c r="E738" s="1"/>
      <c r="F738" s="1"/>
      <c r="G738" s="1"/>
      <c r="H738" s="1"/>
      <c r="I738" s="1"/>
      <c r="J738" s="1"/>
      <c r="K738" s="1"/>
      <c r="L738" s="1"/>
      <c r="M738" s="1"/>
    </row>
    <row r="739" ht="15.75" customHeight="1">
      <c r="A739" s="1"/>
      <c r="B739" s="1"/>
      <c r="C739" s="1"/>
      <c r="D739" s="1"/>
      <c r="E739" s="1"/>
      <c r="F739" s="1"/>
      <c r="G739" s="1"/>
      <c r="H739" s="1"/>
      <c r="I739" s="1"/>
      <c r="J739" s="1"/>
      <c r="K739" s="1"/>
      <c r="L739" s="1"/>
      <c r="M739" s="1"/>
    </row>
    <row r="740" ht="15.75" customHeight="1">
      <c r="A740" s="1"/>
      <c r="B740" s="1"/>
      <c r="C740" s="1"/>
      <c r="D740" s="1"/>
      <c r="E740" s="1"/>
      <c r="F740" s="1"/>
      <c r="G740" s="1"/>
      <c r="H740" s="1"/>
      <c r="I740" s="1"/>
      <c r="J740" s="1"/>
      <c r="K740" s="1"/>
      <c r="L740" s="1"/>
      <c r="M740" s="1"/>
    </row>
    <row r="741" ht="15.75" customHeight="1">
      <c r="A741" s="1"/>
      <c r="B741" s="1"/>
      <c r="C741" s="1"/>
      <c r="D741" s="1"/>
      <c r="E741" s="1"/>
      <c r="F741" s="1"/>
      <c r="G741" s="1"/>
      <c r="H741" s="1"/>
      <c r="I741" s="1"/>
      <c r="J741" s="1"/>
      <c r="K741" s="1"/>
      <c r="L741" s="1"/>
      <c r="M741" s="1"/>
    </row>
    <row r="742" ht="15.75" customHeight="1">
      <c r="A742" s="1"/>
      <c r="B742" s="1"/>
      <c r="C742" s="1"/>
      <c r="D742" s="1"/>
      <c r="E742" s="1"/>
      <c r="F742" s="1"/>
      <c r="G742" s="1"/>
      <c r="H742" s="1"/>
      <c r="I742" s="1"/>
      <c r="J742" s="1"/>
      <c r="K742" s="1"/>
      <c r="L742" s="1"/>
      <c r="M742" s="1"/>
    </row>
    <row r="743" ht="15.75" customHeight="1">
      <c r="A743" s="1"/>
      <c r="B743" s="1"/>
      <c r="C743" s="1"/>
      <c r="D743" s="1"/>
      <c r="E743" s="1"/>
      <c r="F743" s="1"/>
      <c r="G743" s="1"/>
      <c r="H743" s="1"/>
      <c r="I743" s="1"/>
      <c r="J743" s="1"/>
      <c r="K743" s="1"/>
      <c r="L743" s="1"/>
      <c r="M743" s="1"/>
    </row>
    <row r="744" ht="15.75" customHeight="1">
      <c r="A744" s="1"/>
      <c r="B744" s="1"/>
      <c r="C744" s="1"/>
      <c r="D744" s="1"/>
      <c r="E744" s="1"/>
      <c r="F744" s="1"/>
      <c r="G744" s="1"/>
      <c r="H744" s="1"/>
      <c r="I744" s="1"/>
      <c r="J744" s="1"/>
      <c r="K744" s="1"/>
      <c r="L744" s="1"/>
      <c r="M744" s="1"/>
    </row>
    <row r="745" ht="15.75" customHeight="1">
      <c r="A745" s="1"/>
      <c r="B745" s="1"/>
      <c r="C745" s="1"/>
      <c r="D745" s="1"/>
      <c r="E745" s="1"/>
      <c r="F745" s="1"/>
      <c r="G745" s="1"/>
      <c r="H745" s="1"/>
      <c r="I745" s="1"/>
      <c r="J745" s="1"/>
      <c r="K745" s="1"/>
      <c r="L745" s="1"/>
      <c r="M745" s="1"/>
    </row>
    <row r="746" ht="15.75" customHeight="1">
      <c r="A746" s="1"/>
      <c r="B746" s="1"/>
      <c r="C746" s="1"/>
      <c r="D746" s="1"/>
      <c r="E746" s="1"/>
      <c r="F746" s="1"/>
      <c r="G746" s="1"/>
      <c r="H746" s="1"/>
      <c r="I746" s="1"/>
      <c r="J746" s="1"/>
      <c r="K746" s="1"/>
      <c r="L746" s="1"/>
      <c r="M746" s="1"/>
    </row>
    <row r="747" ht="15.75" customHeight="1">
      <c r="A747" s="1"/>
      <c r="B747" s="1"/>
      <c r="C747" s="1"/>
      <c r="D747" s="1"/>
      <c r="E747" s="1"/>
      <c r="F747" s="1"/>
      <c r="G747" s="1"/>
      <c r="H747" s="1"/>
      <c r="I747" s="1"/>
      <c r="J747" s="1"/>
      <c r="K747" s="1"/>
      <c r="L747" s="1"/>
      <c r="M747" s="1"/>
    </row>
    <row r="748" ht="15.75" customHeight="1">
      <c r="A748" s="1"/>
      <c r="B748" s="1"/>
      <c r="C748" s="1"/>
      <c r="D748" s="1"/>
      <c r="E748" s="1"/>
      <c r="F748" s="1"/>
      <c r="G748" s="1"/>
      <c r="H748" s="1"/>
      <c r="I748" s="1"/>
      <c r="J748" s="1"/>
      <c r="K748" s="1"/>
      <c r="L748" s="1"/>
      <c r="M748" s="1"/>
    </row>
    <row r="749" ht="15.75" customHeight="1">
      <c r="A749" s="1"/>
      <c r="B749" s="1"/>
      <c r="C749" s="1"/>
      <c r="D749" s="1"/>
      <c r="E749" s="1"/>
      <c r="F749" s="1"/>
      <c r="G749" s="1"/>
      <c r="H749" s="1"/>
      <c r="I749" s="1"/>
      <c r="J749" s="1"/>
      <c r="K749" s="1"/>
      <c r="L749" s="1"/>
      <c r="M749" s="1"/>
    </row>
    <row r="750" ht="15.75" customHeight="1">
      <c r="A750" s="1"/>
      <c r="B750" s="1"/>
      <c r="C750" s="1"/>
      <c r="D750" s="1"/>
      <c r="E750" s="1"/>
      <c r="F750" s="1"/>
      <c r="G750" s="1"/>
      <c r="H750" s="1"/>
      <c r="I750" s="1"/>
      <c r="J750" s="1"/>
      <c r="K750" s="1"/>
      <c r="L750" s="1"/>
      <c r="M750" s="1"/>
    </row>
    <row r="751" ht="15.75" customHeight="1">
      <c r="A751" s="1"/>
      <c r="B751" s="1"/>
      <c r="C751" s="1"/>
      <c r="D751" s="1"/>
      <c r="E751" s="1"/>
      <c r="F751" s="1"/>
      <c r="G751" s="1"/>
      <c r="H751" s="1"/>
      <c r="I751" s="1"/>
      <c r="J751" s="1"/>
      <c r="K751" s="1"/>
      <c r="L751" s="1"/>
      <c r="M751" s="1"/>
    </row>
    <row r="752" ht="15.75" customHeight="1">
      <c r="A752" s="1"/>
      <c r="B752" s="1"/>
      <c r="C752" s="1"/>
      <c r="D752" s="1"/>
      <c r="E752" s="1"/>
      <c r="F752" s="1"/>
      <c r="G752" s="1"/>
      <c r="H752" s="1"/>
      <c r="I752" s="1"/>
      <c r="J752" s="1"/>
      <c r="K752" s="1"/>
      <c r="L752" s="1"/>
      <c r="M752" s="1"/>
    </row>
    <row r="753" ht="15.75" customHeight="1">
      <c r="A753" s="1"/>
      <c r="B753" s="1"/>
      <c r="C753" s="1"/>
      <c r="D753" s="1"/>
      <c r="E753" s="1"/>
      <c r="F753" s="1"/>
      <c r="G753" s="1"/>
      <c r="H753" s="1"/>
      <c r="I753" s="1"/>
      <c r="J753" s="1"/>
      <c r="K753" s="1"/>
      <c r="L753" s="1"/>
      <c r="M753" s="1"/>
    </row>
    <row r="754" ht="15.75" customHeight="1">
      <c r="A754" s="1"/>
      <c r="B754" s="1"/>
      <c r="C754" s="1"/>
      <c r="D754" s="1"/>
      <c r="E754" s="1"/>
      <c r="F754" s="1"/>
      <c r="G754" s="1"/>
      <c r="H754" s="1"/>
      <c r="I754" s="1"/>
      <c r="J754" s="1"/>
      <c r="K754" s="1"/>
      <c r="L754" s="1"/>
      <c r="M754" s="1"/>
    </row>
    <row r="755" ht="15.75" customHeight="1">
      <c r="A755" s="1"/>
      <c r="B755" s="1"/>
      <c r="C755" s="1"/>
      <c r="D755" s="1"/>
      <c r="E755" s="1"/>
      <c r="F755" s="1"/>
      <c r="G755" s="1"/>
      <c r="H755" s="1"/>
      <c r="I755" s="1"/>
      <c r="J755" s="1"/>
      <c r="K755" s="1"/>
      <c r="L755" s="1"/>
      <c r="M755" s="1"/>
    </row>
    <row r="756" ht="15.75" customHeight="1">
      <c r="A756" s="1"/>
      <c r="B756" s="1"/>
      <c r="C756" s="1"/>
      <c r="D756" s="1"/>
      <c r="E756" s="1"/>
      <c r="F756" s="1"/>
      <c r="G756" s="1"/>
      <c r="H756" s="1"/>
      <c r="I756" s="1"/>
      <c r="J756" s="1"/>
      <c r="K756" s="1"/>
      <c r="L756" s="1"/>
      <c r="M756" s="1"/>
    </row>
    <row r="757" ht="15.75" customHeight="1">
      <c r="A757" s="1"/>
      <c r="B757" s="1"/>
      <c r="C757" s="1"/>
      <c r="D757" s="1"/>
      <c r="E757" s="1"/>
      <c r="F757" s="1"/>
      <c r="G757" s="1"/>
      <c r="H757" s="1"/>
      <c r="I757" s="1"/>
      <c r="J757" s="1"/>
      <c r="K757" s="1"/>
      <c r="L757" s="1"/>
      <c r="M757" s="1"/>
    </row>
    <row r="758" ht="15.75" customHeight="1">
      <c r="A758" s="1"/>
      <c r="B758" s="1"/>
      <c r="C758" s="1"/>
      <c r="D758" s="1"/>
      <c r="E758" s="1"/>
      <c r="F758" s="1"/>
      <c r="G758" s="1"/>
      <c r="H758" s="1"/>
      <c r="I758" s="1"/>
      <c r="J758" s="1"/>
      <c r="K758" s="1"/>
      <c r="L758" s="1"/>
      <c r="M758" s="1"/>
    </row>
    <row r="759" ht="15.75" customHeight="1">
      <c r="A759" s="1"/>
      <c r="B759" s="1"/>
      <c r="C759" s="1"/>
      <c r="D759" s="1"/>
      <c r="E759" s="1"/>
      <c r="F759" s="1"/>
      <c r="G759" s="1"/>
      <c r="H759" s="1"/>
      <c r="I759" s="1"/>
      <c r="J759" s="1"/>
      <c r="K759" s="1"/>
      <c r="L759" s="1"/>
      <c r="M759" s="1"/>
    </row>
    <row r="760" ht="15.75" customHeight="1">
      <c r="A760" s="1"/>
      <c r="B760" s="1"/>
      <c r="C760" s="1"/>
      <c r="D760" s="1"/>
      <c r="E760" s="1"/>
      <c r="F760" s="1"/>
      <c r="G760" s="1"/>
      <c r="H760" s="1"/>
      <c r="I760" s="1"/>
      <c r="J760" s="1"/>
      <c r="K760" s="1"/>
      <c r="L760" s="1"/>
      <c r="M760" s="1"/>
    </row>
    <row r="761" ht="15.75" customHeight="1">
      <c r="A761" s="1"/>
      <c r="B761" s="1"/>
      <c r="C761" s="1"/>
      <c r="D761" s="1"/>
      <c r="E761" s="1"/>
      <c r="F761" s="1"/>
      <c r="G761" s="1"/>
      <c r="H761" s="1"/>
      <c r="I761" s="1"/>
      <c r="J761" s="1"/>
      <c r="K761" s="1"/>
      <c r="L761" s="1"/>
      <c r="M761" s="1"/>
    </row>
    <row r="762" ht="15.75" customHeight="1">
      <c r="A762" s="1"/>
      <c r="B762" s="1"/>
      <c r="C762" s="1"/>
      <c r="D762" s="1"/>
      <c r="E762" s="1"/>
      <c r="F762" s="1"/>
      <c r="G762" s="1"/>
      <c r="H762" s="1"/>
      <c r="I762" s="1"/>
      <c r="J762" s="1"/>
      <c r="K762" s="1"/>
      <c r="L762" s="1"/>
      <c r="M762" s="1"/>
    </row>
    <row r="763" ht="15.75" customHeight="1">
      <c r="A763" s="1"/>
      <c r="B763" s="1"/>
      <c r="C763" s="1"/>
      <c r="D763" s="1"/>
      <c r="E763" s="1"/>
      <c r="F763" s="1"/>
      <c r="G763" s="1"/>
      <c r="H763" s="1"/>
      <c r="I763" s="1"/>
      <c r="J763" s="1"/>
      <c r="K763" s="1"/>
      <c r="L763" s="1"/>
      <c r="M763" s="1"/>
    </row>
    <row r="764" ht="15.75" customHeight="1">
      <c r="A764" s="1"/>
      <c r="B764" s="1"/>
      <c r="C764" s="1"/>
      <c r="D764" s="1"/>
      <c r="E764" s="1"/>
      <c r="F764" s="1"/>
      <c r="G764" s="1"/>
      <c r="H764" s="1"/>
      <c r="I764" s="1"/>
      <c r="J764" s="1"/>
      <c r="K764" s="1"/>
      <c r="L764" s="1"/>
      <c r="M764" s="1"/>
    </row>
    <row r="765" ht="15.75" customHeight="1">
      <c r="A765" s="1"/>
      <c r="B765" s="1"/>
      <c r="C765" s="1"/>
      <c r="D765" s="1"/>
      <c r="E765" s="1"/>
      <c r="F765" s="1"/>
      <c r="G765" s="1"/>
      <c r="H765" s="1"/>
      <c r="I765" s="1"/>
      <c r="J765" s="1"/>
      <c r="K765" s="1"/>
      <c r="L765" s="1"/>
      <c r="M765" s="1"/>
    </row>
    <row r="766" ht="15.75" customHeight="1">
      <c r="A766" s="1"/>
      <c r="B766" s="1"/>
      <c r="C766" s="1"/>
      <c r="D766" s="1"/>
      <c r="E766" s="1"/>
      <c r="F766" s="1"/>
      <c r="G766" s="1"/>
      <c r="H766" s="1"/>
      <c r="I766" s="1"/>
      <c r="J766" s="1"/>
      <c r="K766" s="1"/>
      <c r="L766" s="1"/>
      <c r="M766" s="1"/>
    </row>
    <row r="767" ht="15.75" customHeight="1">
      <c r="A767" s="1"/>
      <c r="B767" s="1"/>
      <c r="C767" s="1"/>
      <c r="D767" s="1"/>
      <c r="E767" s="1"/>
      <c r="F767" s="1"/>
      <c r="G767" s="1"/>
      <c r="H767" s="1"/>
      <c r="I767" s="1"/>
      <c r="J767" s="1"/>
      <c r="K767" s="1"/>
      <c r="L767" s="1"/>
      <c r="M767" s="1"/>
    </row>
    <row r="768" ht="15.75" customHeight="1">
      <c r="A768" s="1"/>
      <c r="B768" s="1"/>
      <c r="C768" s="1"/>
      <c r="D768" s="1"/>
      <c r="E768" s="1"/>
      <c r="F768" s="1"/>
      <c r="G768" s="1"/>
      <c r="H768" s="1"/>
      <c r="I768" s="1"/>
      <c r="J768" s="1"/>
      <c r="K768" s="1"/>
      <c r="L768" s="1"/>
      <c r="M768" s="1"/>
    </row>
    <row r="769" ht="15.75" customHeight="1">
      <c r="A769" s="1"/>
      <c r="B769" s="1"/>
      <c r="C769" s="1"/>
      <c r="D769" s="1"/>
      <c r="E769" s="1"/>
      <c r="F769" s="1"/>
      <c r="G769" s="1"/>
      <c r="H769" s="1"/>
      <c r="I769" s="1"/>
      <c r="J769" s="1"/>
      <c r="K769" s="1"/>
      <c r="L769" s="1"/>
      <c r="M769" s="1"/>
    </row>
    <row r="770" ht="15.75" customHeight="1">
      <c r="A770" s="1"/>
      <c r="B770" s="1"/>
      <c r="C770" s="1"/>
      <c r="D770" s="1"/>
      <c r="E770" s="1"/>
      <c r="F770" s="1"/>
      <c r="G770" s="1"/>
      <c r="H770" s="1"/>
      <c r="I770" s="1"/>
      <c r="J770" s="1"/>
      <c r="K770" s="1"/>
      <c r="L770" s="1"/>
      <c r="M770" s="1"/>
    </row>
    <row r="771" ht="15.75" customHeight="1">
      <c r="A771" s="1"/>
      <c r="B771" s="1"/>
      <c r="C771" s="1"/>
      <c r="D771" s="1"/>
      <c r="E771" s="1"/>
      <c r="F771" s="1"/>
      <c r="G771" s="1"/>
      <c r="H771" s="1"/>
      <c r="I771" s="1"/>
      <c r="J771" s="1"/>
      <c r="K771" s="1"/>
      <c r="L771" s="1"/>
      <c r="M771" s="1"/>
    </row>
    <row r="772" ht="15.75" customHeight="1">
      <c r="A772" s="1"/>
      <c r="B772" s="1"/>
      <c r="C772" s="1"/>
      <c r="D772" s="1"/>
      <c r="E772" s="1"/>
      <c r="F772" s="1"/>
      <c r="G772" s="1"/>
      <c r="H772" s="1"/>
      <c r="I772" s="1"/>
      <c r="J772" s="1"/>
      <c r="K772" s="1"/>
      <c r="L772" s="1"/>
      <c r="M772" s="1"/>
    </row>
    <row r="773" ht="15.75" customHeight="1">
      <c r="A773" s="1"/>
      <c r="B773" s="1"/>
      <c r="C773" s="1"/>
      <c r="D773" s="1"/>
      <c r="E773" s="1"/>
      <c r="F773" s="1"/>
      <c r="G773" s="1"/>
      <c r="H773" s="1"/>
      <c r="I773" s="1"/>
      <c r="J773" s="1"/>
      <c r="K773" s="1"/>
      <c r="L773" s="1"/>
      <c r="M773" s="1"/>
    </row>
    <row r="774" ht="15.75" customHeight="1">
      <c r="A774" s="1"/>
      <c r="B774" s="1"/>
      <c r="C774" s="1"/>
      <c r="D774" s="1"/>
      <c r="E774" s="1"/>
      <c r="F774" s="1"/>
      <c r="G774" s="1"/>
      <c r="H774" s="1"/>
      <c r="I774" s="1"/>
      <c r="J774" s="1"/>
      <c r="K774" s="1"/>
      <c r="L774" s="1"/>
      <c r="M774" s="1"/>
    </row>
    <row r="775" ht="15.75" customHeight="1">
      <c r="A775" s="1"/>
      <c r="B775" s="1"/>
      <c r="C775" s="1"/>
      <c r="D775" s="1"/>
      <c r="E775" s="1"/>
      <c r="F775" s="1"/>
      <c r="G775" s="1"/>
      <c r="H775" s="1"/>
      <c r="I775" s="1"/>
      <c r="J775" s="1"/>
      <c r="K775" s="1"/>
      <c r="L775" s="1"/>
      <c r="M775" s="1"/>
    </row>
    <row r="776" ht="15.75" customHeight="1">
      <c r="A776" s="1"/>
      <c r="B776" s="1"/>
      <c r="C776" s="1"/>
      <c r="D776" s="1"/>
      <c r="E776" s="1"/>
      <c r="F776" s="1"/>
      <c r="G776" s="1"/>
      <c r="H776" s="1"/>
      <c r="I776" s="1"/>
      <c r="J776" s="1"/>
      <c r="K776" s="1"/>
      <c r="L776" s="1"/>
      <c r="M776" s="1"/>
    </row>
    <row r="777" ht="15.75" customHeight="1">
      <c r="A777" s="1"/>
      <c r="B777" s="1"/>
      <c r="C777" s="1"/>
      <c r="D777" s="1"/>
      <c r="E777" s="1"/>
      <c r="F777" s="1"/>
      <c r="G777" s="1"/>
      <c r="H777" s="1"/>
      <c r="I777" s="1"/>
      <c r="J777" s="1"/>
      <c r="K777" s="1"/>
      <c r="L777" s="1"/>
      <c r="M777" s="1"/>
    </row>
    <row r="778" ht="15.75" customHeight="1">
      <c r="A778" s="1"/>
      <c r="B778" s="1"/>
      <c r="C778" s="1"/>
      <c r="D778" s="1"/>
      <c r="E778" s="1"/>
      <c r="F778" s="1"/>
      <c r="G778" s="1"/>
      <c r="H778" s="1"/>
      <c r="I778" s="1"/>
      <c r="J778" s="1"/>
      <c r="K778" s="1"/>
      <c r="L778" s="1"/>
      <c r="M778" s="1"/>
    </row>
    <row r="779" ht="15.75" customHeight="1">
      <c r="A779" s="1"/>
      <c r="B779" s="1"/>
      <c r="C779" s="1"/>
      <c r="D779" s="1"/>
      <c r="E779" s="1"/>
      <c r="F779" s="1"/>
      <c r="G779" s="1"/>
      <c r="H779" s="1"/>
      <c r="I779" s="1"/>
      <c r="J779" s="1"/>
      <c r="K779" s="1"/>
      <c r="L779" s="1"/>
      <c r="M779" s="1"/>
    </row>
    <row r="780" ht="15.75" customHeight="1">
      <c r="A780" s="1"/>
      <c r="B780" s="1"/>
      <c r="C780" s="1"/>
      <c r="D780" s="1"/>
      <c r="E780" s="1"/>
      <c r="F780" s="1"/>
      <c r="G780" s="1"/>
      <c r="H780" s="1"/>
      <c r="I780" s="1"/>
      <c r="J780" s="1"/>
      <c r="K780" s="1"/>
      <c r="L780" s="1"/>
      <c r="M780" s="1"/>
    </row>
    <row r="781" ht="15.75" customHeight="1">
      <c r="A781" s="1"/>
      <c r="B781" s="1"/>
      <c r="C781" s="1"/>
      <c r="D781" s="1"/>
      <c r="E781" s="1"/>
      <c r="F781" s="1"/>
      <c r="G781" s="1"/>
      <c r="H781" s="1"/>
      <c r="I781" s="1"/>
      <c r="J781" s="1"/>
      <c r="K781" s="1"/>
      <c r="L781" s="1"/>
      <c r="M781" s="1"/>
    </row>
    <row r="782" ht="15.75" customHeight="1">
      <c r="A782" s="1"/>
      <c r="B782" s="1"/>
      <c r="C782" s="1"/>
      <c r="D782" s="1"/>
      <c r="E782" s="1"/>
      <c r="F782" s="1"/>
      <c r="G782" s="1"/>
      <c r="H782" s="1"/>
      <c r="I782" s="1"/>
      <c r="J782" s="1"/>
      <c r="K782" s="1"/>
      <c r="L782" s="1"/>
      <c r="M782" s="1"/>
    </row>
    <row r="783" ht="15.75" customHeight="1">
      <c r="A783" s="1"/>
      <c r="B783" s="1"/>
      <c r="C783" s="1"/>
      <c r="D783" s="1"/>
      <c r="E783" s="1"/>
      <c r="F783" s="1"/>
      <c r="G783" s="1"/>
      <c r="H783" s="1"/>
      <c r="I783" s="1"/>
      <c r="J783" s="1"/>
      <c r="K783" s="1"/>
      <c r="L783" s="1"/>
      <c r="M783" s="1"/>
    </row>
    <row r="784" ht="15.75" customHeight="1">
      <c r="A784" s="1"/>
      <c r="B784" s="1"/>
      <c r="C784" s="1"/>
      <c r="D784" s="1"/>
      <c r="E784" s="1"/>
      <c r="F784" s="1"/>
      <c r="G784" s="1"/>
      <c r="H784" s="1"/>
      <c r="I784" s="1"/>
      <c r="J784" s="1"/>
      <c r="K784" s="1"/>
      <c r="L784" s="1"/>
      <c r="M784" s="1"/>
    </row>
    <row r="785" ht="15.75" customHeight="1">
      <c r="A785" s="1"/>
      <c r="B785" s="1"/>
      <c r="C785" s="1"/>
      <c r="D785" s="1"/>
      <c r="E785" s="1"/>
      <c r="F785" s="1"/>
      <c r="G785" s="1"/>
      <c r="H785" s="1"/>
      <c r="I785" s="1"/>
      <c r="J785" s="1"/>
      <c r="K785" s="1"/>
      <c r="L785" s="1"/>
      <c r="M785" s="1"/>
    </row>
    <row r="786" ht="15.75" customHeight="1">
      <c r="A786" s="1"/>
      <c r="B786" s="1"/>
      <c r="C786" s="1"/>
      <c r="D786" s="1"/>
      <c r="E786" s="1"/>
      <c r="F786" s="1"/>
      <c r="G786" s="1"/>
      <c r="H786" s="1"/>
      <c r="I786" s="1"/>
      <c r="J786" s="1"/>
      <c r="K786" s="1"/>
      <c r="L786" s="1"/>
      <c r="M786" s="1"/>
    </row>
    <row r="787" ht="15.75" customHeight="1">
      <c r="A787" s="1"/>
      <c r="B787" s="1"/>
      <c r="C787" s="1"/>
      <c r="D787" s="1"/>
      <c r="E787" s="1"/>
      <c r="F787" s="1"/>
      <c r="G787" s="1"/>
      <c r="H787" s="1"/>
      <c r="I787" s="1"/>
      <c r="J787" s="1"/>
      <c r="K787" s="1"/>
      <c r="L787" s="1"/>
      <c r="M787" s="1"/>
    </row>
    <row r="788" ht="15.75" customHeight="1">
      <c r="A788" s="1"/>
      <c r="B788" s="1"/>
      <c r="C788" s="1"/>
      <c r="D788" s="1"/>
      <c r="E788" s="1"/>
      <c r="F788" s="1"/>
      <c r="G788" s="1"/>
      <c r="H788" s="1"/>
      <c r="I788" s="1"/>
      <c r="J788" s="1"/>
      <c r="K788" s="1"/>
      <c r="L788" s="1"/>
      <c r="M788" s="1"/>
    </row>
    <row r="789" ht="15.75" customHeight="1">
      <c r="A789" s="1"/>
      <c r="B789" s="1"/>
      <c r="C789" s="1"/>
      <c r="D789" s="1"/>
      <c r="E789" s="1"/>
      <c r="F789" s="1"/>
      <c r="G789" s="1"/>
      <c r="H789" s="1"/>
      <c r="I789" s="1"/>
      <c r="J789" s="1"/>
      <c r="K789" s="1"/>
      <c r="L789" s="1"/>
      <c r="M789" s="1"/>
    </row>
    <row r="790" ht="15.75" customHeight="1">
      <c r="A790" s="1"/>
      <c r="B790" s="1"/>
      <c r="C790" s="1"/>
      <c r="D790" s="1"/>
      <c r="E790" s="1"/>
      <c r="F790" s="1"/>
      <c r="G790" s="1"/>
      <c r="H790" s="1"/>
      <c r="I790" s="1"/>
      <c r="J790" s="1"/>
      <c r="K790" s="1"/>
      <c r="L790" s="1"/>
      <c r="M790" s="1"/>
    </row>
    <row r="791" ht="15.75" customHeight="1">
      <c r="A791" s="1"/>
      <c r="B791" s="1"/>
      <c r="C791" s="1"/>
      <c r="D791" s="1"/>
      <c r="E791" s="1"/>
      <c r="F791" s="1"/>
      <c r="G791" s="1"/>
      <c r="H791" s="1"/>
      <c r="I791" s="1"/>
      <c r="J791" s="1"/>
      <c r="K791" s="1"/>
      <c r="L791" s="1"/>
      <c r="M791" s="1"/>
    </row>
    <row r="792" ht="15.75" customHeight="1">
      <c r="A792" s="1"/>
      <c r="B792" s="1"/>
      <c r="C792" s="1"/>
      <c r="D792" s="1"/>
      <c r="E792" s="1"/>
      <c r="F792" s="1"/>
      <c r="G792" s="1"/>
      <c r="H792" s="1"/>
      <c r="I792" s="1"/>
      <c r="J792" s="1"/>
      <c r="K792" s="1"/>
      <c r="L792" s="1"/>
      <c r="M792" s="1"/>
    </row>
    <row r="793" ht="15.75" customHeight="1">
      <c r="A793" s="1"/>
      <c r="B793" s="1"/>
      <c r="C793" s="1"/>
      <c r="D793" s="1"/>
      <c r="E793" s="1"/>
      <c r="F793" s="1"/>
      <c r="G793" s="1"/>
      <c r="H793" s="1"/>
      <c r="I793" s="1"/>
      <c r="J793" s="1"/>
      <c r="K793" s="1"/>
      <c r="L793" s="1"/>
      <c r="M793" s="1"/>
    </row>
    <row r="794" ht="15.75" customHeight="1">
      <c r="A794" s="1"/>
      <c r="B794" s="1"/>
      <c r="C794" s="1"/>
      <c r="D794" s="1"/>
      <c r="E794" s="1"/>
      <c r="F794" s="1"/>
      <c r="G794" s="1"/>
      <c r="H794" s="1"/>
      <c r="I794" s="1"/>
      <c r="J794" s="1"/>
      <c r="K794" s="1"/>
      <c r="L794" s="1"/>
      <c r="M794" s="1"/>
    </row>
    <row r="795" ht="15.75" customHeight="1">
      <c r="A795" s="1"/>
      <c r="B795" s="1"/>
      <c r="C795" s="1"/>
      <c r="D795" s="1"/>
      <c r="E795" s="1"/>
      <c r="F795" s="1"/>
      <c r="G795" s="1"/>
      <c r="H795" s="1"/>
      <c r="I795" s="1"/>
      <c r="J795" s="1"/>
      <c r="K795" s="1"/>
      <c r="L795" s="1"/>
      <c r="M795" s="1"/>
    </row>
    <row r="796" ht="15.75" customHeight="1">
      <c r="A796" s="1"/>
      <c r="B796" s="1"/>
      <c r="C796" s="1"/>
      <c r="D796" s="1"/>
      <c r="E796" s="1"/>
      <c r="F796" s="1"/>
      <c r="G796" s="1"/>
      <c r="H796" s="1"/>
      <c r="I796" s="1"/>
      <c r="J796" s="1"/>
      <c r="K796" s="1"/>
      <c r="L796" s="1"/>
      <c r="M796" s="1"/>
    </row>
    <row r="797" ht="15.75" customHeight="1">
      <c r="A797" s="1"/>
      <c r="B797" s="1"/>
      <c r="C797" s="1"/>
      <c r="D797" s="1"/>
      <c r="E797" s="1"/>
      <c r="F797" s="1"/>
      <c r="G797" s="1"/>
      <c r="H797" s="1"/>
      <c r="I797" s="1"/>
      <c r="J797" s="1"/>
      <c r="K797" s="1"/>
      <c r="L797" s="1"/>
      <c r="M797" s="1"/>
    </row>
    <row r="798" ht="15.75" customHeight="1">
      <c r="A798" s="1"/>
      <c r="B798" s="1"/>
      <c r="C798" s="1"/>
      <c r="D798" s="1"/>
      <c r="E798" s="1"/>
      <c r="F798" s="1"/>
      <c r="G798" s="1"/>
      <c r="H798" s="1"/>
      <c r="I798" s="1"/>
      <c r="J798" s="1"/>
      <c r="K798" s="1"/>
      <c r="L798" s="1"/>
      <c r="M798" s="1"/>
    </row>
    <row r="799" ht="15.75" customHeight="1">
      <c r="A799" s="1"/>
      <c r="B799" s="1"/>
      <c r="C799" s="1"/>
      <c r="D799" s="1"/>
      <c r="E799" s="1"/>
      <c r="F799" s="1"/>
      <c r="G799" s="1"/>
      <c r="H799" s="1"/>
      <c r="I799" s="1"/>
      <c r="J799" s="1"/>
      <c r="K799" s="1"/>
      <c r="L799" s="1"/>
      <c r="M799" s="1"/>
    </row>
    <row r="800" ht="15.75" customHeight="1">
      <c r="A800" s="1"/>
      <c r="B800" s="1"/>
      <c r="C800" s="1"/>
      <c r="D800" s="1"/>
      <c r="E800" s="1"/>
      <c r="F800" s="1"/>
      <c r="G800" s="1"/>
      <c r="H800" s="1"/>
      <c r="I800" s="1"/>
      <c r="J800" s="1"/>
      <c r="K800" s="1"/>
      <c r="L800" s="1"/>
      <c r="M800" s="1"/>
    </row>
    <row r="801" ht="15.75" customHeight="1">
      <c r="A801" s="1"/>
      <c r="B801" s="1"/>
      <c r="C801" s="1"/>
      <c r="D801" s="1"/>
      <c r="E801" s="1"/>
      <c r="F801" s="1"/>
      <c r="G801" s="1"/>
      <c r="H801" s="1"/>
      <c r="I801" s="1"/>
      <c r="J801" s="1"/>
      <c r="K801" s="1"/>
      <c r="L801" s="1"/>
      <c r="M801" s="1"/>
    </row>
    <row r="802" ht="15.75" customHeight="1">
      <c r="A802" s="1"/>
      <c r="B802" s="1"/>
      <c r="C802" s="1"/>
      <c r="D802" s="1"/>
      <c r="E802" s="1"/>
      <c r="F802" s="1"/>
      <c r="G802" s="1"/>
      <c r="H802" s="1"/>
      <c r="I802" s="1"/>
      <c r="J802" s="1"/>
      <c r="K802" s="1"/>
      <c r="L802" s="1"/>
      <c r="M802" s="1"/>
    </row>
    <row r="803" ht="15.75" customHeight="1">
      <c r="A803" s="1"/>
      <c r="B803" s="1"/>
      <c r="C803" s="1"/>
      <c r="D803" s="1"/>
      <c r="E803" s="1"/>
      <c r="F803" s="1"/>
      <c r="G803" s="1"/>
      <c r="H803" s="1"/>
      <c r="I803" s="1"/>
      <c r="J803" s="1"/>
      <c r="K803" s="1"/>
      <c r="L803" s="1"/>
      <c r="M803" s="1"/>
    </row>
    <row r="804" ht="15.75" customHeight="1">
      <c r="A804" s="1"/>
      <c r="B804" s="1"/>
      <c r="C804" s="1"/>
      <c r="D804" s="1"/>
      <c r="E804" s="1"/>
      <c r="F804" s="1"/>
      <c r="G804" s="1"/>
      <c r="H804" s="1"/>
      <c r="I804" s="1"/>
      <c r="J804" s="1"/>
      <c r="K804" s="1"/>
      <c r="L804" s="1"/>
      <c r="M804" s="1"/>
    </row>
    <row r="805" ht="15.75" customHeight="1">
      <c r="A805" s="1"/>
      <c r="B805" s="1"/>
      <c r="C805" s="1"/>
      <c r="D805" s="1"/>
      <c r="E805" s="1"/>
      <c r="F805" s="1"/>
      <c r="G805" s="1"/>
      <c r="H805" s="1"/>
      <c r="I805" s="1"/>
      <c r="J805" s="1"/>
      <c r="K805" s="1"/>
      <c r="L805" s="1"/>
      <c r="M805" s="1"/>
    </row>
    <row r="806" ht="15.75" customHeight="1">
      <c r="A806" s="1"/>
      <c r="B806" s="1"/>
      <c r="C806" s="1"/>
      <c r="D806" s="1"/>
      <c r="E806" s="1"/>
      <c r="F806" s="1"/>
      <c r="G806" s="1"/>
      <c r="H806" s="1"/>
      <c r="I806" s="1"/>
      <c r="J806" s="1"/>
      <c r="K806" s="1"/>
      <c r="L806" s="1"/>
      <c r="M806" s="1"/>
    </row>
    <row r="807" ht="15.75" customHeight="1">
      <c r="A807" s="1"/>
      <c r="B807" s="1"/>
      <c r="C807" s="1"/>
      <c r="D807" s="1"/>
      <c r="E807" s="1"/>
      <c r="F807" s="1"/>
      <c r="G807" s="1"/>
      <c r="H807" s="1"/>
      <c r="I807" s="1"/>
      <c r="J807" s="1"/>
      <c r="K807" s="1"/>
      <c r="L807" s="1"/>
      <c r="M807" s="1"/>
    </row>
    <row r="808" ht="15.75" customHeight="1">
      <c r="A808" s="1"/>
      <c r="B808" s="1"/>
      <c r="C808" s="1"/>
      <c r="D808" s="1"/>
      <c r="E808" s="1"/>
      <c r="F808" s="1"/>
      <c r="G808" s="1"/>
      <c r="H808" s="1"/>
      <c r="I808" s="1"/>
      <c r="J808" s="1"/>
      <c r="K808" s="1"/>
      <c r="L808" s="1"/>
      <c r="M808" s="1"/>
    </row>
    <row r="809" ht="15.75" customHeight="1">
      <c r="A809" s="1"/>
      <c r="B809" s="1"/>
      <c r="C809" s="1"/>
      <c r="D809" s="1"/>
      <c r="E809" s="1"/>
      <c r="F809" s="1"/>
      <c r="G809" s="1"/>
      <c r="H809" s="1"/>
      <c r="I809" s="1"/>
      <c r="J809" s="1"/>
      <c r="K809" s="1"/>
      <c r="L809" s="1"/>
      <c r="M809" s="1"/>
    </row>
    <row r="810" ht="15.75" customHeight="1">
      <c r="A810" s="1"/>
      <c r="B810" s="1"/>
      <c r="C810" s="1"/>
      <c r="D810" s="1"/>
      <c r="E810" s="1"/>
      <c r="F810" s="1"/>
      <c r="G810" s="1"/>
      <c r="H810" s="1"/>
      <c r="I810" s="1"/>
      <c r="J810" s="1"/>
      <c r="K810" s="1"/>
      <c r="L810" s="1"/>
      <c r="M810" s="1"/>
    </row>
    <row r="811" ht="15.75" customHeight="1">
      <c r="A811" s="1"/>
      <c r="B811" s="1"/>
      <c r="C811" s="1"/>
      <c r="D811" s="1"/>
      <c r="E811" s="1"/>
      <c r="F811" s="1"/>
      <c r="G811" s="1"/>
      <c r="H811" s="1"/>
      <c r="I811" s="1"/>
      <c r="J811" s="1"/>
      <c r="K811" s="1"/>
      <c r="L811" s="1"/>
      <c r="M811" s="1"/>
    </row>
    <row r="812" ht="15.75" customHeight="1">
      <c r="A812" s="1"/>
      <c r="B812" s="1"/>
      <c r="C812" s="1"/>
      <c r="D812" s="1"/>
      <c r="E812" s="1"/>
      <c r="F812" s="1"/>
      <c r="G812" s="1"/>
      <c r="H812" s="1"/>
      <c r="I812" s="1"/>
      <c r="J812" s="1"/>
      <c r="K812" s="1"/>
      <c r="L812" s="1"/>
      <c r="M812" s="1"/>
    </row>
    <row r="813" ht="15.75" customHeight="1">
      <c r="A813" s="1"/>
      <c r="B813" s="1"/>
      <c r="C813" s="1"/>
      <c r="D813" s="1"/>
      <c r="E813" s="1"/>
      <c r="F813" s="1"/>
      <c r="G813" s="1"/>
      <c r="H813" s="1"/>
      <c r="I813" s="1"/>
      <c r="J813" s="1"/>
      <c r="K813" s="1"/>
      <c r="L813" s="1"/>
      <c r="M813" s="1"/>
    </row>
    <row r="814" ht="15.75" customHeight="1">
      <c r="A814" s="1"/>
      <c r="B814" s="1"/>
      <c r="C814" s="1"/>
      <c r="D814" s="1"/>
      <c r="E814" s="1"/>
      <c r="F814" s="1"/>
      <c r="G814" s="1"/>
      <c r="H814" s="1"/>
      <c r="I814" s="1"/>
      <c r="J814" s="1"/>
      <c r="K814" s="1"/>
      <c r="L814" s="1"/>
      <c r="M814" s="1"/>
    </row>
    <row r="815" ht="15.75" customHeight="1">
      <c r="A815" s="1"/>
      <c r="B815" s="1"/>
      <c r="C815" s="1"/>
      <c r="D815" s="1"/>
      <c r="E815" s="1"/>
      <c r="F815" s="1"/>
      <c r="G815" s="1"/>
      <c r="H815" s="1"/>
      <c r="I815" s="1"/>
      <c r="J815" s="1"/>
      <c r="K815" s="1"/>
      <c r="L815" s="1"/>
      <c r="M815" s="1"/>
    </row>
    <row r="816" ht="15.75" customHeight="1">
      <c r="A816" s="1"/>
      <c r="B816" s="1"/>
      <c r="C816" s="1"/>
      <c r="D816" s="1"/>
      <c r="E816" s="1"/>
      <c r="F816" s="1"/>
      <c r="G816" s="1"/>
      <c r="H816" s="1"/>
      <c r="I816" s="1"/>
      <c r="J816" s="1"/>
      <c r="K816" s="1"/>
      <c r="L816" s="1"/>
      <c r="M816" s="1"/>
    </row>
    <row r="817" ht="15.75" customHeight="1">
      <c r="A817" s="1"/>
      <c r="B817" s="1"/>
      <c r="C817" s="1"/>
      <c r="D817" s="1"/>
      <c r="E817" s="1"/>
      <c r="F817" s="1"/>
      <c r="G817" s="1"/>
      <c r="H817" s="1"/>
      <c r="I817" s="1"/>
      <c r="J817" s="1"/>
      <c r="K817" s="1"/>
      <c r="L817" s="1"/>
      <c r="M817" s="1"/>
    </row>
    <row r="818" ht="15.75" customHeight="1">
      <c r="A818" s="1"/>
      <c r="B818" s="1"/>
      <c r="C818" s="1"/>
      <c r="D818" s="1"/>
      <c r="E818" s="1"/>
      <c r="F818" s="1"/>
      <c r="G818" s="1"/>
      <c r="H818" s="1"/>
      <c r="I818" s="1"/>
      <c r="J818" s="1"/>
      <c r="K818" s="1"/>
      <c r="L818" s="1"/>
      <c r="M818" s="1"/>
    </row>
    <row r="819" ht="15.75" customHeight="1">
      <c r="A819" s="1"/>
      <c r="B819" s="1"/>
      <c r="C819" s="1"/>
      <c r="D819" s="1"/>
      <c r="E819" s="1"/>
      <c r="F819" s="1"/>
      <c r="G819" s="1"/>
      <c r="H819" s="1"/>
      <c r="I819" s="1"/>
      <c r="J819" s="1"/>
      <c r="K819" s="1"/>
      <c r="L819" s="1"/>
      <c r="M819" s="1"/>
    </row>
    <row r="820" ht="15.75" customHeight="1">
      <c r="A820" s="1"/>
      <c r="B820" s="1"/>
      <c r="C820" s="1"/>
      <c r="D820" s="1"/>
      <c r="E820" s="1"/>
      <c r="F820" s="1"/>
      <c r="G820" s="1"/>
      <c r="H820" s="1"/>
      <c r="I820" s="1"/>
      <c r="J820" s="1"/>
      <c r="K820" s="1"/>
      <c r="L820" s="1"/>
      <c r="M820" s="1"/>
    </row>
    <row r="821" ht="15.75" customHeight="1">
      <c r="A821" s="1"/>
      <c r="B821" s="1"/>
      <c r="C821" s="1"/>
      <c r="D821" s="1"/>
      <c r="E821" s="1"/>
      <c r="F821" s="1"/>
      <c r="G821" s="1"/>
      <c r="H821" s="1"/>
      <c r="I821" s="1"/>
      <c r="J821" s="1"/>
      <c r="K821" s="1"/>
      <c r="L821" s="1"/>
      <c r="M821" s="1"/>
    </row>
    <row r="822" ht="15.75" customHeight="1">
      <c r="A822" s="1"/>
      <c r="B822" s="1"/>
      <c r="C822" s="1"/>
      <c r="D822" s="1"/>
      <c r="E822" s="1"/>
      <c r="F822" s="1"/>
      <c r="G822" s="1"/>
      <c r="H822" s="1"/>
      <c r="I822" s="1"/>
      <c r="J822" s="1"/>
      <c r="K822" s="1"/>
      <c r="L822" s="1"/>
      <c r="M822" s="1"/>
    </row>
    <row r="823" ht="15.75" customHeight="1">
      <c r="A823" s="1"/>
      <c r="B823" s="1"/>
      <c r="C823" s="1"/>
      <c r="D823" s="1"/>
      <c r="E823" s="1"/>
      <c r="F823" s="1"/>
      <c r="G823" s="1"/>
      <c r="H823" s="1"/>
      <c r="I823" s="1"/>
      <c r="J823" s="1"/>
      <c r="K823" s="1"/>
      <c r="L823" s="1"/>
      <c r="M823" s="1"/>
    </row>
    <row r="824" ht="15.75" customHeight="1">
      <c r="A824" s="1"/>
      <c r="B824" s="1"/>
      <c r="C824" s="1"/>
      <c r="D824" s="1"/>
      <c r="E824" s="1"/>
      <c r="F824" s="1"/>
      <c r="G824" s="1"/>
      <c r="H824" s="1"/>
      <c r="I824" s="1"/>
      <c r="J824" s="1"/>
      <c r="K824" s="1"/>
      <c r="L824" s="1"/>
      <c r="M824" s="1"/>
    </row>
    <row r="825" ht="15.75" customHeight="1">
      <c r="A825" s="1"/>
      <c r="B825" s="1"/>
      <c r="C825" s="1"/>
      <c r="D825" s="1"/>
      <c r="E825" s="1"/>
      <c r="F825" s="1"/>
      <c r="G825" s="1"/>
      <c r="H825" s="1"/>
      <c r="I825" s="1"/>
      <c r="J825" s="1"/>
      <c r="K825" s="1"/>
      <c r="L825" s="1"/>
      <c r="M825" s="1"/>
    </row>
    <row r="826" ht="15.75" customHeight="1">
      <c r="A826" s="1"/>
      <c r="B826" s="1"/>
      <c r="C826" s="1"/>
      <c r="D826" s="1"/>
      <c r="E826" s="1"/>
      <c r="F826" s="1"/>
      <c r="G826" s="1"/>
      <c r="H826" s="1"/>
      <c r="I826" s="1"/>
      <c r="J826" s="1"/>
      <c r="K826" s="1"/>
      <c r="L826" s="1"/>
      <c r="M826" s="1"/>
    </row>
    <row r="827" ht="15.75" customHeight="1">
      <c r="A827" s="1"/>
      <c r="B827" s="1"/>
      <c r="C827" s="1"/>
      <c r="D827" s="1"/>
      <c r="E827" s="1"/>
      <c r="F827" s="1"/>
      <c r="G827" s="1"/>
      <c r="H827" s="1"/>
      <c r="I827" s="1"/>
      <c r="J827" s="1"/>
      <c r="K827" s="1"/>
      <c r="L827" s="1"/>
      <c r="M827" s="1"/>
    </row>
    <row r="828" ht="15.75" customHeight="1">
      <c r="A828" s="1"/>
      <c r="B828" s="1"/>
      <c r="C828" s="1"/>
      <c r="D828" s="1"/>
      <c r="E828" s="1"/>
      <c r="F828" s="1"/>
      <c r="G828" s="1"/>
      <c r="H828" s="1"/>
      <c r="I828" s="1"/>
      <c r="J828" s="1"/>
      <c r="K828" s="1"/>
      <c r="L828" s="1"/>
      <c r="M828" s="1"/>
    </row>
    <row r="829" ht="15.75" customHeight="1">
      <c r="A829" s="1"/>
      <c r="B829" s="1"/>
      <c r="C829" s="1"/>
      <c r="D829" s="1"/>
      <c r="E829" s="1"/>
      <c r="F829" s="1"/>
      <c r="G829" s="1"/>
      <c r="H829" s="1"/>
      <c r="I829" s="1"/>
      <c r="J829" s="1"/>
      <c r="K829" s="1"/>
      <c r="L829" s="1"/>
      <c r="M829" s="1"/>
    </row>
    <row r="830" ht="15.75" customHeight="1">
      <c r="A830" s="1"/>
      <c r="B830" s="1"/>
      <c r="C830" s="1"/>
      <c r="D830" s="1"/>
      <c r="E830" s="1"/>
      <c r="F830" s="1"/>
      <c r="G830" s="1"/>
      <c r="H830" s="1"/>
      <c r="I830" s="1"/>
      <c r="J830" s="1"/>
      <c r="K830" s="1"/>
      <c r="L830" s="1"/>
      <c r="M830" s="1"/>
    </row>
    <row r="831" ht="15.75" customHeight="1">
      <c r="A831" s="1"/>
      <c r="B831" s="1"/>
      <c r="C831" s="1"/>
      <c r="D831" s="1"/>
      <c r="E831" s="1"/>
      <c r="F831" s="1"/>
      <c r="G831" s="1"/>
      <c r="H831" s="1"/>
      <c r="I831" s="1"/>
      <c r="J831" s="1"/>
      <c r="K831" s="1"/>
      <c r="L831" s="1"/>
      <c r="M831" s="1"/>
    </row>
    <row r="832" ht="15.75" customHeight="1">
      <c r="A832" s="1"/>
      <c r="B832" s="1"/>
      <c r="C832" s="1"/>
      <c r="D832" s="1"/>
      <c r="E832" s="1"/>
      <c r="F832" s="1"/>
      <c r="G832" s="1"/>
      <c r="H832" s="1"/>
      <c r="I832" s="1"/>
      <c r="J832" s="1"/>
      <c r="K832" s="1"/>
      <c r="L832" s="1"/>
      <c r="M832" s="1"/>
    </row>
    <row r="833" ht="15.75" customHeight="1">
      <c r="A833" s="1"/>
      <c r="B833" s="1"/>
      <c r="C833" s="1"/>
      <c r="D833" s="1"/>
      <c r="E833" s="1"/>
      <c r="F833" s="1"/>
      <c r="G833" s="1"/>
      <c r="H833" s="1"/>
      <c r="I833" s="1"/>
      <c r="J833" s="1"/>
      <c r="K833" s="1"/>
      <c r="L833" s="1"/>
      <c r="M833" s="1"/>
    </row>
    <row r="834" ht="15.75" customHeight="1">
      <c r="A834" s="1"/>
      <c r="B834" s="1"/>
      <c r="C834" s="1"/>
      <c r="D834" s="1"/>
      <c r="E834" s="1"/>
      <c r="F834" s="1"/>
      <c r="G834" s="1"/>
      <c r="H834" s="1"/>
      <c r="I834" s="1"/>
      <c r="J834" s="1"/>
      <c r="K834" s="1"/>
      <c r="L834" s="1"/>
      <c r="M834" s="1"/>
    </row>
    <row r="835" ht="15.75" customHeight="1">
      <c r="A835" s="1"/>
      <c r="B835" s="1"/>
      <c r="C835" s="1"/>
      <c r="D835" s="1"/>
      <c r="E835" s="1"/>
      <c r="F835" s="1"/>
      <c r="G835" s="1"/>
      <c r="H835" s="1"/>
      <c r="I835" s="1"/>
      <c r="J835" s="1"/>
      <c r="K835" s="1"/>
      <c r="L835" s="1"/>
      <c r="M835" s="1"/>
    </row>
    <row r="836" ht="15.75" customHeight="1">
      <c r="A836" s="1"/>
      <c r="B836" s="1"/>
      <c r="C836" s="1"/>
      <c r="D836" s="1"/>
      <c r="E836" s="1"/>
      <c r="F836" s="1"/>
      <c r="G836" s="1"/>
      <c r="H836" s="1"/>
      <c r="I836" s="1"/>
      <c r="J836" s="1"/>
      <c r="K836" s="1"/>
      <c r="L836" s="1"/>
      <c r="M836" s="1"/>
    </row>
    <row r="837" ht="15.75" customHeight="1">
      <c r="A837" s="1"/>
      <c r="B837" s="1"/>
      <c r="C837" s="1"/>
      <c r="D837" s="1"/>
      <c r="E837" s="1"/>
      <c r="F837" s="1"/>
      <c r="G837" s="1"/>
      <c r="H837" s="1"/>
      <c r="I837" s="1"/>
      <c r="J837" s="1"/>
      <c r="K837" s="1"/>
      <c r="L837" s="1"/>
      <c r="M837" s="1"/>
    </row>
    <row r="838" ht="15.75" customHeight="1">
      <c r="A838" s="1"/>
      <c r="B838" s="1"/>
      <c r="C838" s="1"/>
      <c r="D838" s="1"/>
      <c r="E838" s="1"/>
      <c r="F838" s="1"/>
      <c r="G838" s="1"/>
      <c r="H838" s="1"/>
      <c r="I838" s="1"/>
      <c r="J838" s="1"/>
      <c r="K838" s="1"/>
      <c r="L838" s="1"/>
      <c r="M838" s="1"/>
    </row>
    <row r="839" ht="15.75" customHeight="1">
      <c r="A839" s="1"/>
      <c r="B839" s="1"/>
      <c r="C839" s="1"/>
      <c r="D839" s="1"/>
      <c r="E839" s="1"/>
      <c r="F839" s="1"/>
      <c r="G839" s="1"/>
      <c r="H839" s="1"/>
      <c r="I839" s="1"/>
      <c r="J839" s="1"/>
      <c r="K839" s="1"/>
      <c r="L839" s="1"/>
      <c r="M839" s="1"/>
    </row>
    <row r="840" ht="15.75" customHeight="1">
      <c r="A840" s="1"/>
      <c r="B840" s="1"/>
      <c r="C840" s="1"/>
      <c r="D840" s="1"/>
      <c r="E840" s="1"/>
      <c r="F840" s="1"/>
      <c r="G840" s="1"/>
      <c r="H840" s="1"/>
      <c r="I840" s="1"/>
      <c r="J840" s="1"/>
      <c r="K840" s="1"/>
      <c r="L840" s="1"/>
      <c r="M840" s="1"/>
    </row>
    <row r="841" ht="15.75" customHeight="1">
      <c r="A841" s="1"/>
      <c r="B841" s="1"/>
      <c r="C841" s="1"/>
      <c r="D841" s="1"/>
      <c r="E841" s="1"/>
      <c r="F841" s="1"/>
      <c r="G841" s="1"/>
      <c r="H841" s="1"/>
      <c r="I841" s="1"/>
      <c r="J841" s="1"/>
      <c r="K841" s="1"/>
      <c r="L841" s="1"/>
      <c r="M841" s="1"/>
    </row>
    <row r="842" ht="15.75" customHeight="1">
      <c r="A842" s="1"/>
      <c r="B842" s="1"/>
      <c r="C842" s="1"/>
      <c r="D842" s="1"/>
      <c r="E842" s="1"/>
      <c r="F842" s="1"/>
      <c r="G842" s="1"/>
      <c r="H842" s="1"/>
      <c r="I842" s="1"/>
      <c r="J842" s="1"/>
      <c r="K842" s="1"/>
      <c r="L842" s="1"/>
      <c r="M842" s="1"/>
    </row>
    <row r="843" ht="15.75" customHeight="1">
      <c r="A843" s="1"/>
      <c r="B843" s="1"/>
      <c r="C843" s="1"/>
      <c r="D843" s="1"/>
      <c r="E843" s="1"/>
      <c r="F843" s="1"/>
      <c r="G843" s="1"/>
      <c r="H843" s="1"/>
      <c r="I843" s="1"/>
      <c r="J843" s="1"/>
      <c r="K843" s="1"/>
      <c r="L843" s="1"/>
      <c r="M843" s="1"/>
    </row>
    <row r="844" ht="15.75" customHeight="1">
      <c r="A844" s="1"/>
      <c r="B844" s="1"/>
      <c r="C844" s="1"/>
      <c r="D844" s="1"/>
      <c r="E844" s="1"/>
      <c r="F844" s="1"/>
      <c r="G844" s="1"/>
      <c r="H844" s="1"/>
      <c r="I844" s="1"/>
      <c r="J844" s="1"/>
      <c r="K844" s="1"/>
      <c r="L844" s="1"/>
      <c r="M844" s="1"/>
    </row>
    <row r="845" ht="15.75" customHeight="1">
      <c r="A845" s="1"/>
      <c r="B845" s="1"/>
      <c r="C845" s="1"/>
      <c r="D845" s="1"/>
      <c r="E845" s="1"/>
      <c r="F845" s="1"/>
      <c r="G845" s="1"/>
      <c r="H845" s="1"/>
      <c r="I845" s="1"/>
      <c r="J845" s="1"/>
      <c r="K845" s="1"/>
      <c r="L845" s="1"/>
      <c r="M845" s="1"/>
    </row>
    <row r="846" ht="15.75" customHeight="1">
      <c r="A846" s="1"/>
      <c r="B846" s="1"/>
      <c r="C846" s="1"/>
      <c r="D846" s="1"/>
      <c r="E846" s="1"/>
      <c r="F846" s="1"/>
      <c r="G846" s="1"/>
      <c r="H846" s="1"/>
      <c r="I846" s="1"/>
      <c r="J846" s="1"/>
      <c r="K846" s="1"/>
      <c r="L846" s="1"/>
      <c r="M846" s="1"/>
    </row>
    <row r="847" ht="15.75" customHeight="1">
      <c r="A847" s="1"/>
      <c r="B847" s="1"/>
      <c r="C847" s="1"/>
      <c r="D847" s="1"/>
      <c r="E847" s="1"/>
      <c r="F847" s="1"/>
      <c r="G847" s="1"/>
      <c r="H847" s="1"/>
      <c r="I847" s="1"/>
      <c r="J847" s="1"/>
      <c r="K847" s="1"/>
      <c r="L847" s="1"/>
      <c r="M847" s="1"/>
    </row>
    <row r="848" ht="15.75" customHeight="1">
      <c r="A848" s="1"/>
      <c r="B848" s="1"/>
      <c r="C848" s="1"/>
      <c r="D848" s="1"/>
      <c r="E848" s="1"/>
      <c r="F848" s="1"/>
      <c r="G848" s="1"/>
      <c r="H848" s="1"/>
      <c r="I848" s="1"/>
      <c r="J848" s="1"/>
      <c r="K848" s="1"/>
      <c r="L848" s="1"/>
      <c r="M848" s="1"/>
    </row>
    <row r="849" ht="15.75" customHeight="1">
      <c r="A849" s="1"/>
      <c r="B849" s="1"/>
      <c r="C849" s="1"/>
      <c r="D849" s="1"/>
      <c r="E849" s="1"/>
      <c r="F849" s="1"/>
      <c r="G849" s="1"/>
      <c r="H849" s="1"/>
      <c r="I849" s="1"/>
      <c r="J849" s="1"/>
      <c r="K849" s="1"/>
      <c r="L849" s="1"/>
      <c r="M849" s="1"/>
    </row>
    <row r="850" ht="15.75" customHeight="1">
      <c r="A850" s="1"/>
      <c r="B850" s="1"/>
      <c r="C850" s="1"/>
      <c r="D850" s="1"/>
      <c r="E850" s="1"/>
      <c r="F850" s="1"/>
      <c r="G850" s="1"/>
      <c r="H850" s="1"/>
      <c r="I850" s="1"/>
      <c r="J850" s="1"/>
      <c r="K850" s="1"/>
      <c r="L850" s="1"/>
      <c r="M850" s="1"/>
    </row>
    <row r="851" ht="15.75" customHeight="1">
      <c r="A851" s="1"/>
      <c r="B851" s="1"/>
      <c r="C851" s="1"/>
      <c r="D851" s="1"/>
      <c r="E851" s="1"/>
      <c r="F851" s="1"/>
      <c r="G851" s="1"/>
      <c r="H851" s="1"/>
      <c r="I851" s="1"/>
      <c r="J851" s="1"/>
      <c r="K851" s="1"/>
      <c r="L851" s="1"/>
      <c r="M851" s="1"/>
    </row>
    <row r="852" ht="15.75" customHeight="1">
      <c r="A852" s="1"/>
      <c r="B852" s="1"/>
      <c r="C852" s="1"/>
      <c r="D852" s="1"/>
      <c r="E852" s="1"/>
      <c r="F852" s="1"/>
      <c r="G852" s="1"/>
      <c r="H852" s="1"/>
      <c r="I852" s="1"/>
      <c r="J852" s="1"/>
      <c r="K852" s="1"/>
      <c r="L852" s="1"/>
      <c r="M852" s="1"/>
    </row>
    <row r="853" ht="15.75" customHeight="1">
      <c r="A853" s="1"/>
      <c r="B853" s="1"/>
      <c r="C853" s="1"/>
      <c r="D853" s="1"/>
      <c r="E853" s="1"/>
      <c r="F853" s="1"/>
      <c r="G853" s="1"/>
      <c r="H853" s="1"/>
      <c r="I853" s="1"/>
      <c r="J853" s="1"/>
      <c r="K853" s="1"/>
      <c r="L853" s="1"/>
      <c r="M853" s="1"/>
    </row>
    <row r="854" ht="15.75" customHeight="1">
      <c r="A854" s="1"/>
      <c r="B854" s="1"/>
      <c r="C854" s="1"/>
      <c r="D854" s="1"/>
      <c r="E854" s="1"/>
      <c r="F854" s="1"/>
      <c r="G854" s="1"/>
      <c r="H854" s="1"/>
      <c r="I854" s="1"/>
      <c r="J854" s="1"/>
      <c r="K854" s="1"/>
      <c r="L854" s="1"/>
      <c r="M854" s="1"/>
    </row>
    <row r="855" ht="15.75" customHeight="1">
      <c r="A855" s="1"/>
      <c r="B855" s="1"/>
      <c r="C855" s="1"/>
      <c r="D855" s="1"/>
      <c r="E855" s="1"/>
      <c r="F855" s="1"/>
      <c r="G855" s="1"/>
      <c r="H855" s="1"/>
      <c r="I855" s="1"/>
      <c r="J855" s="1"/>
      <c r="K855" s="1"/>
      <c r="L855" s="1"/>
      <c r="M855" s="1"/>
    </row>
    <row r="856" ht="15.75" customHeight="1">
      <c r="A856" s="1"/>
      <c r="B856" s="1"/>
      <c r="C856" s="1"/>
      <c r="D856" s="1"/>
      <c r="E856" s="1"/>
      <c r="F856" s="1"/>
      <c r="G856" s="1"/>
      <c r="H856" s="1"/>
      <c r="I856" s="1"/>
      <c r="J856" s="1"/>
      <c r="K856" s="1"/>
      <c r="L856" s="1"/>
      <c r="M856" s="1"/>
    </row>
    <row r="857" ht="15.75" customHeight="1">
      <c r="A857" s="1"/>
      <c r="B857" s="1"/>
      <c r="C857" s="1"/>
      <c r="D857" s="1"/>
      <c r="E857" s="1"/>
      <c r="F857" s="1"/>
      <c r="G857" s="1"/>
      <c r="H857" s="1"/>
      <c r="I857" s="1"/>
      <c r="J857" s="1"/>
      <c r="K857" s="1"/>
      <c r="L857" s="1"/>
      <c r="M857" s="1"/>
    </row>
    <row r="858" ht="15.75" customHeight="1">
      <c r="A858" s="1"/>
      <c r="B858" s="1"/>
      <c r="C858" s="1"/>
      <c r="D858" s="1"/>
      <c r="E858" s="1"/>
      <c r="F858" s="1"/>
      <c r="G858" s="1"/>
      <c r="H858" s="1"/>
      <c r="I858" s="1"/>
      <c r="J858" s="1"/>
      <c r="K858" s="1"/>
      <c r="L858" s="1"/>
      <c r="M858" s="1"/>
    </row>
    <row r="859" ht="15.75" customHeight="1">
      <c r="A859" s="1"/>
      <c r="B859" s="1"/>
      <c r="C859" s="1"/>
      <c r="D859" s="1"/>
      <c r="E859" s="1"/>
      <c r="F859" s="1"/>
      <c r="G859" s="1"/>
      <c r="H859" s="1"/>
      <c r="I859" s="1"/>
      <c r="J859" s="1"/>
      <c r="K859" s="1"/>
      <c r="L859" s="1"/>
      <c r="M859" s="1"/>
    </row>
    <row r="860" ht="15.75" customHeight="1">
      <c r="A860" s="1"/>
      <c r="B860" s="1"/>
      <c r="C860" s="1"/>
      <c r="D860" s="1"/>
      <c r="E860" s="1"/>
      <c r="F860" s="1"/>
      <c r="G860" s="1"/>
      <c r="H860" s="1"/>
      <c r="I860" s="1"/>
      <c r="J860" s="1"/>
      <c r="K860" s="1"/>
      <c r="L860" s="1"/>
      <c r="M860" s="1"/>
    </row>
    <row r="861" ht="15.75" customHeight="1">
      <c r="A861" s="1"/>
      <c r="B861" s="1"/>
      <c r="C861" s="1"/>
      <c r="D861" s="1"/>
      <c r="E861" s="1"/>
      <c r="F861" s="1"/>
      <c r="G861" s="1"/>
      <c r="H861" s="1"/>
      <c r="I861" s="1"/>
      <c r="J861" s="1"/>
      <c r="K861" s="1"/>
      <c r="L861" s="1"/>
      <c r="M861" s="1"/>
    </row>
    <row r="862" ht="15.75" customHeight="1">
      <c r="A862" s="1"/>
      <c r="B862" s="1"/>
      <c r="C862" s="1"/>
      <c r="D862" s="1"/>
      <c r="E862" s="1"/>
      <c r="F862" s="1"/>
      <c r="G862" s="1"/>
      <c r="H862" s="1"/>
      <c r="I862" s="1"/>
      <c r="J862" s="1"/>
      <c r="K862" s="1"/>
      <c r="L862" s="1"/>
      <c r="M862" s="1"/>
    </row>
    <row r="863" ht="15.75" customHeight="1">
      <c r="A863" s="1"/>
      <c r="B863" s="1"/>
      <c r="C863" s="1"/>
      <c r="D863" s="1"/>
      <c r="E863" s="1"/>
      <c r="F863" s="1"/>
      <c r="G863" s="1"/>
      <c r="H863" s="1"/>
      <c r="I863" s="1"/>
      <c r="J863" s="1"/>
      <c r="K863" s="1"/>
      <c r="L863" s="1"/>
      <c r="M863" s="1"/>
    </row>
    <row r="864" ht="15.75" customHeight="1">
      <c r="A864" s="1"/>
      <c r="B864" s="1"/>
      <c r="C864" s="1"/>
      <c r="D864" s="1"/>
      <c r="E864" s="1"/>
      <c r="F864" s="1"/>
      <c r="G864" s="1"/>
      <c r="H864" s="1"/>
      <c r="I864" s="1"/>
      <c r="J864" s="1"/>
      <c r="K864" s="1"/>
      <c r="L864" s="1"/>
      <c r="M864" s="1"/>
    </row>
    <row r="865" ht="15.75" customHeight="1">
      <c r="A865" s="1"/>
      <c r="B865" s="1"/>
      <c r="C865" s="1"/>
      <c r="D865" s="1"/>
      <c r="E865" s="1"/>
      <c r="F865" s="1"/>
      <c r="G865" s="1"/>
      <c r="H865" s="1"/>
      <c r="I865" s="1"/>
      <c r="J865" s="1"/>
      <c r="K865" s="1"/>
      <c r="L865" s="1"/>
      <c r="M865" s="1"/>
    </row>
    <row r="866" ht="15.75" customHeight="1">
      <c r="A866" s="1"/>
      <c r="B866" s="1"/>
      <c r="C866" s="1"/>
      <c r="D866" s="1"/>
      <c r="E866" s="1"/>
      <c r="F866" s="1"/>
      <c r="G866" s="1"/>
      <c r="H866" s="1"/>
      <c r="I866" s="1"/>
      <c r="J866" s="1"/>
      <c r="K866" s="1"/>
      <c r="L866" s="1"/>
      <c r="M866" s="1"/>
    </row>
    <row r="867" ht="15.75" customHeight="1">
      <c r="A867" s="1"/>
      <c r="B867" s="1"/>
      <c r="C867" s="1"/>
      <c r="D867" s="1"/>
      <c r="E867" s="1"/>
      <c r="F867" s="1"/>
      <c r="G867" s="1"/>
      <c r="H867" s="1"/>
      <c r="I867" s="1"/>
      <c r="J867" s="1"/>
      <c r="K867" s="1"/>
      <c r="L867" s="1"/>
      <c r="M867" s="1"/>
    </row>
    <row r="868" ht="15.75" customHeight="1">
      <c r="A868" s="1"/>
      <c r="B868" s="1"/>
      <c r="C868" s="1"/>
      <c r="D868" s="1"/>
      <c r="E868" s="1"/>
      <c r="F868" s="1"/>
      <c r="G868" s="1"/>
      <c r="H868" s="1"/>
      <c r="I868" s="1"/>
      <c r="J868" s="1"/>
      <c r="K868" s="1"/>
      <c r="L868" s="1"/>
      <c r="M868" s="1"/>
    </row>
    <row r="869" ht="15.75" customHeight="1">
      <c r="A869" s="1"/>
      <c r="B869" s="1"/>
      <c r="C869" s="1"/>
      <c r="D869" s="1"/>
      <c r="E869" s="1"/>
      <c r="F869" s="1"/>
      <c r="G869" s="1"/>
      <c r="H869" s="1"/>
      <c r="I869" s="1"/>
      <c r="J869" s="1"/>
      <c r="K869" s="1"/>
      <c r="L869" s="1"/>
      <c r="M869" s="1"/>
    </row>
    <row r="870" ht="15.75" customHeight="1">
      <c r="A870" s="1"/>
      <c r="B870" s="1"/>
      <c r="C870" s="1"/>
      <c r="D870" s="1"/>
      <c r="E870" s="1"/>
      <c r="F870" s="1"/>
      <c r="G870" s="1"/>
      <c r="H870" s="1"/>
      <c r="I870" s="1"/>
      <c r="J870" s="1"/>
      <c r="K870" s="1"/>
      <c r="L870" s="1"/>
      <c r="M870" s="1"/>
    </row>
    <row r="871" ht="15.75" customHeight="1">
      <c r="A871" s="1"/>
      <c r="B871" s="1"/>
      <c r="C871" s="1"/>
      <c r="D871" s="1"/>
      <c r="E871" s="1"/>
      <c r="F871" s="1"/>
      <c r="G871" s="1"/>
      <c r="H871" s="1"/>
      <c r="I871" s="1"/>
      <c r="J871" s="1"/>
      <c r="K871" s="1"/>
      <c r="L871" s="1"/>
      <c r="M871" s="1"/>
    </row>
    <row r="872" ht="15.75" customHeight="1">
      <c r="A872" s="1"/>
      <c r="B872" s="1"/>
      <c r="C872" s="1"/>
      <c r="D872" s="1"/>
      <c r="E872" s="1"/>
      <c r="F872" s="1"/>
      <c r="G872" s="1"/>
      <c r="H872" s="1"/>
      <c r="I872" s="1"/>
      <c r="J872" s="1"/>
      <c r="K872" s="1"/>
      <c r="L872" s="1"/>
      <c r="M872" s="1"/>
    </row>
    <row r="873" ht="15.75" customHeight="1">
      <c r="A873" s="1"/>
      <c r="B873" s="1"/>
      <c r="C873" s="1"/>
      <c r="D873" s="1"/>
      <c r="E873" s="1"/>
      <c r="F873" s="1"/>
      <c r="G873" s="1"/>
      <c r="H873" s="1"/>
      <c r="I873" s="1"/>
      <c r="J873" s="1"/>
      <c r="K873" s="1"/>
      <c r="L873" s="1"/>
      <c r="M873" s="1"/>
    </row>
    <row r="874" ht="15.75" customHeight="1">
      <c r="A874" s="1"/>
      <c r="B874" s="1"/>
      <c r="C874" s="1"/>
      <c r="D874" s="1"/>
      <c r="E874" s="1"/>
      <c r="F874" s="1"/>
      <c r="G874" s="1"/>
      <c r="H874" s="1"/>
      <c r="I874" s="1"/>
      <c r="J874" s="1"/>
      <c r="K874" s="1"/>
      <c r="L874" s="1"/>
      <c r="M874" s="1"/>
    </row>
    <row r="875" ht="15.75" customHeight="1">
      <c r="A875" s="1"/>
      <c r="B875" s="1"/>
      <c r="C875" s="1"/>
      <c r="D875" s="1"/>
      <c r="E875" s="1"/>
      <c r="F875" s="1"/>
      <c r="G875" s="1"/>
      <c r="H875" s="1"/>
      <c r="I875" s="1"/>
      <c r="J875" s="1"/>
      <c r="K875" s="1"/>
      <c r="L875" s="1"/>
      <c r="M875" s="1"/>
    </row>
    <row r="876" ht="15.75" customHeight="1">
      <c r="A876" s="1"/>
      <c r="B876" s="1"/>
      <c r="C876" s="1"/>
      <c r="D876" s="1"/>
      <c r="E876" s="1"/>
      <c r="F876" s="1"/>
      <c r="G876" s="1"/>
      <c r="H876" s="1"/>
      <c r="I876" s="1"/>
      <c r="J876" s="1"/>
      <c r="K876" s="1"/>
      <c r="L876" s="1"/>
      <c r="M876" s="1"/>
    </row>
    <row r="877" ht="15.75" customHeight="1">
      <c r="A877" s="1"/>
      <c r="B877" s="1"/>
      <c r="C877" s="1"/>
      <c r="D877" s="1"/>
      <c r="E877" s="1"/>
      <c r="F877" s="1"/>
      <c r="G877" s="1"/>
      <c r="H877" s="1"/>
      <c r="I877" s="1"/>
      <c r="J877" s="1"/>
      <c r="K877" s="1"/>
      <c r="L877" s="1"/>
      <c r="M877" s="1"/>
    </row>
    <row r="878" ht="15.75" customHeight="1">
      <c r="A878" s="1"/>
      <c r="B878" s="1"/>
      <c r="C878" s="1"/>
      <c r="D878" s="1"/>
      <c r="E878" s="1"/>
      <c r="F878" s="1"/>
      <c r="G878" s="1"/>
      <c r="H878" s="1"/>
      <c r="I878" s="1"/>
      <c r="J878" s="1"/>
      <c r="K878" s="1"/>
      <c r="L878" s="1"/>
      <c r="M878" s="1"/>
    </row>
    <row r="879" ht="15.75" customHeight="1">
      <c r="A879" s="1"/>
      <c r="B879" s="1"/>
      <c r="C879" s="1"/>
      <c r="D879" s="1"/>
      <c r="E879" s="1"/>
      <c r="F879" s="1"/>
      <c r="G879" s="1"/>
      <c r="H879" s="1"/>
      <c r="I879" s="1"/>
      <c r="J879" s="1"/>
      <c r="K879" s="1"/>
      <c r="L879" s="1"/>
      <c r="M879" s="1"/>
    </row>
    <row r="880" ht="15.75" customHeight="1">
      <c r="A880" s="1"/>
      <c r="B880" s="1"/>
      <c r="C880" s="1"/>
      <c r="D880" s="1"/>
      <c r="E880" s="1"/>
      <c r="F880" s="1"/>
      <c r="G880" s="1"/>
      <c r="H880" s="1"/>
      <c r="I880" s="1"/>
      <c r="J880" s="1"/>
      <c r="K880" s="1"/>
      <c r="L880" s="1"/>
      <c r="M880" s="1"/>
    </row>
    <row r="881" ht="15.75" customHeight="1">
      <c r="A881" s="1"/>
      <c r="B881" s="1"/>
      <c r="C881" s="1"/>
      <c r="D881" s="1"/>
      <c r="E881" s="1"/>
      <c r="F881" s="1"/>
      <c r="G881" s="1"/>
      <c r="H881" s="1"/>
      <c r="I881" s="1"/>
      <c r="J881" s="1"/>
      <c r="K881" s="1"/>
      <c r="L881" s="1"/>
      <c r="M881" s="1"/>
    </row>
    <row r="882" ht="15.75" customHeight="1">
      <c r="A882" s="1"/>
      <c r="B882" s="1"/>
      <c r="C882" s="1"/>
      <c r="D882" s="1"/>
      <c r="E882" s="1"/>
      <c r="F882" s="1"/>
      <c r="G882" s="1"/>
      <c r="H882" s="1"/>
      <c r="I882" s="1"/>
      <c r="J882" s="1"/>
      <c r="K882" s="1"/>
      <c r="L882" s="1"/>
      <c r="M882" s="1"/>
    </row>
    <row r="883" ht="15.75" customHeight="1">
      <c r="A883" s="1"/>
      <c r="B883" s="1"/>
      <c r="C883" s="1"/>
      <c r="D883" s="1"/>
      <c r="E883" s="1"/>
      <c r="F883" s="1"/>
      <c r="G883" s="1"/>
      <c r="H883" s="1"/>
      <c r="I883" s="1"/>
      <c r="J883" s="1"/>
      <c r="K883" s="1"/>
      <c r="L883" s="1"/>
      <c r="M883" s="1"/>
    </row>
    <row r="884" ht="15.75" customHeight="1">
      <c r="A884" s="1"/>
      <c r="B884" s="1"/>
      <c r="C884" s="1"/>
      <c r="D884" s="1"/>
      <c r="E884" s="1"/>
      <c r="F884" s="1"/>
      <c r="G884" s="1"/>
      <c r="H884" s="1"/>
      <c r="I884" s="1"/>
      <c r="J884" s="1"/>
      <c r="K884" s="1"/>
      <c r="L884" s="1"/>
      <c r="M884" s="1"/>
    </row>
    <row r="885" ht="15.75" customHeight="1">
      <c r="A885" s="1"/>
      <c r="B885" s="1"/>
      <c r="C885" s="1"/>
      <c r="D885" s="1"/>
      <c r="E885" s="1"/>
      <c r="F885" s="1"/>
      <c r="G885" s="1"/>
      <c r="H885" s="1"/>
      <c r="I885" s="1"/>
      <c r="J885" s="1"/>
      <c r="K885" s="1"/>
      <c r="L885" s="1"/>
      <c r="M885" s="1"/>
    </row>
    <row r="886" ht="15.75" customHeight="1">
      <c r="A886" s="1"/>
      <c r="B886" s="1"/>
      <c r="C886" s="1"/>
      <c r="D886" s="1"/>
      <c r="E886" s="1"/>
      <c r="F886" s="1"/>
      <c r="G886" s="1"/>
      <c r="H886" s="1"/>
      <c r="I886" s="1"/>
      <c r="J886" s="1"/>
      <c r="K886" s="1"/>
      <c r="L886" s="1"/>
      <c r="M886" s="1"/>
    </row>
    <row r="887" ht="15.75" customHeight="1">
      <c r="A887" s="1"/>
      <c r="B887" s="1"/>
      <c r="C887" s="1"/>
      <c r="D887" s="1"/>
      <c r="E887" s="1"/>
      <c r="F887" s="1"/>
      <c r="G887" s="1"/>
      <c r="H887" s="1"/>
      <c r="I887" s="1"/>
      <c r="J887" s="1"/>
      <c r="K887" s="1"/>
      <c r="L887" s="1"/>
      <c r="M887" s="1"/>
    </row>
    <row r="888" ht="15.75" customHeight="1">
      <c r="A888" s="1"/>
      <c r="B888" s="1"/>
      <c r="C888" s="1"/>
      <c r="D888" s="1"/>
      <c r="E888" s="1"/>
      <c r="F888" s="1"/>
      <c r="G888" s="1"/>
      <c r="H888" s="1"/>
      <c r="I888" s="1"/>
      <c r="J888" s="1"/>
      <c r="K888" s="1"/>
      <c r="L888" s="1"/>
      <c r="M888" s="1"/>
    </row>
    <row r="889" ht="15.75" customHeight="1">
      <c r="A889" s="1"/>
      <c r="B889" s="1"/>
      <c r="C889" s="1"/>
      <c r="D889" s="1"/>
      <c r="E889" s="1"/>
      <c r="F889" s="1"/>
      <c r="G889" s="1"/>
      <c r="H889" s="1"/>
      <c r="I889" s="1"/>
      <c r="J889" s="1"/>
      <c r="K889" s="1"/>
      <c r="L889" s="1"/>
      <c r="M889" s="1"/>
    </row>
    <row r="890" ht="15.75" customHeight="1">
      <c r="A890" s="1"/>
      <c r="B890" s="1"/>
      <c r="C890" s="1"/>
      <c r="D890" s="1"/>
      <c r="E890" s="1"/>
      <c r="F890" s="1"/>
      <c r="G890" s="1"/>
      <c r="H890" s="1"/>
      <c r="I890" s="1"/>
      <c r="J890" s="1"/>
      <c r="K890" s="1"/>
      <c r="L890" s="1"/>
      <c r="M890" s="1"/>
    </row>
    <row r="891" ht="15.75" customHeight="1">
      <c r="A891" s="1"/>
      <c r="B891" s="1"/>
      <c r="C891" s="1"/>
      <c r="D891" s="1"/>
      <c r="E891" s="1"/>
      <c r="F891" s="1"/>
      <c r="G891" s="1"/>
      <c r="H891" s="1"/>
      <c r="I891" s="1"/>
      <c r="J891" s="1"/>
      <c r="K891" s="1"/>
      <c r="L891" s="1"/>
      <c r="M891" s="1"/>
    </row>
    <row r="892" ht="15.75" customHeight="1">
      <c r="A892" s="1"/>
      <c r="B892" s="1"/>
      <c r="C892" s="1"/>
      <c r="D892" s="1"/>
      <c r="E892" s="1"/>
      <c r="F892" s="1"/>
      <c r="G892" s="1"/>
      <c r="H892" s="1"/>
      <c r="I892" s="1"/>
      <c r="J892" s="1"/>
      <c r="K892" s="1"/>
      <c r="L892" s="1"/>
      <c r="M892" s="1"/>
    </row>
    <row r="893" ht="15.75" customHeight="1">
      <c r="A893" s="1"/>
      <c r="B893" s="1"/>
      <c r="C893" s="1"/>
      <c r="D893" s="1"/>
      <c r="E893" s="1"/>
      <c r="F893" s="1"/>
      <c r="G893" s="1"/>
      <c r="H893" s="1"/>
      <c r="I893" s="1"/>
      <c r="J893" s="1"/>
      <c r="K893" s="1"/>
      <c r="L893" s="1"/>
      <c r="M893" s="1"/>
    </row>
    <row r="894" ht="15.75" customHeight="1">
      <c r="A894" s="1"/>
      <c r="B894" s="1"/>
      <c r="C894" s="1"/>
      <c r="D894" s="1"/>
      <c r="E894" s="1"/>
      <c r="F894" s="1"/>
      <c r="G894" s="1"/>
      <c r="H894" s="1"/>
      <c r="I894" s="1"/>
      <c r="J894" s="1"/>
      <c r="K894" s="1"/>
      <c r="L894" s="1"/>
      <c r="M894" s="1"/>
    </row>
    <row r="895" ht="15.75" customHeight="1">
      <c r="A895" s="1"/>
      <c r="B895" s="1"/>
      <c r="C895" s="1"/>
      <c r="D895" s="1"/>
      <c r="E895" s="1"/>
      <c r="F895" s="1"/>
      <c r="G895" s="1"/>
      <c r="H895" s="1"/>
      <c r="I895" s="1"/>
      <c r="J895" s="1"/>
      <c r="K895" s="1"/>
      <c r="L895" s="1"/>
      <c r="M895" s="1"/>
    </row>
    <row r="896" ht="15.75" customHeight="1">
      <c r="A896" s="1"/>
      <c r="B896" s="1"/>
      <c r="C896" s="1"/>
      <c r="D896" s="1"/>
      <c r="E896" s="1"/>
      <c r="F896" s="1"/>
      <c r="G896" s="1"/>
      <c r="H896" s="1"/>
      <c r="I896" s="1"/>
      <c r="J896" s="1"/>
      <c r="K896" s="1"/>
      <c r="L896" s="1"/>
      <c r="M896" s="1"/>
    </row>
    <row r="897" ht="15.75" customHeight="1">
      <c r="A897" s="1"/>
      <c r="B897" s="1"/>
      <c r="C897" s="1"/>
      <c r="D897" s="1"/>
      <c r="E897" s="1"/>
      <c r="F897" s="1"/>
      <c r="G897" s="1"/>
      <c r="H897" s="1"/>
      <c r="I897" s="1"/>
      <c r="J897" s="1"/>
      <c r="K897" s="1"/>
      <c r="L897" s="1"/>
      <c r="M897" s="1"/>
    </row>
    <row r="898" ht="15.75" customHeight="1">
      <c r="A898" s="1"/>
      <c r="B898" s="1"/>
      <c r="C898" s="1"/>
      <c r="D898" s="1"/>
      <c r="E898" s="1"/>
      <c r="F898" s="1"/>
      <c r="G898" s="1"/>
      <c r="H898" s="1"/>
      <c r="I898" s="1"/>
      <c r="J898" s="1"/>
      <c r="K898" s="1"/>
      <c r="L898" s="1"/>
      <c r="M898" s="1"/>
    </row>
    <row r="899" ht="15.75" customHeight="1">
      <c r="A899" s="1"/>
      <c r="B899" s="1"/>
      <c r="C899" s="1"/>
      <c r="D899" s="1"/>
      <c r="E899" s="1"/>
      <c r="F899" s="1"/>
      <c r="G899" s="1"/>
      <c r="H899" s="1"/>
      <c r="I899" s="1"/>
      <c r="J899" s="1"/>
      <c r="K899" s="1"/>
      <c r="L899" s="1"/>
      <c r="M899" s="1"/>
    </row>
    <row r="900" ht="15.75" customHeight="1">
      <c r="A900" s="1"/>
      <c r="B900" s="1"/>
      <c r="C900" s="1"/>
      <c r="D900" s="1"/>
      <c r="E900" s="1"/>
      <c r="F900" s="1"/>
      <c r="G900" s="1"/>
      <c r="H900" s="1"/>
      <c r="I900" s="1"/>
      <c r="J900" s="1"/>
      <c r="K900" s="1"/>
      <c r="L900" s="1"/>
      <c r="M900" s="1"/>
    </row>
    <row r="901" ht="15.75" customHeight="1">
      <c r="A901" s="1"/>
      <c r="B901" s="1"/>
      <c r="C901" s="1"/>
      <c r="D901" s="1"/>
      <c r="E901" s="1"/>
      <c r="F901" s="1"/>
      <c r="G901" s="1"/>
      <c r="H901" s="1"/>
      <c r="I901" s="1"/>
      <c r="J901" s="1"/>
      <c r="K901" s="1"/>
      <c r="L901" s="1"/>
      <c r="M901" s="1"/>
    </row>
    <row r="902" ht="15.75" customHeight="1">
      <c r="A902" s="1"/>
      <c r="B902" s="1"/>
      <c r="C902" s="1"/>
      <c r="D902" s="1"/>
      <c r="E902" s="1"/>
      <c r="F902" s="1"/>
      <c r="G902" s="1"/>
      <c r="H902" s="1"/>
      <c r="I902" s="1"/>
      <c r="J902" s="1"/>
      <c r="K902" s="1"/>
      <c r="L902" s="1"/>
      <c r="M902" s="1"/>
    </row>
    <row r="903" ht="15.75" customHeight="1">
      <c r="A903" s="1"/>
      <c r="B903" s="1"/>
      <c r="C903" s="1"/>
      <c r="D903" s="1"/>
      <c r="E903" s="1"/>
      <c r="F903" s="1"/>
      <c r="G903" s="1"/>
      <c r="H903" s="1"/>
      <c r="I903" s="1"/>
      <c r="J903" s="1"/>
      <c r="K903" s="1"/>
      <c r="L903" s="1"/>
      <c r="M903" s="1"/>
    </row>
    <row r="904" ht="15.75" customHeight="1">
      <c r="A904" s="1"/>
      <c r="B904" s="1"/>
      <c r="C904" s="1"/>
      <c r="D904" s="1"/>
      <c r="E904" s="1"/>
      <c r="F904" s="1"/>
      <c r="G904" s="1"/>
      <c r="H904" s="1"/>
      <c r="I904" s="1"/>
      <c r="J904" s="1"/>
      <c r="K904" s="1"/>
      <c r="L904" s="1"/>
      <c r="M904" s="1"/>
    </row>
    <row r="905" ht="15.75" customHeight="1">
      <c r="A905" s="1"/>
      <c r="B905" s="1"/>
      <c r="C905" s="1"/>
      <c r="D905" s="1"/>
      <c r="E905" s="1"/>
      <c r="F905" s="1"/>
      <c r="G905" s="1"/>
      <c r="H905" s="1"/>
      <c r="I905" s="1"/>
      <c r="J905" s="1"/>
      <c r="K905" s="1"/>
      <c r="L905" s="1"/>
      <c r="M905" s="1"/>
    </row>
    <row r="906" ht="15.75" customHeight="1">
      <c r="A906" s="1"/>
      <c r="B906" s="1"/>
      <c r="C906" s="1"/>
      <c r="D906" s="1"/>
      <c r="E906" s="1"/>
      <c r="F906" s="1"/>
      <c r="G906" s="1"/>
      <c r="H906" s="1"/>
      <c r="I906" s="1"/>
      <c r="J906" s="1"/>
      <c r="K906" s="1"/>
      <c r="L906" s="1"/>
      <c r="M906" s="1"/>
    </row>
    <row r="907" ht="15.75" customHeight="1">
      <c r="A907" s="1"/>
      <c r="B907" s="1"/>
      <c r="C907" s="1"/>
      <c r="D907" s="1"/>
      <c r="E907" s="1"/>
      <c r="F907" s="1"/>
      <c r="G907" s="1"/>
      <c r="H907" s="1"/>
      <c r="I907" s="1"/>
      <c r="J907" s="1"/>
      <c r="K907" s="1"/>
      <c r="L907" s="1"/>
      <c r="M907" s="1"/>
    </row>
    <row r="908" ht="15.75" customHeight="1">
      <c r="A908" s="1"/>
      <c r="B908" s="1"/>
      <c r="C908" s="1"/>
      <c r="D908" s="1"/>
      <c r="E908" s="1"/>
      <c r="F908" s="1"/>
      <c r="G908" s="1"/>
      <c r="H908" s="1"/>
      <c r="I908" s="1"/>
      <c r="J908" s="1"/>
      <c r="K908" s="1"/>
      <c r="L908" s="1"/>
      <c r="M908" s="1"/>
    </row>
    <row r="909" ht="15.75" customHeight="1">
      <c r="A909" s="1"/>
      <c r="B909" s="1"/>
      <c r="C909" s="1"/>
      <c r="D909" s="1"/>
      <c r="E909" s="1"/>
      <c r="F909" s="1"/>
      <c r="G909" s="1"/>
      <c r="H909" s="1"/>
      <c r="I909" s="1"/>
      <c r="J909" s="1"/>
      <c r="K909" s="1"/>
      <c r="L909" s="1"/>
      <c r="M909" s="1"/>
    </row>
    <row r="910" ht="15.75" customHeight="1">
      <c r="A910" s="1"/>
      <c r="B910" s="1"/>
      <c r="C910" s="1"/>
      <c r="D910" s="1"/>
      <c r="E910" s="1"/>
      <c r="F910" s="1"/>
      <c r="G910" s="1"/>
      <c r="H910" s="1"/>
      <c r="I910" s="1"/>
      <c r="J910" s="1"/>
      <c r="K910" s="1"/>
      <c r="L910" s="1"/>
      <c r="M910" s="1"/>
    </row>
    <row r="911" ht="15.75" customHeight="1">
      <c r="A911" s="1"/>
      <c r="B911" s="1"/>
      <c r="C911" s="1"/>
      <c r="D911" s="1"/>
      <c r="E911" s="1"/>
      <c r="F911" s="1"/>
      <c r="G911" s="1"/>
      <c r="H911" s="1"/>
      <c r="I911" s="1"/>
      <c r="J911" s="1"/>
      <c r="K911" s="1"/>
      <c r="L911" s="1"/>
      <c r="M911" s="1"/>
    </row>
    <row r="912" ht="15.75" customHeight="1">
      <c r="A912" s="1"/>
      <c r="B912" s="1"/>
      <c r="C912" s="1"/>
      <c r="D912" s="1"/>
      <c r="E912" s="1"/>
      <c r="F912" s="1"/>
      <c r="G912" s="1"/>
      <c r="H912" s="1"/>
      <c r="I912" s="1"/>
      <c r="J912" s="1"/>
      <c r="K912" s="1"/>
      <c r="L912" s="1"/>
      <c r="M912" s="1"/>
    </row>
    <row r="913" ht="15.75" customHeight="1">
      <c r="A913" s="1"/>
      <c r="B913" s="1"/>
      <c r="C913" s="1"/>
      <c r="D913" s="1"/>
      <c r="E913" s="1"/>
      <c r="F913" s="1"/>
      <c r="G913" s="1"/>
      <c r="H913" s="1"/>
      <c r="I913" s="1"/>
      <c r="J913" s="1"/>
      <c r="K913" s="1"/>
      <c r="L913" s="1"/>
      <c r="M913" s="1"/>
    </row>
    <row r="914" ht="15.75" customHeight="1">
      <c r="A914" s="1"/>
      <c r="B914" s="1"/>
      <c r="C914" s="1"/>
      <c r="D914" s="1"/>
      <c r="E914" s="1"/>
      <c r="F914" s="1"/>
      <c r="G914" s="1"/>
      <c r="H914" s="1"/>
      <c r="I914" s="1"/>
      <c r="J914" s="1"/>
      <c r="K914" s="1"/>
      <c r="L914" s="1"/>
      <c r="M914" s="1"/>
    </row>
    <row r="915" ht="15.75" customHeight="1">
      <c r="A915" s="1"/>
      <c r="B915" s="1"/>
      <c r="C915" s="1"/>
      <c r="D915" s="1"/>
      <c r="E915" s="1"/>
      <c r="F915" s="1"/>
      <c r="G915" s="1"/>
      <c r="H915" s="1"/>
      <c r="I915" s="1"/>
      <c r="J915" s="1"/>
      <c r="K915" s="1"/>
      <c r="L915" s="1"/>
      <c r="M915" s="1"/>
    </row>
    <row r="916" ht="15.75" customHeight="1">
      <c r="A916" s="1"/>
      <c r="B916" s="1"/>
      <c r="C916" s="1"/>
      <c r="D916" s="1"/>
      <c r="E916" s="1"/>
      <c r="F916" s="1"/>
      <c r="G916" s="1"/>
      <c r="H916" s="1"/>
      <c r="I916" s="1"/>
      <c r="J916" s="1"/>
      <c r="K916" s="1"/>
      <c r="L916" s="1"/>
      <c r="M916" s="1"/>
    </row>
    <row r="917" ht="15.75" customHeight="1">
      <c r="A917" s="1"/>
      <c r="B917" s="1"/>
      <c r="C917" s="1"/>
      <c r="D917" s="1"/>
      <c r="E917" s="1"/>
      <c r="F917" s="1"/>
      <c r="G917" s="1"/>
      <c r="H917" s="1"/>
      <c r="I917" s="1"/>
      <c r="J917" s="1"/>
      <c r="K917" s="1"/>
      <c r="L917" s="1"/>
      <c r="M917" s="1"/>
    </row>
    <row r="918" ht="15.75" customHeight="1">
      <c r="A918" s="1"/>
      <c r="B918" s="1"/>
      <c r="C918" s="1"/>
      <c r="D918" s="1"/>
      <c r="E918" s="1"/>
      <c r="F918" s="1"/>
      <c r="G918" s="1"/>
      <c r="H918" s="1"/>
      <c r="I918" s="1"/>
      <c r="J918" s="1"/>
      <c r="K918" s="1"/>
      <c r="L918" s="1"/>
      <c r="M918" s="1"/>
    </row>
    <row r="919" ht="15.75" customHeight="1">
      <c r="A919" s="1"/>
      <c r="B919" s="1"/>
      <c r="C919" s="1"/>
      <c r="D919" s="1"/>
      <c r="E919" s="1"/>
      <c r="F919" s="1"/>
      <c r="G919" s="1"/>
      <c r="H919" s="1"/>
      <c r="I919" s="1"/>
      <c r="J919" s="1"/>
      <c r="K919" s="1"/>
      <c r="L919" s="1"/>
      <c r="M919" s="1"/>
    </row>
    <row r="920" ht="15.75" customHeight="1">
      <c r="A920" s="1"/>
      <c r="B920" s="1"/>
      <c r="C920" s="1"/>
      <c r="D920" s="1"/>
      <c r="E920" s="1"/>
      <c r="F920" s="1"/>
      <c r="G920" s="1"/>
      <c r="H920" s="1"/>
      <c r="I920" s="1"/>
      <c r="J920" s="1"/>
      <c r="K920" s="1"/>
      <c r="L920" s="1"/>
      <c r="M920" s="1"/>
    </row>
    <row r="921" ht="15.75" customHeight="1">
      <c r="A921" s="1"/>
      <c r="B921" s="1"/>
      <c r="C921" s="1"/>
      <c r="D921" s="1"/>
      <c r="E921" s="1"/>
      <c r="F921" s="1"/>
      <c r="G921" s="1"/>
      <c r="H921" s="1"/>
      <c r="I921" s="1"/>
      <c r="J921" s="1"/>
      <c r="K921" s="1"/>
      <c r="L921" s="1"/>
      <c r="M921" s="1"/>
    </row>
    <row r="922" ht="15.75" customHeight="1">
      <c r="A922" s="1"/>
      <c r="B922" s="1"/>
      <c r="C922" s="1"/>
      <c r="D922" s="1"/>
      <c r="E922" s="1"/>
      <c r="F922" s="1"/>
      <c r="G922" s="1"/>
      <c r="H922" s="1"/>
      <c r="I922" s="1"/>
      <c r="J922" s="1"/>
      <c r="K922" s="1"/>
      <c r="L922" s="1"/>
      <c r="M922" s="1"/>
    </row>
    <row r="923" ht="15.75" customHeight="1">
      <c r="A923" s="1"/>
      <c r="B923" s="1"/>
      <c r="C923" s="1"/>
      <c r="D923" s="1"/>
      <c r="E923" s="1"/>
      <c r="F923" s="1"/>
      <c r="G923" s="1"/>
      <c r="H923" s="1"/>
      <c r="I923" s="1"/>
      <c r="J923" s="1"/>
      <c r="K923" s="1"/>
      <c r="L923" s="1"/>
      <c r="M923" s="1"/>
    </row>
    <row r="924" ht="15.75" customHeight="1">
      <c r="A924" s="1"/>
      <c r="B924" s="1"/>
      <c r="C924" s="1"/>
      <c r="D924" s="1"/>
      <c r="E924" s="1"/>
      <c r="F924" s="1"/>
      <c r="G924" s="1"/>
      <c r="H924" s="1"/>
      <c r="I924" s="1"/>
      <c r="J924" s="1"/>
      <c r="K924" s="1"/>
      <c r="L924" s="1"/>
      <c r="M924" s="1"/>
    </row>
    <row r="925" ht="15.75" customHeight="1">
      <c r="A925" s="1"/>
      <c r="B925" s="1"/>
      <c r="C925" s="1"/>
      <c r="D925" s="1"/>
      <c r="E925" s="1"/>
      <c r="F925" s="1"/>
      <c r="G925" s="1"/>
      <c r="H925" s="1"/>
      <c r="I925" s="1"/>
      <c r="J925" s="1"/>
      <c r="K925" s="1"/>
      <c r="L925" s="1"/>
      <c r="M925" s="1"/>
    </row>
    <row r="926" ht="15.75" customHeight="1">
      <c r="A926" s="1"/>
      <c r="B926" s="1"/>
      <c r="C926" s="1"/>
      <c r="D926" s="1"/>
      <c r="E926" s="1"/>
      <c r="F926" s="1"/>
      <c r="G926" s="1"/>
      <c r="H926" s="1"/>
      <c r="I926" s="1"/>
      <c r="J926" s="1"/>
      <c r="K926" s="1"/>
      <c r="L926" s="1"/>
      <c r="M926" s="1"/>
    </row>
    <row r="927" ht="15.75" customHeight="1">
      <c r="A927" s="1"/>
      <c r="B927" s="1"/>
      <c r="C927" s="1"/>
      <c r="D927" s="1"/>
      <c r="E927" s="1"/>
      <c r="F927" s="1"/>
      <c r="G927" s="1"/>
      <c r="H927" s="1"/>
      <c r="I927" s="1"/>
      <c r="J927" s="1"/>
      <c r="K927" s="1"/>
      <c r="L927" s="1"/>
      <c r="M927" s="1"/>
    </row>
    <row r="928" ht="15.75" customHeight="1">
      <c r="A928" s="1"/>
      <c r="B928" s="1"/>
      <c r="C928" s="1"/>
      <c r="D928" s="1"/>
      <c r="E928" s="1"/>
      <c r="F928" s="1"/>
      <c r="G928" s="1"/>
      <c r="H928" s="1"/>
      <c r="I928" s="1"/>
      <c r="J928" s="1"/>
      <c r="K928" s="1"/>
      <c r="L928" s="1"/>
      <c r="M928" s="1"/>
    </row>
    <row r="929" ht="15.75" customHeight="1">
      <c r="A929" s="1"/>
      <c r="B929" s="1"/>
      <c r="C929" s="1"/>
      <c r="D929" s="1"/>
      <c r="E929" s="1"/>
      <c r="F929" s="1"/>
      <c r="G929" s="1"/>
      <c r="H929" s="1"/>
      <c r="I929" s="1"/>
      <c r="J929" s="1"/>
      <c r="K929" s="1"/>
      <c r="L929" s="1"/>
      <c r="M929" s="1"/>
    </row>
    <row r="930" ht="15.75" customHeight="1">
      <c r="A930" s="1"/>
      <c r="B930" s="1"/>
      <c r="C930" s="1"/>
      <c r="D930" s="1"/>
      <c r="E930" s="1"/>
      <c r="F930" s="1"/>
      <c r="G930" s="1"/>
      <c r="H930" s="1"/>
      <c r="I930" s="1"/>
      <c r="J930" s="1"/>
      <c r="K930" s="1"/>
      <c r="L930" s="1"/>
      <c r="M930" s="1"/>
    </row>
    <row r="931" ht="15.75" customHeight="1">
      <c r="A931" s="1"/>
      <c r="B931" s="1"/>
      <c r="C931" s="1"/>
      <c r="D931" s="1"/>
      <c r="E931" s="1"/>
      <c r="F931" s="1"/>
      <c r="G931" s="1"/>
      <c r="H931" s="1"/>
      <c r="I931" s="1"/>
      <c r="J931" s="1"/>
      <c r="K931" s="1"/>
      <c r="L931" s="1"/>
      <c r="M931" s="1"/>
    </row>
    <row r="932" ht="15.75" customHeight="1">
      <c r="A932" s="1"/>
      <c r="B932" s="1"/>
      <c r="C932" s="1"/>
      <c r="D932" s="1"/>
      <c r="E932" s="1"/>
      <c r="F932" s="1"/>
      <c r="G932" s="1"/>
      <c r="H932" s="1"/>
      <c r="I932" s="1"/>
      <c r="J932" s="1"/>
      <c r="K932" s="1"/>
      <c r="L932" s="1"/>
      <c r="M932" s="1"/>
    </row>
    <row r="933" ht="15.75" customHeight="1">
      <c r="A933" s="1"/>
      <c r="B933" s="1"/>
      <c r="C933" s="1"/>
      <c r="D933" s="1"/>
      <c r="E933" s="1"/>
      <c r="F933" s="1"/>
      <c r="G933" s="1"/>
      <c r="H933" s="1"/>
      <c r="I933" s="1"/>
      <c r="J933" s="1"/>
      <c r="K933" s="1"/>
      <c r="L933" s="1"/>
      <c r="M933" s="1"/>
    </row>
    <row r="934" ht="15.75" customHeight="1">
      <c r="A934" s="1"/>
      <c r="B934" s="1"/>
      <c r="C934" s="1"/>
      <c r="D934" s="1"/>
      <c r="E934" s="1"/>
      <c r="F934" s="1"/>
      <c r="G934" s="1"/>
      <c r="H934" s="1"/>
      <c r="I934" s="1"/>
      <c r="J934" s="1"/>
      <c r="K934" s="1"/>
      <c r="L934" s="1"/>
      <c r="M934" s="1"/>
    </row>
    <row r="935" ht="15.75" customHeight="1">
      <c r="A935" s="1"/>
      <c r="B935" s="1"/>
      <c r="C935" s="1"/>
      <c r="D935" s="1"/>
      <c r="E935" s="1"/>
      <c r="F935" s="1"/>
      <c r="G935" s="1"/>
      <c r="H935" s="1"/>
      <c r="I935" s="1"/>
      <c r="J935" s="1"/>
      <c r="K935" s="1"/>
      <c r="L935" s="1"/>
      <c r="M935" s="1"/>
    </row>
    <row r="936" ht="15.75" customHeight="1">
      <c r="A936" s="1"/>
      <c r="B936" s="1"/>
      <c r="C936" s="1"/>
      <c r="D936" s="1"/>
      <c r="E936" s="1"/>
      <c r="F936" s="1"/>
      <c r="G936" s="1"/>
      <c r="H936" s="1"/>
      <c r="I936" s="1"/>
      <c r="J936" s="1"/>
      <c r="K936" s="1"/>
      <c r="L936" s="1"/>
      <c r="M936" s="1"/>
    </row>
    <row r="937" ht="15.75" customHeight="1">
      <c r="A937" s="1"/>
      <c r="B937" s="1"/>
      <c r="C937" s="1"/>
      <c r="D937" s="1"/>
      <c r="E937" s="1"/>
      <c r="F937" s="1"/>
      <c r="G937" s="1"/>
      <c r="H937" s="1"/>
      <c r="I937" s="1"/>
      <c r="J937" s="1"/>
      <c r="K937" s="1"/>
      <c r="L937" s="1"/>
      <c r="M937" s="1"/>
    </row>
    <row r="938" ht="15.75" customHeight="1">
      <c r="A938" s="1"/>
      <c r="B938" s="1"/>
      <c r="C938" s="1"/>
      <c r="D938" s="1"/>
      <c r="E938" s="1"/>
      <c r="F938" s="1"/>
      <c r="G938" s="1"/>
      <c r="H938" s="1"/>
      <c r="I938" s="1"/>
      <c r="J938" s="1"/>
      <c r="K938" s="1"/>
      <c r="L938" s="1"/>
      <c r="M938" s="1"/>
    </row>
    <row r="939" ht="15.75" customHeight="1">
      <c r="A939" s="1"/>
      <c r="B939" s="1"/>
      <c r="C939" s="1"/>
      <c r="D939" s="1"/>
      <c r="E939" s="1"/>
      <c r="F939" s="1"/>
      <c r="G939" s="1"/>
      <c r="H939" s="1"/>
      <c r="I939" s="1"/>
      <c r="J939" s="1"/>
      <c r="K939" s="1"/>
      <c r="L939" s="1"/>
      <c r="M939" s="1"/>
    </row>
    <row r="940" ht="15.75" customHeight="1">
      <c r="A940" s="1"/>
      <c r="B940" s="1"/>
      <c r="C940" s="1"/>
      <c r="D940" s="1"/>
      <c r="E940" s="1"/>
      <c r="F940" s="1"/>
      <c r="G940" s="1"/>
      <c r="H940" s="1"/>
      <c r="I940" s="1"/>
      <c r="J940" s="1"/>
      <c r="K940" s="1"/>
      <c r="L940" s="1"/>
      <c r="M940" s="1"/>
    </row>
    <row r="941" ht="15.75" customHeight="1">
      <c r="A941" s="1"/>
      <c r="B941" s="1"/>
      <c r="C941" s="1"/>
      <c r="D941" s="1"/>
      <c r="E941" s="1"/>
      <c r="F941" s="1"/>
      <c r="G941" s="1"/>
      <c r="H941" s="1"/>
      <c r="I941" s="1"/>
      <c r="J941" s="1"/>
      <c r="K941" s="1"/>
      <c r="L941" s="1"/>
      <c r="M941" s="1"/>
    </row>
    <row r="942" ht="15.75" customHeight="1">
      <c r="A942" s="1"/>
      <c r="B942" s="1"/>
      <c r="C942" s="1"/>
      <c r="D942" s="1"/>
      <c r="E942" s="1"/>
      <c r="F942" s="1"/>
      <c r="G942" s="1"/>
      <c r="H942" s="1"/>
      <c r="I942" s="1"/>
      <c r="J942" s="1"/>
      <c r="K942" s="1"/>
      <c r="L942" s="1"/>
      <c r="M942" s="1"/>
    </row>
    <row r="943" ht="15.75" customHeight="1">
      <c r="A943" s="1"/>
      <c r="B943" s="1"/>
      <c r="C943" s="1"/>
      <c r="D943" s="1"/>
      <c r="E943" s="1"/>
      <c r="F943" s="1"/>
      <c r="G943" s="1"/>
      <c r="H943" s="1"/>
      <c r="I943" s="1"/>
      <c r="J943" s="1"/>
      <c r="K943" s="1"/>
      <c r="L943" s="1"/>
      <c r="M943" s="1"/>
    </row>
    <row r="944" ht="15.75" customHeight="1">
      <c r="A944" s="1"/>
      <c r="B944" s="1"/>
      <c r="C944" s="1"/>
      <c r="D944" s="1"/>
      <c r="E944" s="1"/>
      <c r="F944" s="1"/>
      <c r="G944" s="1"/>
      <c r="H944" s="1"/>
      <c r="I944" s="1"/>
      <c r="J944" s="1"/>
      <c r="K944" s="1"/>
      <c r="L944" s="1"/>
      <c r="M944" s="1"/>
    </row>
    <row r="945" ht="15.75" customHeight="1">
      <c r="A945" s="1"/>
      <c r="B945" s="1"/>
      <c r="C945" s="1"/>
      <c r="D945" s="1"/>
      <c r="E945" s="1"/>
      <c r="F945" s="1"/>
      <c r="G945" s="1"/>
      <c r="H945" s="1"/>
      <c r="I945" s="1"/>
      <c r="J945" s="1"/>
      <c r="K945" s="1"/>
      <c r="L945" s="1"/>
      <c r="M945" s="1"/>
    </row>
    <row r="946" ht="15.75" customHeight="1">
      <c r="A946" s="1"/>
      <c r="B946" s="1"/>
      <c r="C946" s="1"/>
      <c r="D946" s="1"/>
      <c r="E946" s="1"/>
      <c r="F946" s="1"/>
      <c r="G946" s="1"/>
      <c r="H946" s="1"/>
      <c r="I946" s="1"/>
      <c r="J946" s="1"/>
      <c r="K946" s="1"/>
      <c r="L946" s="1"/>
      <c r="M946" s="1"/>
    </row>
    <row r="947" ht="15.75" customHeight="1">
      <c r="A947" s="1"/>
      <c r="B947" s="1"/>
      <c r="C947" s="1"/>
      <c r="D947" s="1"/>
      <c r="E947" s="1"/>
      <c r="F947" s="1"/>
      <c r="G947" s="1"/>
      <c r="H947" s="1"/>
      <c r="I947" s="1"/>
      <c r="J947" s="1"/>
      <c r="K947" s="1"/>
      <c r="L947" s="1"/>
      <c r="M947" s="1"/>
    </row>
    <row r="948" ht="15.75" customHeight="1">
      <c r="A948" s="1"/>
      <c r="B948" s="1"/>
      <c r="C948" s="1"/>
      <c r="D948" s="1"/>
      <c r="E948" s="1"/>
      <c r="F948" s="1"/>
      <c r="G948" s="1"/>
      <c r="H948" s="1"/>
      <c r="I948" s="1"/>
      <c r="J948" s="1"/>
      <c r="K948" s="1"/>
      <c r="L948" s="1"/>
      <c r="M948" s="1"/>
    </row>
    <row r="949" ht="15.75" customHeight="1">
      <c r="A949" s="1"/>
      <c r="B949" s="1"/>
      <c r="C949" s="1"/>
      <c r="D949" s="1"/>
      <c r="E949" s="1"/>
      <c r="F949" s="1"/>
      <c r="G949" s="1"/>
      <c r="H949" s="1"/>
      <c r="I949" s="1"/>
      <c r="J949" s="1"/>
      <c r="K949" s="1"/>
      <c r="L949" s="1"/>
      <c r="M949" s="1"/>
    </row>
    <row r="950" ht="15.75" customHeight="1">
      <c r="A950" s="1"/>
      <c r="B950" s="1"/>
      <c r="C950" s="1"/>
      <c r="D950" s="1"/>
      <c r="E950" s="1"/>
      <c r="F950" s="1"/>
      <c r="G950" s="1"/>
      <c r="H950" s="1"/>
      <c r="I950" s="1"/>
      <c r="J950" s="1"/>
      <c r="K950" s="1"/>
      <c r="L950" s="1"/>
      <c r="M950" s="1"/>
    </row>
    <row r="951" ht="15.75" customHeight="1">
      <c r="A951" s="1"/>
      <c r="B951" s="1"/>
      <c r="C951" s="1"/>
      <c r="D951" s="1"/>
      <c r="E951" s="1"/>
      <c r="F951" s="1"/>
      <c r="G951" s="1"/>
      <c r="H951" s="1"/>
      <c r="I951" s="1"/>
      <c r="J951" s="1"/>
      <c r="K951" s="1"/>
      <c r="L951" s="1"/>
      <c r="M951" s="1"/>
    </row>
    <row r="952" ht="15.75" customHeight="1">
      <c r="A952" s="1"/>
      <c r="B952" s="1"/>
      <c r="C952" s="1"/>
      <c r="D952" s="1"/>
      <c r="E952" s="1"/>
      <c r="F952" s="1"/>
      <c r="G952" s="1"/>
      <c r="H952" s="1"/>
      <c r="I952" s="1"/>
      <c r="J952" s="1"/>
      <c r="K952" s="1"/>
      <c r="L952" s="1"/>
      <c r="M952" s="1"/>
    </row>
    <row r="953" ht="15.75" customHeight="1">
      <c r="A953" s="1"/>
      <c r="B953" s="1"/>
      <c r="C953" s="1"/>
      <c r="D953" s="1"/>
      <c r="E953" s="1"/>
      <c r="F953" s="1"/>
      <c r="G953" s="1"/>
      <c r="H953" s="1"/>
      <c r="I953" s="1"/>
      <c r="J953" s="1"/>
      <c r="K953" s="1"/>
      <c r="L953" s="1"/>
      <c r="M953" s="1"/>
    </row>
    <row r="954" ht="15.75" customHeight="1">
      <c r="A954" s="1"/>
      <c r="B954" s="1"/>
      <c r="C954" s="1"/>
      <c r="D954" s="1"/>
      <c r="E954" s="1"/>
      <c r="F954" s="1"/>
      <c r="G954" s="1"/>
      <c r="H954" s="1"/>
      <c r="I954" s="1"/>
      <c r="J954" s="1"/>
      <c r="K954" s="1"/>
      <c r="L954" s="1"/>
      <c r="M954" s="1"/>
    </row>
    <row r="955" ht="15.75" customHeight="1">
      <c r="A955" s="1"/>
      <c r="B955" s="1"/>
      <c r="C955" s="1"/>
      <c r="D955" s="1"/>
      <c r="E955" s="1"/>
      <c r="F955" s="1"/>
      <c r="G955" s="1"/>
      <c r="H955" s="1"/>
      <c r="I955" s="1"/>
      <c r="J955" s="1"/>
      <c r="K955" s="1"/>
      <c r="L955" s="1"/>
      <c r="M955" s="1"/>
    </row>
    <row r="956" ht="15.75" customHeight="1">
      <c r="A956" s="1"/>
      <c r="B956" s="1"/>
      <c r="C956" s="1"/>
      <c r="D956" s="1"/>
      <c r="E956" s="1"/>
      <c r="F956" s="1"/>
      <c r="G956" s="1"/>
      <c r="H956" s="1"/>
      <c r="I956" s="1"/>
      <c r="J956" s="1"/>
      <c r="K956" s="1"/>
      <c r="L956" s="1"/>
      <c r="M956" s="1"/>
    </row>
    <row r="957" ht="15.75" customHeight="1">
      <c r="A957" s="1"/>
      <c r="B957" s="1"/>
      <c r="C957" s="1"/>
      <c r="D957" s="1"/>
      <c r="E957" s="1"/>
      <c r="F957" s="1"/>
      <c r="G957" s="1"/>
      <c r="H957" s="1"/>
      <c r="I957" s="1"/>
      <c r="J957" s="1"/>
      <c r="K957" s="1"/>
      <c r="L957" s="1"/>
      <c r="M957" s="1"/>
    </row>
    <row r="958" ht="15.75" customHeight="1">
      <c r="A958" s="1"/>
      <c r="B958" s="1"/>
      <c r="C958" s="1"/>
      <c r="D958" s="1"/>
      <c r="E958" s="1"/>
      <c r="F958" s="1"/>
      <c r="G958" s="1"/>
      <c r="H958" s="1"/>
      <c r="I958" s="1"/>
      <c r="J958" s="1"/>
      <c r="K958" s="1"/>
      <c r="L958" s="1"/>
      <c r="M958" s="1"/>
    </row>
    <row r="959" ht="15.75" customHeight="1">
      <c r="A959" s="1"/>
      <c r="B959" s="1"/>
      <c r="C959" s="1"/>
      <c r="D959" s="1"/>
      <c r="E959" s="1"/>
      <c r="F959" s="1"/>
      <c r="G959" s="1"/>
      <c r="H959" s="1"/>
      <c r="I959" s="1"/>
      <c r="J959" s="1"/>
      <c r="K959" s="1"/>
      <c r="L959" s="1"/>
      <c r="M959" s="1"/>
    </row>
    <row r="960" ht="15.75" customHeight="1">
      <c r="A960" s="1"/>
      <c r="B960" s="1"/>
      <c r="C960" s="1"/>
      <c r="D960" s="1"/>
      <c r="E960" s="1"/>
      <c r="F960" s="1"/>
      <c r="G960" s="1"/>
      <c r="H960" s="1"/>
      <c r="I960" s="1"/>
      <c r="J960" s="1"/>
      <c r="K960" s="1"/>
      <c r="L960" s="1"/>
      <c r="M960" s="1"/>
    </row>
    <row r="961" ht="15.75" customHeight="1">
      <c r="A961" s="1"/>
      <c r="B961" s="1"/>
      <c r="C961" s="1"/>
      <c r="D961" s="1"/>
      <c r="E961" s="1"/>
      <c r="F961" s="1"/>
      <c r="G961" s="1"/>
      <c r="H961" s="1"/>
      <c r="I961" s="1"/>
      <c r="J961" s="1"/>
      <c r="K961" s="1"/>
      <c r="L961" s="1"/>
      <c r="M961" s="1"/>
    </row>
    <row r="962" ht="15.75" customHeight="1">
      <c r="A962" s="1"/>
      <c r="B962" s="1"/>
      <c r="C962" s="1"/>
      <c r="D962" s="1"/>
      <c r="E962" s="1"/>
      <c r="F962" s="1"/>
      <c r="G962" s="1"/>
      <c r="H962" s="1"/>
      <c r="I962" s="1"/>
      <c r="J962" s="1"/>
      <c r="K962" s="1"/>
      <c r="L962" s="1"/>
      <c r="M962" s="1"/>
    </row>
    <row r="963" ht="15.75" customHeight="1">
      <c r="A963" s="1"/>
      <c r="B963" s="1"/>
      <c r="C963" s="1"/>
      <c r="D963" s="1"/>
      <c r="E963" s="1"/>
      <c r="F963" s="1"/>
      <c r="G963" s="1"/>
      <c r="H963" s="1"/>
      <c r="I963" s="1"/>
      <c r="J963" s="1"/>
      <c r="K963" s="1"/>
      <c r="L963" s="1"/>
      <c r="M963" s="1"/>
    </row>
    <row r="964" ht="15.75" customHeight="1">
      <c r="A964" s="1"/>
      <c r="B964" s="1"/>
      <c r="C964" s="1"/>
      <c r="D964" s="1"/>
      <c r="E964" s="1"/>
      <c r="F964" s="1"/>
      <c r="G964" s="1"/>
      <c r="H964" s="1"/>
      <c r="I964" s="1"/>
      <c r="J964" s="1"/>
      <c r="K964" s="1"/>
      <c r="L964" s="1"/>
      <c r="M964" s="1"/>
    </row>
    <row r="965" ht="15.75" customHeight="1">
      <c r="A965" s="1"/>
      <c r="B965" s="1"/>
      <c r="C965" s="1"/>
      <c r="D965" s="1"/>
      <c r="E965" s="1"/>
      <c r="F965" s="1"/>
      <c r="G965" s="1"/>
      <c r="H965" s="1"/>
      <c r="I965" s="1"/>
      <c r="J965" s="1"/>
      <c r="K965" s="1"/>
      <c r="L965" s="1"/>
      <c r="M965" s="1"/>
    </row>
    <row r="966" ht="15.75" customHeight="1">
      <c r="A966" s="1"/>
      <c r="B966" s="1"/>
      <c r="C966" s="1"/>
      <c r="D966" s="1"/>
      <c r="E966" s="1"/>
      <c r="F966" s="1"/>
      <c r="G966" s="1"/>
      <c r="H966" s="1"/>
      <c r="I966" s="1"/>
      <c r="J966" s="1"/>
      <c r="K966" s="1"/>
      <c r="L966" s="1"/>
      <c r="M966" s="1"/>
    </row>
    <row r="967" ht="15.75" customHeight="1">
      <c r="A967" s="1"/>
      <c r="B967" s="1"/>
      <c r="C967" s="1"/>
      <c r="D967" s="1"/>
      <c r="E967" s="1"/>
      <c r="F967" s="1"/>
      <c r="G967" s="1"/>
      <c r="H967" s="1"/>
      <c r="I967" s="1"/>
      <c r="J967" s="1"/>
      <c r="K967" s="1"/>
      <c r="L967" s="1"/>
      <c r="M967" s="1"/>
    </row>
    <row r="968" ht="15.75" customHeight="1">
      <c r="A968" s="1"/>
      <c r="B968" s="1"/>
      <c r="C968" s="1"/>
      <c r="D968" s="1"/>
      <c r="E968" s="1"/>
      <c r="F968" s="1"/>
      <c r="G968" s="1"/>
      <c r="H968" s="1"/>
      <c r="I968" s="1"/>
      <c r="J968" s="1"/>
      <c r="K968" s="1"/>
      <c r="L968" s="1"/>
      <c r="M968" s="1"/>
    </row>
    <row r="969" ht="15.75" customHeight="1">
      <c r="A969" s="1"/>
      <c r="B969" s="1"/>
      <c r="C969" s="1"/>
      <c r="D969" s="1"/>
      <c r="E969" s="1"/>
      <c r="F969" s="1"/>
      <c r="G969" s="1"/>
      <c r="H969" s="1"/>
      <c r="I969" s="1"/>
      <c r="J969" s="1"/>
      <c r="K969" s="1"/>
      <c r="L969" s="1"/>
      <c r="M969" s="1"/>
    </row>
    <row r="970" ht="15.75" customHeight="1">
      <c r="A970" s="1"/>
      <c r="B970" s="1"/>
      <c r="C970" s="1"/>
      <c r="D970" s="1"/>
      <c r="E970" s="1"/>
      <c r="F970" s="1"/>
      <c r="G970" s="1"/>
      <c r="H970" s="1"/>
      <c r="I970" s="1"/>
      <c r="J970" s="1"/>
      <c r="K970" s="1"/>
      <c r="L970" s="1"/>
      <c r="M970" s="1"/>
    </row>
    <row r="971" ht="15.75" customHeight="1">
      <c r="A971" s="1"/>
      <c r="B971" s="1"/>
      <c r="C971" s="1"/>
      <c r="D971" s="1"/>
      <c r="E971" s="1"/>
      <c r="F971" s="1"/>
      <c r="G971" s="1"/>
      <c r="H971" s="1"/>
      <c r="I971" s="1"/>
      <c r="J971" s="1"/>
      <c r="K971" s="1"/>
      <c r="L971" s="1"/>
      <c r="M971" s="1"/>
    </row>
    <row r="972" ht="15.75" customHeight="1">
      <c r="A972" s="1"/>
      <c r="B972" s="1"/>
      <c r="C972" s="1"/>
      <c r="D972" s="1"/>
      <c r="E972" s="1"/>
      <c r="F972" s="1"/>
      <c r="G972" s="1"/>
      <c r="H972" s="1"/>
      <c r="I972" s="1"/>
      <c r="J972" s="1"/>
      <c r="K972" s="1"/>
      <c r="L972" s="1"/>
      <c r="M972" s="1"/>
    </row>
    <row r="973" ht="15.75" customHeight="1">
      <c r="A973" s="1"/>
      <c r="B973" s="1"/>
      <c r="C973" s="1"/>
      <c r="D973" s="1"/>
      <c r="E973" s="1"/>
      <c r="F973" s="1"/>
      <c r="G973" s="1"/>
      <c r="H973" s="1"/>
      <c r="I973" s="1"/>
      <c r="J973" s="1"/>
      <c r="K973" s="1"/>
      <c r="L973" s="1"/>
      <c r="M973" s="1"/>
    </row>
    <row r="974" ht="15.75" customHeight="1">
      <c r="A974" s="1"/>
      <c r="B974" s="1"/>
      <c r="C974" s="1"/>
      <c r="D974" s="1"/>
      <c r="E974" s="1"/>
      <c r="F974" s="1"/>
      <c r="G974" s="1"/>
      <c r="H974" s="1"/>
      <c r="I974" s="1"/>
      <c r="J974" s="1"/>
      <c r="K974" s="1"/>
      <c r="L974" s="1"/>
      <c r="M974" s="1"/>
    </row>
    <row r="975" ht="15.75" customHeight="1">
      <c r="A975" s="1"/>
      <c r="B975" s="1"/>
      <c r="C975" s="1"/>
      <c r="D975" s="1"/>
      <c r="E975" s="1"/>
      <c r="F975" s="1"/>
      <c r="G975" s="1"/>
      <c r="H975" s="1"/>
      <c r="I975" s="1"/>
      <c r="J975" s="1"/>
      <c r="K975" s="1"/>
      <c r="L975" s="1"/>
      <c r="M975" s="1"/>
    </row>
    <row r="976" ht="15.75" customHeight="1">
      <c r="A976" s="1"/>
      <c r="B976" s="1"/>
      <c r="C976" s="1"/>
      <c r="D976" s="1"/>
      <c r="E976" s="1"/>
      <c r="F976" s="1"/>
      <c r="G976" s="1"/>
      <c r="H976" s="1"/>
      <c r="I976" s="1"/>
      <c r="J976" s="1"/>
      <c r="K976" s="1"/>
      <c r="L976" s="1"/>
      <c r="M976" s="1"/>
    </row>
    <row r="977" ht="15.75" customHeight="1">
      <c r="A977" s="1"/>
      <c r="B977" s="1"/>
      <c r="C977" s="1"/>
      <c r="D977" s="1"/>
      <c r="E977" s="1"/>
      <c r="F977" s="1"/>
      <c r="G977" s="1"/>
      <c r="H977" s="1"/>
      <c r="I977" s="1"/>
      <c r="J977" s="1"/>
      <c r="K977" s="1"/>
      <c r="L977" s="1"/>
      <c r="M977" s="1"/>
    </row>
    <row r="978" ht="15.75" customHeight="1">
      <c r="A978" s="1"/>
      <c r="B978" s="1"/>
      <c r="C978" s="1"/>
      <c r="D978" s="1"/>
      <c r="E978" s="1"/>
      <c r="F978" s="1"/>
      <c r="G978" s="1"/>
      <c r="H978" s="1"/>
      <c r="I978" s="1"/>
      <c r="J978" s="1"/>
      <c r="K978" s="1"/>
      <c r="L978" s="1"/>
      <c r="M978" s="1"/>
    </row>
    <row r="979" ht="15.75" customHeight="1">
      <c r="A979" s="1"/>
      <c r="B979" s="1"/>
      <c r="C979" s="1"/>
      <c r="D979" s="1"/>
      <c r="E979" s="1"/>
      <c r="F979" s="1"/>
      <c r="G979" s="1"/>
      <c r="H979" s="1"/>
      <c r="I979" s="1"/>
      <c r="J979" s="1"/>
      <c r="K979" s="1"/>
      <c r="L979" s="1"/>
      <c r="M979" s="1"/>
    </row>
    <row r="980" ht="15.75" customHeight="1">
      <c r="A980" s="1"/>
      <c r="B980" s="1"/>
      <c r="C980" s="1"/>
      <c r="D980" s="1"/>
      <c r="E980" s="1"/>
      <c r="F980" s="1"/>
      <c r="G980" s="1"/>
      <c r="H980" s="1"/>
      <c r="I980" s="1"/>
      <c r="J980" s="1"/>
      <c r="K980" s="1"/>
      <c r="L980" s="1"/>
      <c r="M980" s="1"/>
    </row>
    <row r="981" ht="15.75" customHeight="1">
      <c r="A981" s="1"/>
      <c r="B981" s="1"/>
      <c r="C981" s="1"/>
      <c r="D981" s="1"/>
      <c r="E981" s="1"/>
      <c r="F981" s="1"/>
      <c r="G981" s="1"/>
      <c r="H981" s="1"/>
      <c r="I981" s="1"/>
      <c r="J981" s="1"/>
      <c r="K981" s="1"/>
      <c r="L981" s="1"/>
      <c r="M981" s="1"/>
    </row>
    <row r="982" ht="15.75" customHeight="1">
      <c r="A982" s="1"/>
      <c r="B982" s="1"/>
      <c r="C982" s="1"/>
      <c r="D982" s="1"/>
      <c r="E982" s="1"/>
      <c r="F982" s="1"/>
      <c r="G982" s="1"/>
      <c r="H982" s="1"/>
      <c r="I982" s="1"/>
      <c r="J982" s="1"/>
      <c r="K982" s="1"/>
      <c r="L982" s="1"/>
      <c r="M982" s="1"/>
    </row>
    <row r="983" ht="15.75" customHeight="1">
      <c r="A983" s="1"/>
      <c r="B983" s="1"/>
      <c r="C983" s="1"/>
      <c r="D983" s="1"/>
      <c r="E983" s="1"/>
      <c r="F983" s="1"/>
      <c r="G983" s="1"/>
      <c r="H983" s="1"/>
      <c r="I983" s="1"/>
      <c r="J983" s="1"/>
      <c r="K983" s="1"/>
      <c r="L983" s="1"/>
      <c r="M983" s="1"/>
    </row>
    <row r="984" ht="15.75" customHeight="1">
      <c r="A984" s="1"/>
      <c r="B984" s="1"/>
      <c r="C984" s="1"/>
      <c r="D984" s="1"/>
      <c r="E984" s="1"/>
      <c r="F984" s="1"/>
      <c r="G984" s="1"/>
      <c r="H984" s="1"/>
      <c r="I984" s="1"/>
      <c r="J984" s="1"/>
      <c r="K984" s="1"/>
      <c r="L984" s="1"/>
      <c r="M984" s="1"/>
    </row>
    <row r="985" ht="15.75" customHeight="1">
      <c r="A985" s="1"/>
      <c r="B985" s="1"/>
      <c r="C985" s="1"/>
      <c r="D985" s="1"/>
      <c r="E985" s="1"/>
      <c r="F985" s="1"/>
      <c r="G985" s="1"/>
      <c r="H985" s="1"/>
      <c r="I985" s="1"/>
      <c r="J985" s="1"/>
      <c r="K985" s="1"/>
      <c r="L985" s="1"/>
      <c r="M985" s="1"/>
    </row>
    <row r="986" ht="15.75" customHeight="1">
      <c r="A986" s="1"/>
      <c r="B986" s="1"/>
      <c r="C986" s="1"/>
      <c r="D986" s="1"/>
      <c r="E986" s="1"/>
      <c r="F986" s="1"/>
      <c r="G986" s="1"/>
      <c r="H986" s="1"/>
      <c r="I986" s="1"/>
      <c r="J986" s="1"/>
      <c r="K986" s="1"/>
      <c r="L986" s="1"/>
      <c r="M986" s="1"/>
    </row>
    <row r="987" ht="15.75" customHeight="1">
      <c r="A987" s="1"/>
      <c r="B987" s="1"/>
      <c r="C987" s="1"/>
      <c r="D987" s="1"/>
      <c r="E987" s="1"/>
      <c r="F987" s="1"/>
      <c r="G987" s="1"/>
      <c r="H987" s="1"/>
      <c r="I987" s="1"/>
      <c r="J987" s="1"/>
      <c r="K987" s="1"/>
      <c r="L987" s="1"/>
      <c r="M987" s="1"/>
    </row>
    <row r="988" ht="15.75" customHeight="1">
      <c r="A988" s="1"/>
      <c r="B988" s="1"/>
      <c r="C988" s="1"/>
      <c r="D988" s="1"/>
      <c r="E988" s="1"/>
      <c r="F988" s="1"/>
      <c r="G988" s="1"/>
      <c r="H988" s="1"/>
      <c r="I988" s="1"/>
      <c r="J988" s="1"/>
      <c r="K988" s="1"/>
      <c r="L988" s="1"/>
      <c r="M988" s="1"/>
    </row>
    <row r="989" ht="15.75" customHeight="1">
      <c r="A989" s="1"/>
      <c r="B989" s="1"/>
      <c r="C989" s="1"/>
      <c r="D989" s="1"/>
      <c r="E989" s="1"/>
      <c r="F989" s="1"/>
      <c r="G989" s="1"/>
      <c r="H989" s="1"/>
      <c r="I989" s="1"/>
      <c r="J989" s="1"/>
      <c r="K989" s="1"/>
      <c r="L989" s="1"/>
      <c r="M989" s="1"/>
    </row>
    <row r="990" ht="15.75" customHeight="1">
      <c r="A990" s="1"/>
      <c r="B990" s="1"/>
      <c r="C990" s="1"/>
      <c r="D990" s="1"/>
      <c r="E990" s="1"/>
      <c r="F990" s="1"/>
      <c r="G990" s="1"/>
      <c r="H990" s="1"/>
      <c r="I990" s="1"/>
      <c r="J990" s="1"/>
      <c r="K990" s="1"/>
      <c r="L990" s="1"/>
      <c r="M990" s="1"/>
    </row>
    <row r="991" ht="15.75" customHeight="1">
      <c r="A991" s="1"/>
      <c r="B991" s="1"/>
      <c r="C991" s="1"/>
      <c r="D991" s="1"/>
      <c r="E991" s="1"/>
      <c r="F991" s="1"/>
      <c r="G991" s="1"/>
      <c r="H991" s="1"/>
      <c r="I991" s="1"/>
      <c r="J991" s="1"/>
      <c r="K991" s="1"/>
      <c r="L991" s="1"/>
      <c r="M991" s="1"/>
    </row>
    <row r="992" ht="15.75" customHeight="1">
      <c r="A992" s="1"/>
      <c r="B992" s="1"/>
      <c r="C992" s="1"/>
      <c r="D992" s="1"/>
      <c r="E992" s="1"/>
      <c r="F992" s="1"/>
      <c r="G992" s="1"/>
      <c r="H992" s="1"/>
      <c r="I992" s="1"/>
      <c r="J992" s="1"/>
      <c r="K992" s="1"/>
      <c r="L992" s="1"/>
      <c r="M992" s="1"/>
    </row>
    <row r="993" ht="15.75" customHeight="1">
      <c r="A993" s="1"/>
      <c r="B993" s="1"/>
      <c r="C993" s="1"/>
      <c r="D993" s="1"/>
      <c r="E993" s="1"/>
      <c r="F993" s="1"/>
      <c r="G993" s="1"/>
      <c r="H993" s="1"/>
      <c r="I993" s="1"/>
      <c r="J993" s="1"/>
      <c r="K993" s="1"/>
      <c r="L993" s="1"/>
      <c r="M993" s="1"/>
    </row>
    <row r="994" ht="15.75" customHeight="1">
      <c r="A994" s="1"/>
      <c r="B994" s="1"/>
      <c r="C994" s="1"/>
      <c r="D994" s="1"/>
      <c r="E994" s="1"/>
      <c r="F994" s="1"/>
      <c r="G994" s="1"/>
      <c r="H994" s="1"/>
      <c r="I994" s="1"/>
      <c r="J994" s="1"/>
      <c r="K994" s="1"/>
      <c r="L994" s="1"/>
      <c r="M994" s="1"/>
    </row>
    <row r="995" ht="15.75" customHeight="1">
      <c r="A995" s="1"/>
      <c r="B995" s="1"/>
      <c r="C995" s="1"/>
      <c r="D995" s="1"/>
      <c r="E995" s="1"/>
      <c r="F995" s="1"/>
      <c r="G995" s="1"/>
      <c r="H995" s="1"/>
      <c r="I995" s="1"/>
      <c r="J995" s="1"/>
      <c r="K995" s="1"/>
      <c r="L995" s="1"/>
      <c r="M995" s="1"/>
    </row>
    <row r="996" ht="15.75" customHeight="1">
      <c r="A996" s="1"/>
      <c r="B996" s="1"/>
      <c r="C996" s="1"/>
      <c r="D996" s="1"/>
      <c r="E996" s="1"/>
      <c r="F996" s="1"/>
      <c r="G996" s="1"/>
      <c r="H996" s="1"/>
      <c r="I996" s="1"/>
      <c r="J996" s="1"/>
      <c r="K996" s="1"/>
      <c r="L996" s="1"/>
      <c r="M996" s="1"/>
    </row>
    <row r="997" ht="15.75" customHeight="1">
      <c r="A997" s="1"/>
      <c r="B997" s="1"/>
      <c r="C997" s="1"/>
      <c r="D997" s="1"/>
      <c r="E997" s="1"/>
      <c r="F997" s="1"/>
      <c r="G997" s="1"/>
      <c r="H997" s="1"/>
      <c r="I997" s="1"/>
      <c r="J997" s="1"/>
      <c r="K997" s="1"/>
      <c r="L997" s="1"/>
      <c r="M997" s="1"/>
    </row>
    <row r="998" ht="15.75" customHeight="1">
      <c r="A998" s="1"/>
      <c r="B998" s="1"/>
      <c r="C998" s="1"/>
      <c r="D998" s="1"/>
      <c r="E998" s="1"/>
      <c r="F998" s="1"/>
      <c r="G998" s="1"/>
      <c r="H998" s="1"/>
      <c r="I998" s="1"/>
      <c r="J998" s="1"/>
      <c r="K998" s="1"/>
      <c r="L998" s="1"/>
      <c r="M998" s="1"/>
    </row>
    <row r="999" ht="15.75" customHeight="1">
      <c r="A999" s="1"/>
      <c r="B999" s="1"/>
      <c r="C999" s="1"/>
      <c r="D999" s="1"/>
      <c r="E999" s="1"/>
      <c r="F999" s="1"/>
      <c r="G999" s="1"/>
      <c r="H999" s="1"/>
      <c r="I999" s="1"/>
      <c r="J999" s="1"/>
      <c r="K999" s="1"/>
      <c r="L999" s="1"/>
      <c r="M999" s="1"/>
    </row>
    <row r="1000" ht="15.75" customHeight="1">
      <c r="A1000" s="1"/>
      <c r="B1000" s="1"/>
      <c r="C1000" s="1"/>
      <c r="D1000" s="1"/>
      <c r="E1000" s="1"/>
      <c r="F1000" s="1"/>
      <c r="G1000" s="1"/>
      <c r="H1000" s="1"/>
      <c r="I1000" s="1"/>
      <c r="J1000" s="1"/>
      <c r="K1000" s="1"/>
      <c r="L1000" s="1"/>
      <c r="M1000" s="1"/>
    </row>
  </sheetData>
  <mergeCells count="2">
    <mergeCell ref="B3:M3"/>
    <mergeCell ref="B31:M31"/>
  </mergeCells>
  <conditionalFormatting sqref="C7:L10">
    <cfRule type="cellIs" dxfId="10" priority="1" operator="equal">
      <formula>0</formula>
    </cfRule>
  </conditionalFormatting>
  <conditionalFormatting sqref="C7:L10">
    <cfRule type="cellIs" dxfId="5" priority="2" operator="equal">
      <formula>1</formula>
    </cfRule>
  </conditionalFormatting>
  <conditionalFormatting sqref="C7:L10">
    <cfRule type="cellIs" dxfId="11" priority="3" operator="between">
      <formula>2</formula>
      <formula>4</formula>
    </cfRule>
  </conditionalFormatting>
  <conditionalFormatting sqref="C7:L10">
    <cfRule type="cellIs" dxfId="12" priority="4" operator="greaterThanOrEqual">
      <formula>5</formula>
    </cfRule>
  </conditionalFormatting>
  <conditionalFormatting sqref="C15:L18">
    <cfRule type="cellIs" dxfId="10" priority="5" operator="equal">
      <formula>0</formula>
    </cfRule>
  </conditionalFormatting>
  <conditionalFormatting sqref="C15:L18">
    <cfRule type="cellIs" dxfId="5" priority="6" operator="equal">
      <formula>1</formula>
    </cfRule>
  </conditionalFormatting>
  <conditionalFormatting sqref="C15:L18">
    <cfRule type="cellIs" dxfId="11" priority="7" operator="between">
      <formula>2</formula>
      <formula>4</formula>
    </cfRule>
  </conditionalFormatting>
  <conditionalFormatting sqref="C15:L18">
    <cfRule type="cellIs" dxfId="12" priority="8" operator="greaterThanOrEqual">
      <formula>5</formula>
    </cfRule>
  </conditionalFormatting>
  <conditionalFormatting sqref="C23:L26">
    <cfRule type="cellIs" dxfId="10" priority="9" operator="equal">
      <formula>0</formula>
    </cfRule>
  </conditionalFormatting>
  <conditionalFormatting sqref="C23:L26">
    <cfRule type="cellIs" dxfId="5" priority="10" operator="equal">
      <formula>1</formula>
    </cfRule>
  </conditionalFormatting>
  <conditionalFormatting sqref="C23:L26">
    <cfRule type="cellIs" dxfId="11" priority="11" operator="between">
      <formula>2</formula>
      <formula>4</formula>
    </cfRule>
  </conditionalFormatting>
  <conditionalFormatting sqref="C23:L26">
    <cfRule type="cellIs" dxfId="12" priority="12" operator="greaterThanOrEqual">
      <formula>5</formula>
    </cfRule>
  </conditionalFormatting>
  <printOptions/>
  <pageMargins bottom="1.0" footer="0.0" header="0.0" left="0.75" right="0.75" top="1.0"/>
  <pageSetup fitToHeight="0"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5.0" ySplit="4.0" topLeftCell="F5" activePane="bottomRight" state="frozen"/>
      <selection activeCell="F1" sqref="F1" pane="topRight"/>
      <selection activeCell="A5" sqref="A5" pane="bottomLeft"/>
      <selection activeCell="F5" sqref="F5" pane="bottomRight"/>
    </sheetView>
  </sheetViews>
  <sheetFormatPr customHeight="1" defaultColWidth="14.43" defaultRowHeight="15.0"/>
  <cols>
    <col customWidth="1" min="1" max="1" width="5.0"/>
    <col customWidth="1" min="2" max="3" width="9.0"/>
    <col customWidth="1" min="4" max="4" width="11.0"/>
    <col customWidth="1" min="5" max="5" width="24.0"/>
    <col customWidth="1" min="6" max="6" width="34.0"/>
    <col customWidth="1" min="7" max="7" width="11.0"/>
    <col customWidth="1" min="8" max="11" width="6.0"/>
    <col customWidth="1" min="12" max="12" width="10.0"/>
    <col customWidth="1" min="13" max="13" width="60.0"/>
    <col customWidth="1" min="14" max="14" width="30.0"/>
    <col customWidth="1" min="15" max="26" width="8.71"/>
  </cols>
  <sheetData>
    <row r="1" ht="21.75" customHeight="1">
      <c r="A1" s="4" t="s">
        <v>2068</v>
      </c>
      <c r="B1" s="5"/>
      <c r="C1" s="5"/>
      <c r="D1" s="5"/>
      <c r="E1" s="5"/>
      <c r="F1" s="5"/>
      <c r="G1" s="5"/>
      <c r="H1" s="5"/>
      <c r="I1" s="5"/>
      <c r="J1" s="5"/>
      <c r="K1" s="5"/>
      <c r="L1" s="5"/>
      <c r="M1" s="5"/>
      <c r="N1" s="7"/>
    </row>
    <row r="2" ht="30.0" customHeight="1">
      <c r="A2" s="133" t="s">
        <v>2069</v>
      </c>
      <c r="B2" s="5"/>
      <c r="C2" s="5"/>
      <c r="D2" s="5"/>
      <c r="E2" s="5"/>
      <c r="F2" s="5"/>
      <c r="G2" s="5"/>
      <c r="H2" s="5"/>
      <c r="I2" s="5"/>
      <c r="J2" s="5"/>
      <c r="K2" s="5"/>
      <c r="L2" s="5"/>
      <c r="M2" s="5"/>
      <c r="N2" s="7"/>
    </row>
    <row r="3">
      <c r="A3" s="1"/>
      <c r="B3" s="1"/>
      <c r="C3" s="1"/>
      <c r="D3" s="1"/>
      <c r="E3" s="1"/>
      <c r="F3" s="1"/>
      <c r="G3" s="1"/>
      <c r="H3" s="1"/>
      <c r="I3" s="1"/>
      <c r="J3" s="1"/>
      <c r="K3" s="1"/>
      <c r="L3" s="1"/>
      <c r="M3" s="1"/>
      <c r="N3" s="1"/>
    </row>
    <row r="4" ht="33.75" customHeight="1">
      <c r="A4" s="15" t="s">
        <v>35</v>
      </c>
      <c r="B4" s="15" t="s">
        <v>2070</v>
      </c>
      <c r="C4" s="15" t="s">
        <v>2071</v>
      </c>
      <c r="D4" s="15" t="s">
        <v>2072</v>
      </c>
      <c r="E4" s="15" t="s">
        <v>2073</v>
      </c>
      <c r="F4" s="15" t="s">
        <v>2074</v>
      </c>
      <c r="G4" s="15" t="s">
        <v>8</v>
      </c>
      <c r="H4" s="15" t="s">
        <v>42</v>
      </c>
      <c r="I4" s="15" t="s">
        <v>197</v>
      </c>
      <c r="J4" s="15" t="s">
        <v>249</v>
      </c>
      <c r="K4" s="15" t="s">
        <v>121</v>
      </c>
      <c r="L4" s="15" t="s">
        <v>2075</v>
      </c>
      <c r="M4" s="15" t="s">
        <v>106</v>
      </c>
      <c r="N4" s="15" t="s">
        <v>2076</v>
      </c>
    </row>
    <row r="5" ht="27.0" customHeight="1">
      <c r="A5" s="135">
        <v>1.0</v>
      </c>
      <c r="B5" s="136" t="s">
        <v>2077</v>
      </c>
      <c r="C5" s="136" t="s">
        <v>2078</v>
      </c>
      <c r="D5" s="136" t="s">
        <v>2079</v>
      </c>
      <c r="E5" s="137" t="s">
        <v>2080</v>
      </c>
      <c r="F5" s="138" t="s">
        <v>1782</v>
      </c>
      <c r="G5" s="139" t="s">
        <v>423</v>
      </c>
      <c r="H5" s="140" t="s">
        <v>2081</v>
      </c>
      <c r="I5" s="140"/>
      <c r="J5" s="140"/>
      <c r="K5" s="140"/>
      <c r="L5" s="140" t="s">
        <v>381</v>
      </c>
      <c r="M5" s="136" t="s">
        <v>2082</v>
      </c>
      <c r="N5" s="137" t="str">
        <f t="shared" ref="N5:N45" si="1">IF(L5="E3","Demonstrated in Real-World / Active Exploit",IF(OR(L5="E2",L5="E1"),"Simulated / Proof-of-Concept","Theoretical / Unexploited"))</f>
        <v>Simulated / Proof-of-Concept</v>
      </c>
    </row>
    <row r="6" ht="27.0" customHeight="1">
      <c r="A6" s="135">
        <v>2.0</v>
      </c>
      <c r="B6" s="136" t="s">
        <v>2077</v>
      </c>
      <c r="C6" s="136" t="s">
        <v>2078</v>
      </c>
      <c r="D6" s="136" t="s">
        <v>2083</v>
      </c>
      <c r="E6" s="137" t="s">
        <v>2084</v>
      </c>
      <c r="F6" s="138" t="s">
        <v>377</v>
      </c>
      <c r="G6" s="139" t="s">
        <v>126</v>
      </c>
      <c r="H6" s="140" t="s">
        <v>2081</v>
      </c>
      <c r="I6" s="140" t="s">
        <v>2081</v>
      </c>
      <c r="J6" s="140"/>
      <c r="K6" s="140"/>
      <c r="L6" s="140" t="s">
        <v>381</v>
      </c>
      <c r="M6" s="136" t="s">
        <v>2085</v>
      </c>
      <c r="N6" s="137" t="str">
        <f t="shared" si="1"/>
        <v>Simulated / Proof-of-Concept</v>
      </c>
    </row>
    <row r="7" ht="27.0" customHeight="1">
      <c r="A7" s="135">
        <v>3.0</v>
      </c>
      <c r="B7" s="136" t="s">
        <v>2077</v>
      </c>
      <c r="C7" s="136" t="s">
        <v>2078</v>
      </c>
      <c r="D7" s="136" t="s">
        <v>2086</v>
      </c>
      <c r="E7" s="137" t="s">
        <v>2087</v>
      </c>
      <c r="F7" s="138" t="s">
        <v>1092</v>
      </c>
      <c r="G7" s="139" t="s">
        <v>126</v>
      </c>
      <c r="H7" s="140" t="s">
        <v>2081</v>
      </c>
      <c r="I7" s="140" t="s">
        <v>2081</v>
      </c>
      <c r="J7" s="140"/>
      <c r="K7" s="140"/>
      <c r="L7" s="140" t="s">
        <v>1098</v>
      </c>
      <c r="M7" s="136" t="s">
        <v>1090</v>
      </c>
      <c r="N7" s="137" t="str">
        <f t="shared" si="1"/>
        <v>Theoretical / Unexploited</v>
      </c>
    </row>
    <row r="8" ht="27.0" customHeight="1">
      <c r="A8" s="135">
        <v>4.0</v>
      </c>
      <c r="B8" s="136" t="s">
        <v>2077</v>
      </c>
      <c r="C8" s="136" t="s">
        <v>2078</v>
      </c>
      <c r="D8" s="136" t="s">
        <v>2088</v>
      </c>
      <c r="E8" s="137" t="s">
        <v>2089</v>
      </c>
      <c r="F8" s="138" t="s">
        <v>1133</v>
      </c>
      <c r="G8" s="139" t="s">
        <v>126</v>
      </c>
      <c r="H8" s="140" t="s">
        <v>2081</v>
      </c>
      <c r="I8" s="140" t="s">
        <v>2081</v>
      </c>
      <c r="J8" s="140"/>
      <c r="K8" s="140"/>
      <c r="L8" s="140" t="s">
        <v>1098</v>
      </c>
      <c r="M8" s="136" t="s">
        <v>1130</v>
      </c>
      <c r="N8" s="137" t="str">
        <f t="shared" si="1"/>
        <v>Theoretical / Unexploited</v>
      </c>
    </row>
    <row r="9" ht="27.0" customHeight="1">
      <c r="A9" s="135">
        <v>5.0</v>
      </c>
      <c r="B9" s="136" t="s">
        <v>2077</v>
      </c>
      <c r="C9" s="136" t="s">
        <v>2078</v>
      </c>
      <c r="D9" s="136" t="s">
        <v>2090</v>
      </c>
      <c r="E9" s="137" t="s">
        <v>2091</v>
      </c>
      <c r="F9" s="138" t="s">
        <v>1241</v>
      </c>
      <c r="G9" s="139" t="s">
        <v>126</v>
      </c>
      <c r="H9" s="140" t="s">
        <v>2092</v>
      </c>
      <c r="I9" s="140" t="s">
        <v>2081</v>
      </c>
      <c r="J9" s="140"/>
      <c r="K9" s="140"/>
      <c r="L9" s="140" t="s">
        <v>1098</v>
      </c>
      <c r="M9" s="136" t="s">
        <v>1239</v>
      </c>
      <c r="N9" s="137" t="str">
        <f t="shared" si="1"/>
        <v>Theoretical / Unexploited</v>
      </c>
    </row>
    <row r="10" ht="27.0" customHeight="1">
      <c r="A10" s="135">
        <v>6.0</v>
      </c>
      <c r="B10" s="136" t="s">
        <v>2077</v>
      </c>
      <c r="C10" s="136" t="s">
        <v>2078</v>
      </c>
      <c r="D10" s="136" t="s">
        <v>2093</v>
      </c>
      <c r="E10" s="137" t="s">
        <v>2094</v>
      </c>
      <c r="F10" s="138" t="s">
        <v>1264</v>
      </c>
      <c r="G10" s="139" t="s">
        <v>126</v>
      </c>
      <c r="H10" s="140" t="s">
        <v>2081</v>
      </c>
      <c r="I10" s="140"/>
      <c r="J10" s="140"/>
      <c r="K10" s="140"/>
      <c r="L10" s="140" t="s">
        <v>1098</v>
      </c>
      <c r="M10" s="136" t="s">
        <v>2095</v>
      </c>
      <c r="N10" s="137" t="str">
        <f t="shared" si="1"/>
        <v>Theoretical / Unexploited</v>
      </c>
    </row>
    <row r="11" ht="27.0" customHeight="1">
      <c r="A11" s="135">
        <v>7.0</v>
      </c>
      <c r="B11" s="136" t="s">
        <v>2077</v>
      </c>
      <c r="C11" s="136" t="s">
        <v>2078</v>
      </c>
      <c r="D11" s="136" t="s">
        <v>2096</v>
      </c>
      <c r="E11" s="137" t="s">
        <v>2097</v>
      </c>
      <c r="F11" s="138" t="s">
        <v>555</v>
      </c>
      <c r="G11" s="139" t="s">
        <v>126</v>
      </c>
      <c r="H11" s="140" t="s">
        <v>2081</v>
      </c>
      <c r="I11" s="140" t="s">
        <v>2081</v>
      </c>
      <c r="J11" s="140" t="s">
        <v>2092</v>
      </c>
      <c r="K11" s="140"/>
      <c r="L11" s="140" t="s">
        <v>524</v>
      </c>
      <c r="M11" s="136" t="s">
        <v>2098</v>
      </c>
      <c r="N11" s="137" t="str">
        <f t="shared" si="1"/>
        <v>Simulated / Proof-of-Concept</v>
      </c>
    </row>
    <row r="12" ht="27.0" customHeight="1">
      <c r="A12" s="135">
        <v>8.0</v>
      </c>
      <c r="B12" s="136" t="s">
        <v>2077</v>
      </c>
      <c r="C12" s="136" t="s">
        <v>2078</v>
      </c>
      <c r="D12" s="136" t="s">
        <v>2099</v>
      </c>
      <c r="E12" s="137" t="s">
        <v>2100</v>
      </c>
      <c r="F12" s="138" t="s">
        <v>523</v>
      </c>
      <c r="G12" s="139" t="s">
        <v>126</v>
      </c>
      <c r="H12" s="140" t="s">
        <v>2081</v>
      </c>
      <c r="I12" s="140"/>
      <c r="J12" s="140" t="s">
        <v>2092</v>
      </c>
      <c r="K12" s="140"/>
      <c r="L12" s="140" t="s">
        <v>524</v>
      </c>
      <c r="M12" s="136" t="s">
        <v>2101</v>
      </c>
      <c r="N12" s="137" t="str">
        <f t="shared" si="1"/>
        <v>Simulated / Proof-of-Concept</v>
      </c>
    </row>
    <row r="13" ht="27.0" customHeight="1">
      <c r="A13" s="135">
        <v>9.0</v>
      </c>
      <c r="B13" s="136" t="s">
        <v>2077</v>
      </c>
      <c r="C13" s="136" t="s">
        <v>2078</v>
      </c>
      <c r="D13" s="136" t="s">
        <v>2102</v>
      </c>
      <c r="E13" s="137" t="s">
        <v>2103</v>
      </c>
      <c r="F13" s="138" t="s">
        <v>2104</v>
      </c>
      <c r="G13" s="139" t="s">
        <v>126</v>
      </c>
      <c r="H13" s="140" t="s">
        <v>2081</v>
      </c>
      <c r="I13" s="140"/>
      <c r="J13" s="140" t="s">
        <v>2092</v>
      </c>
      <c r="K13" s="140"/>
      <c r="L13" s="140" t="s">
        <v>524</v>
      </c>
      <c r="M13" s="136" t="s">
        <v>575</v>
      </c>
      <c r="N13" s="137" t="str">
        <f t="shared" si="1"/>
        <v>Simulated / Proof-of-Concept</v>
      </c>
    </row>
    <row r="14" ht="27.0" customHeight="1">
      <c r="A14" s="135">
        <v>10.0</v>
      </c>
      <c r="B14" s="136" t="s">
        <v>2077</v>
      </c>
      <c r="C14" s="136" t="s">
        <v>2078</v>
      </c>
      <c r="D14" s="136" t="s">
        <v>2105</v>
      </c>
      <c r="E14" s="137" t="s">
        <v>2106</v>
      </c>
      <c r="F14" s="138" t="s">
        <v>495</v>
      </c>
      <c r="G14" s="139" t="s">
        <v>126</v>
      </c>
      <c r="H14" s="140" t="s">
        <v>2081</v>
      </c>
      <c r="I14" s="140" t="s">
        <v>2081</v>
      </c>
      <c r="J14" s="140" t="s">
        <v>2092</v>
      </c>
      <c r="K14" s="140"/>
      <c r="L14" s="140" t="s">
        <v>381</v>
      </c>
      <c r="M14" s="136" t="s">
        <v>2107</v>
      </c>
      <c r="N14" s="137" t="str">
        <f t="shared" si="1"/>
        <v>Simulated / Proof-of-Concept</v>
      </c>
    </row>
    <row r="15" ht="27.0" customHeight="1">
      <c r="A15" s="135">
        <v>11.0</v>
      </c>
      <c r="B15" s="136" t="s">
        <v>2077</v>
      </c>
      <c r="C15" s="136" t="s">
        <v>2078</v>
      </c>
      <c r="D15" s="136" t="s">
        <v>2108</v>
      </c>
      <c r="E15" s="137" t="s">
        <v>2109</v>
      </c>
      <c r="F15" s="138" t="s">
        <v>991</v>
      </c>
      <c r="G15" s="139" t="s">
        <v>126</v>
      </c>
      <c r="H15" s="140" t="s">
        <v>2081</v>
      </c>
      <c r="I15" s="140" t="s">
        <v>2081</v>
      </c>
      <c r="J15" s="140" t="s">
        <v>2092</v>
      </c>
      <c r="K15" s="140"/>
      <c r="L15" s="140" t="s">
        <v>381</v>
      </c>
      <c r="M15" s="136" t="s">
        <v>2110</v>
      </c>
      <c r="N15" s="137" t="str">
        <f t="shared" si="1"/>
        <v>Simulated / Proof-of-Concept</v>
      </c>
    </row>
    <row r="16" ht="27.0" customHeight="1">
      <c r="A16" s="135">
        <v>12.0</v>
      </c>
      <c r="B16" s="136" t="s">
        <v>2077</v>
      </c>
      <c r="C16" s="136" t="s">
        <v>2078</v>
      </c>
      <c r="D16" s="136" t="s">
        <v>2111</v>
      </c>
      <c r="E16" s="137" t="s">
        <v>2112</v>
      </c>
      <c r="F16" s="138" t="s">
        <v>620</v>
      </c>
      <c r="G16" s="139" t="s">
        <v>126</v>
      </c>
      <c r="H16" s="140" t="s">
        <v>2081</v>
      </c>
      <c r="I16" s="140"/>
      <c r="J16" s="140" t="s">
        <v>2092</v>
      </c>
      <c r="K16" s="140"/>
      <c r="L16" s="140" t="s">
        <v>524</v>
      </c>
      <c r="M16" s="136" t="s">
        <v>2114</v>
      </c>
      <c r="N16" s="137" t="str">
        <f t="shared" si="1"/>
        <v>Simulated / Proof-of-Concept</v>
      </c>
    </row>
    <row r="17" ht="27.0" customHeight="1">
      <c r="A17" s="135">
        <v>13.0</v>
      </c>
      <c r="B17" s="136" t="s">
        <v>2077</v>
      </c>
      <c r="C17" s="136" t="s">
        <v>2078</v>
      </c>
      <c r="D17" s="136" t="s">
        <v>2115</v>
      </c>
      <c r="E17" s="137" t="s">
        <v>2116</v>
      </c>
      <c r="F17" s="138" t="s">
        <v>2117</v>
      </c>
      <c r="G17" s="139" t="s">
        <v>126</v>
      </c>
      <c r="H17" s="140" t="s">
        <v>2081</v>
      </c>
      <c r="I17" s="140"/>
      <c r="J17" s="140"/>
      <c r="K17" s="140"/>
      <c r="L17" s="140" t="s">
        <v>381</v>
      </c>
      <c r="M17" s="136" t="s">
        <v>2118</v>
      </c>
      <c r="N17" s="137" t="str">
        <f t="shared" si="1"/>
        <v>Simulated / Proof-of-Concept</v>
      </c>
    </row>
    <row r="18" ht="27.0" customHeight="1">
      <c r="A18" s="135">
        <v>14.0</v>
      </c>
      <c r="B18" s="136" t="s">
        <v>2077</v>
      </c>
      <c r="C18" s="136" t="s">
        <v>2078</v>
      </c>
      <c r="D18" s="136" t="s">
        <v>2119</v>
      </c>
      <c r="E18" s="137" t="s">
        <v>2120</v>
      </c>
      <c r="F18" s="138" t="s">
        <v>640</v>
      </c>
      <c r="G18" s="139" t="s">
        <v>126</v>
      </c>
      <c r="H18" s="140" t="s">
        <v>2081</v>
      </c>
      <c r="I18" s="140"/>
      <c r="J18" s="140"/>
      <c r="K18" s="140"/>
      <c r="L18" s="140" t="s">
        <v>524</v>
      </c>
      <c r="M18" s="136" t="s">
        <v>2121</v>
      </c>
      <c r="N18" s="137" t="str">
        <f t="shared" si="1"/>
        <v>Simulated / Proof-of-Concept</v>
      </c>
    </row>
    <row r="19" ht="27.0" customHeight="1">
      <c r="A19" s="135">
        <v>15.0</v>
      </c>
      <c r="B19" s="136" t="s">
        <v>2077</v>
      </c>
      <c r="C19" s="136" t="s">
        <v>2078</v>
      </c>
      <c r="D19" s="136" t="s">
        <v>2122</v>
      </c>
      <c r="E19" s="137" t="s">
        <v>2123</v>
      </c>
      <c r="F19" s="138" t="s">
        <v>664</v>
      </c>
      <c r="G19" s="139" t="s">
        <v>126</v>
      </c>
      <c r="H19" s="140" t="s">
        <v>2081</v>
      </c>
      <c r="I19" s="140"/>
      <c r="J19" s="140" t="s">
        <v>2092</v>
      </c>
      <c r="K19" s="140"/>
      <c r="L19" s="140" t="s">
        <v>524</v>
      </c>
      <c r="M19" s="136" t="s">
        <v>661</v>
      </c>
      <c r="N19" s="137" t="str">
        <f t="shared" si="1"/>
        <v>Simulated / Proof-of-Concept</v>
      </c>
    </row>
    <row r="20" ht="27.0" customHeight="1">
      <c r="A20" s="135">
        <v>16.0</v>
      </c>
      <c r="B20" s="136" t="s">
        <v>2077</v>
      </c>
      <c r="C20" s="136" t="s">
        <v>2078</v>
      </c>
      <c r="D20" s="136" t="s">
        <v>2124</v>
      </c>
      <c r="E20" s="137" t="s">
        <v>2125</v>
      </c>
      <c r="F20" s="138" t="s">
        <v>1049</v>
      </c>
      <c r="G20" s="139" t="s">
        <v>126</v>
      </c>
      <c r="H20" s="140" t="s">
        <v>2081</v>
      </c>
      <c r="I20" s="140"/>
      <c r="J20" s="140" t="s">
        <v>2092</v>
      </c>
      <c r="K20" s="140"/>
      <c r="L20" s="140" t="s">
        <v>524</v>
      </c>
      <c r="M20" s="136" t="s">
        <v>2126</v>
      </c>
      <c r="N20" s="137" t="str">
        <f t="shared" si="1"/>
        <v>Simulated / Proof-of-Concept</v>
      </c>
    </row>
    <row r="21" ht="27.0" customHeight="1">
      <c r="A21" s="135">
        <v>17.0</v>
      </c>
      <c r="B21" s="136" t="s">
        <v>2077</v>
      </c>
      <c r="C21" s="136" t="s">
        <v>2078</v>
      </c>
      <c r="D21" s="136" t="s">
        <v>2127</v>
      </c>
      <c r="E21" s="137" t="s">
        <v>2128</v>
      </c>
      <c r="F21" s="138" t="s">
        <v>1290</v>
      </c>
      <c r="G21" s="139" t="s">
        <v>126</v>
      </c>
      <c r="H21" s="140" t="s">
        <v>2081</v>
      </c>
      <c r="I21" s="140"/>
      <c r="J21" s="140"/>
      <c r="K21" s="140"/>
      <c r="L21" s="140" t="s">
        <v>1098</v>
      </c>
      <c r="M21" s="136" t="s">
        <v>2129</v>
      </c>
      <c r="N21" s="137" t="str">
        <f t="shared" si="1"/>
        <v>Theoretical / Unexploited</v>
      </c>
    </row>
    <row r="22" ht="27.0" customHeight="1">
      <c r="A22" s="135">
        <v>18.0</v>
      </c>
      <c r="B22" s="136" t="s">
        <v>2077</v>
      </c>
      <c r="C22" s="136" t="s">
        <v>2078</v>
      </c>
      <c r="D22" s="136" t="s">
        <v>2130</v>
      </c>
      <c r="E22" s="137" t="s">
        <v>2131</v>
      </c>
      <c r="F22" s="138" t="s">
        <v>1206</v>
      </c>
      <c r="G22" s="139" t="s">
        <v>126</v>
      </c>
      <c r="H22" s="140" t="s">
        <v>2081</v>
      </c>
      <c r="I22" s="140" t="s">
        <v>2081</v>
      </c>
      <c r="J22" s="140"/>
      <c r="K22" s="140"/>
      <c r="L22" s="140" t="s">
        <v>1098</v>
      </c>
      <c r="M22" s="136" t="s">
        <v>2132</v>
      </c>
      <c r="N22" s="137" t="str">
        <f t="shared" si="1"/>
        <v>Theoretical / Unexploited</v>
      </c>
    </row>
    <row r="23" ht="27.0" customHeight="1">
      <c r="A23" s="135">
        <v>19.0</v>
      </c>
      <c r="B23" s="136" t="s">
        <v>2077</v>
      </c>
      <c r="C23" s="136" t="s">
        <v>2078</v>
      </c>
      <c r="D23" s="136" t="s">
        <v>2133</v>
      </c>
      <c r="E23" s="137" t="s">
        <v>2134</v>
      </c>
      <c r="F23" s="138" t="s">
        <v>1968</v>
      </c>
      <c r="G23" s="139" t="s">
        <v>423</v>
      </c>
      <c r="H23" s="140" t="s">
        <v>2081</v>
      </c>
      <c r="I23" s="140"/>
      <c r="J23" s="140" t="s">
        <v>2092</v>
      </c>
      <c r="K23" s="140"/>
      <c r="L23" s="140" t="s">
        <v>182</v>
      </c>
      <c r="M23" s="136" t="s">
        <v>2135</v>
      </c>
      <c r="N23" s="137" t="str">
        <f t="shared" si="1"/>
        <v>Demonstrated in Real-World / Active Exploit</v>
      </c>
    </row>
    <row r="24" ht="27.0" customHeight="1">
      <c r="A24" s="135">
        <v>20.0</v>
      </c>
      <c r="B24" s="136" t="s">
        <v>2136</v>
      </c>
      <c r="C24" s="136" t="s">
        <v>2137</v>
      </c>
      <c r="D24" s="136" t="s">
        <v>2138</v>
      </c>
      <c r="E24" s="137" t="s">
        <v>2139</v>
      </c>
      <c r="F24" s="138" t="s">
        <v>1313</v>
      </c>
      <c r="G24" s="139" t="s">
        <v>126</v>
      </c>
      <c r="H24" s="140"/>
      <c r="I24" s="140" t="s">
        <v>2081</v>
      </c>
      <c r="J24" s="140"/>
      <c r="K24" s="140" t="s">
        <v>2092</v>
      </c>
      <c r="L24" s="140" t="s">
        <v>1098</v>
      </c>
      <c r="M24" s="136" t="s">
        <v>1311</v>
      </c>
      <c r="N24" s="137" t="str">
        <f t="shared" si="1"/>
        <v>Theoretical / Unexploited</v>
      </c>
    </row>
    <row r="25" ht="27.0" customHeight="1">
      <c r="A25" s="135">
        <v>21.0</v>
      </c>
      <c r="B25" s="136" t="s">
        <v>2136</v>
      </c>
      <c r="C25" s="136" t="s">
        <v>2137</v>
      </c>
      <c r="D25" s="136" t="s">
        <v>2140</v>
      </c>
      <c r="E25" s="137" t="s">
        <v>2141</v>
      </c>
      <c r="F25" s="138" t="s">
        <v>177</v>
      </c>
      <c r="G25" s="139" t="s">
        <v>126</v>
      </c>
      <c r="H25" s="140"/>
      <c r="I25" s="140" t="s">
        <v>2081</v>
      </c>
      <c r="J25" s="140"/>
      <c r="K25" s="140"/>
      <c r="L25" s="140" t="s">
        <v>182</v>
      </c>
      <c r="M25" s="136" t="s">
        <v>2142</v>
      </c>
      <c r="N25" s="137" t="str">
        <f t="shared" si="1"/>
        <v>Demonstrated in Real-World / Active Exploit</v>
      </c>
    </row>
    <row r="26" ht="27.0" customHeight="1">
      <c r="A26" s="135">
        <v>22.0</v>
      </c>
      <c r="B26" s="136" t="s">
        <v>2136</v>
      </c>
      <c r="C26" s="136" t="s">
        <v>2137</v>
      </c>
      <c r="D26" s="136" t="s">
        <v>2143</v>
      </c>
      <c r="E26" s="137" t="s">
        <v>2144</v>
      </c>
      <c r="F26" s="138" t="s">
        <v>1337</v>
      </c>
      <c r="G26" s="139" t="s">
        <v>126</v>
      </c>
      <c r="H26" s="140"/>
      <c r="I26" s="140" t="s">
        <v>2081</v>
      </c>
      <c r="J26" s="140"/>
      <c r="K26" s="140" t="s">
        <v>2092</v>
      </c>
      <c r="L26" s="140" t="s">
        <v>1098</v>
      </c>
      <c r="M26" s="136" t="s">
        <v>2145</v>
      </c>
      <c r="N26" s="137" t="str">
        <f t="shared" si="1"/>
        <v>Theoretical / Unexploited</v>
      </c>
    </row>
    <row r="27" ht="27.0" customHeight="1">
      <c r="A27" s="135">
        <v>23.0</v>
      </c>
      <c r="B27" s="136" t="s">
        <v>2136</v>
      </c>
      <c r="C27" s="136" t="s">
        <v>2137</v>
      </c>
      <c r="D27" s="136" t="s">
        <v>2146</v>
      </c>
      <c r="E27" s="137" t="s">
        <v>2147</v>
      </c>
      <c r="F27" s="138" t="s">
        <v>1829</v>
      </c>
      <c r="G27" s="139" t="s">
        <v>423</v>
      </c>
      <c r="H27" s="140" t="s">
        <v>2081</v>
      </c>
      <c r="I27" s="140" t="s">
        <v>2081</v>
      </c>
      <c r="J27" s="140"/>
      <c r="K27" s="140"/>
      <c r="L27" s="140" t="s">
        <v>182</v>
      </c>
      <c r="M27" s="136" t="s">
        <v>2148</v>
      </c>
      <c r="N27" s="137" t="str">
        <f t="shared" si="1"/>
        <v>Demonstrated in Real-World / Active Exploit</v>
      </c>
    </row>
    <row r="28" ht="27.0" customHeight="1">
      <c r="A28" s="135">
        <v>24.0</v>
      </c>
      <c r="B28" s="136" t="s">
        <v>2136</v>
      </c>
      <c r="C28" s="136" t="s">
        <v>2137</v>
      </c>
      <c r="D28" s="136" t="s">
        <v>2149</v>
      </c>
      <c r="E28" s="137" t="s">
        <v>2150</v>
      </c>
      <c r="F28" s="138" t="s">
        <v>312</v>
      </c>
      <c r="G28" s="139" t="s">
        <v>126</v>
      </c>
      <c r="H28" s="140"/>
      <c r="I28" s="140" t="s">
        <v>2081</v>
      </c>
      <c r="J28" s="140"/>
      <c r="K28" s="140"/>
      <c r="L28" s="140" t="s">
        <v>182</v>
      </c>
      <c r="M28" s="136" t="s">
        <v>2151</v>
      </c>
      <c r="N28" s="137" t="str">
        <f t="shared" si="1"/>
        <v>Demonstrated in Real-World / Active Exploit</v>
      </c>
    </row>
    <row r="29" ht="27.0" customHeight="1">
      <c r="A29" s="135">
        <v>25.0</v>
      </c>
      <c r="B29" s="136" t="s">
        <v>2136</v>
      </c>
      <c r="C29" s="136" t="s">
        <v>2137</v>
      </c>
      <c r="D29" s="136" t="s">
        <v>2152</v>
      </c>
      <c r="E29" s="137" t="s">
        <v>2153</v>
      </c>
      <c r="F29" s="138" t="s">
        <v>1358</v>
      </c>
      <c r="G29" s="139" t="s">
        <v>126</v>
      </c>
      <c r="H29" s="140"/>
      <c r="I29" s="140" t="s">
        <v>2081</v>
      </c>
      <c r="J29" s="140"/>
      <c r="K29" s="140"/>
      <c r="L29" s="140" t="s">
        <v>1098</v>
      </c>
      <c r="M29" s="136" t="s">
        <v>1356</v>
      </c>
      <c r="N29" s="137" t="str">
        <f t="shared" si="1"/>
        <v>Theoretical / Unexploited</v>
      </c>
    </row>
    <row r="30" ht="27.0" customHeight="1">
      <c r="A30" s="135">
        <v>26.0</v>
      </c>
      <c r="B30" s="136" t="s">
        <v>2136</v>
      </c>
      <c r="C30" s="136" t="s">
        <v>2137</v>
      </c>
      <c r="D30" s="136" t="s">
        <v>2154</v>
      </c>
      <c r="E30" s="137" t="s">
        <v>2155</v>
      </c>
      <c r="F30" s="138" t="s">
        <v>1372</v>
      </c>
      <c r="G30" s="139" t="s">
        <v>126</v>
      </c>
      <c r="H30" s="140"/>
      <c r="I30" s="140" t="s">
        <v>2081</v>
      </c>
      <c r="J30" s="140"/>
      <c r="K30" s="140"/>
      <c r="L30" s="140" t="s">
        <v>1098</v>
      </c>
      <c r="M30" s="136" t="s">
        <v>1370</v>
      </c>
      <c r="N30" s="137" t="str">
        <f t="shared" si="1"/>
        <v>Theoretical / Unexploited</v>
      </c>
    </row>
    <row r="31" ht="27.0" customHeight="1">
      <c r="A31" s="135">
        <v>27.0</v>
      </c>
      <c r="B31" s="136" t="s">
        <v>2156</v>
      </c>
      <c r="C31" s="136" t="s">
        <v>2157</v>
      </c>
      <c r="D31" s="136" t="s">
        <v>2158</v>
      </c>
      <c r="E31" s="137" t="s">
        <v>2159</v>
      </c>
      <c r="F31" s="138" t="s">
        <v>765</v>
      </c>
      <c r="G31" s="139" t="s">
        <v>126</v>
      </c>
      <c r="H31" s="140" t="s">
        <v>2081</v>
      </c>
      <c r="I31" s="140"/>
      <c r="J31" s="140"/>
      <c r="K31" s="140"/>
      <c r="L31" s="140" t="s">
        <v>524</v>
      </c>
      <c r="M31" s="136" t="s">
        <v>2160</v>
      </c>
      <c r="N31" s="137" t="str">
        <f t="shared" si="1"/>
        <v>Simulated / Proof-of-Concept</v>
      </c>
    </row>
    <row r="32" ht="27.0" customHeight="1">
      <c r="A32" s="135">
        <v>28.0</v>
      </c>
      <c r="B32" s="136" t="s">
        <v>2156</v>
      </c>
      <c r="C32" s="136" t="s">
        <v>2157</v>
      </c>
      <c r="D32" s="136" t="s">
        <v>2161</v>
      </c>
      <c r="E32" s="137" t="s">
        <v>2162</v>
      </c>
      <c r="F32" s="138" t="s">
        <v>1856</v>
      </c>
      <c r="G32" s="139" t="s">
        <v>423</v>
      </c>
      <c r="H32" s="140" t="s">
        <v>2081</v>
      </c>
      <c r="I32" s="140"/>
      <c r="J32" s="140"/>
      <c r="K32" s="140"/>
      <c r="L32" s="140" t="s">
        <v>381</v>
      </c>
      <c r="M32" s="136" t="s">
        <v>2163</v>
      </c>
      <c r="N32" s="137" t="str">
        <f t="shared" si="1"/>
        <v>Simulated / Proof-of-Concept</v>
      </c>
    </row>
    <row r="33" ht="27.0" customHeight="1">
      <c r="A33" s="135">
        <v>29.0</v>
      </c>
      <c r="B33" s="136" t="s">
        <v>2156</v>
      </c>
      <c r="C33" s="136" t="s">
        <v>2157</v>
      </c>
      <c r="D33" s="136" t="s">
        <v>2164</v>
      </c>
      <c r="E33" s="137" t="s">
        <v>2165</v>
      </c>
      <c r="F33" s="138" t="s">
        <v>685</v>
      </c>
      <c r="G33" s="139" t="s">
        <v>126</v>
      </c>
      <c r="H33" s="140"/>
      <c r="I33" s="140" t="s">
        <v>2081</v>
      </c>
      <c r="J33" s="140"/>
      <c r="K33" s="140"/>
      <c r="L33" s="140" t="s">
        <v>524</v>
      </c>
      <c r="M33" s="136" t="s">
        <v>683</v>
      </c>
      <c r="N33" s="137" t="str">
        <f t="shared" si="1"/>
        <v>Simulated / Proof-of-Concept</v>
      </c>
    </row>
    <row r="34" ht="27.0" customHeight="1">
      <c r="A34" s="135">
        <v>30.0</v>
      </c>
      <c r="B34" s="136" t="s">
        <v>2156</v>
      </c>
      <c r="C34" s="136" t="s">
        <v>2157</v>
      </c>
      <c r="D34" s="136" t="s">
        <v>2166</v>
      </c>
      <c r="E34" s="137" t="s">
        <v>2167</v>
      </c>
      <c r="F34" s="138" t="s">
        <v>717</v>
      </c>
      <c r="G34" s="139" t="s">
        <v>126</v>
      </c>
      <c r="H34" s="140" t="s">
        <v>2081</v>
      </c>
      <c r="I34" s="140"/>
      <c r="J34" s="140" t="s">
        <v>2092</v>
      </c>
      <c r="K34" s="140"/>
      <c r="L34" s="140" t="s">
        <v>524</v>
      </c>
      <c r="M34" s="136" t="s">
        <v>2168</v>
      </c>
      <c r="N34" s="137" t="str">
        <f t="shared" si="1"/>
        <v>Simulated / Proof-of-Concept</v>
      </c>
    </row>
    <row r="35" ht="27.0" customHeight="1">
      <c r="A35" s="135">
        <v>31.0</v>
      </c>
      <c r="B35" s="136" t="s">
        <v>2156</v>
      </c>
      <c r="C35" s="136" t="s">
        <v>2157</v>
      </c>
      <c r="D35" s="136" t="s">
        <v>2169</v>
      </c>
      <c r="E35" s="137" t="s">
        <v>2170</v>
      </c>
      <c r="F35" s="138" t="s">
        <v>1392</v>
      </c>
      <c r="G35" s="139" t="s">
        <v>126</v>
      </c>
      <c r="H35" s="140" t="s">
        <v>2081</v>
      </c>
      <c r="I35" s="140" t="s">
        <v>2081</v>
      </c>
      <c r="J35" s="140"/>
      <c r="K35" s="140"/>
      <c r="L35" s="140" t="s">
        <v>1098</v>
      </c>
      <c r="M35" s="136" t="s">
        <v>1390</v>
      </c>
      <c r="N35" s="137" t="str">
        <f t="shared" si="1"/>
        <v>Theoretical / Unexploited</v>
      </c>
    </row>
    <row r="36" ht="27.0" customHeight="1">
      <c r="A36" s="135">
        <v>32.0</v>
      </c>
      <c r="B36" s="136" t="s">
        <v>2156</v>
      </c>
      <c r="C36" s="136" t="s">
        <v>2157</v>
      </c>
      <c r="D36" s="136" t="s">
        <v>2171</v>
      </c>
      <c r="E36" s="137" t="s">
        <v>2172</v>
      </c>
      <c r="F36" s="138" t="s">
        <v>1424</v>
      </c>
      <c r="G36" s="139" t="s">
        <v>126</v>
      </c>
      <c r="H36" s="140" t="s">
        <v>2092</v>
      </c>
      <c r="I36" s="140" t="s">
        <v>2092</v>
      </c>
      <c r="J36" s="140" t="s">
        <v>2092</v>
      </c>
      <c r="K36" s="140" t="s">
        <v>2092</v>
      </c>
      <c r="L36" s="140" t="s">
        <v>1098</v>
      </c>
      <c r="M36" s="136" t="s">
        <v>1422</v>
      </c>
      <c r="N36" s="137" t="str">
        <f t="shared" si="1"/>
        <v>Theoretical / Unexploited</v>
      </c>
    </row>
    <row r="37" ht="27.0" customHeight="1">
      <c r="A37" s="135">
        <v>33.0</v>
      </c>
      <c r="B37" s="136" t="s">
        <v>2156</v>
      </c>
      <c r="C37" s="136" t="s">
        <v>2157</v>
      </c>
      <c r="D37" s="136" t="s">
        <v>2173</v>
      </c>
      <c r="E37" s="137" t="s">
        <v>2174</v>
      </c>
      <c r="F37" s="138" t="s">
        <v>1451</v>
      </c>
      <c r="G37" s="139" t="s">
        <v>126</v>
      </c>
      <c r="H37" s="140" t="s">
        <v>2081</v>
      </c>
      <c r="I37" s="140" t="s">
        <v>2081</v>
      </c>
      <c r="J37" s="140"/>
      <c r="K37" s="140"/>
      <c r="L37" s="140" t="s">
        <v>1098</v>
      </c>
      <c r="M37" s="136" t="s">
        <v>1449</v>
      </c>
      <c r="N37" s="137" t="str">
        <f t="shared" si="1"/>
        <v>Theoretical / Unexploited</v>
      </c>
    </row>
    <row r="38" ht="27.0" customHeight="1">
      <c r="A38" s="135">
        <v>34.0</v>
      </c>
      <c r="B38" s="136" t="s">
        <v>2156</v>
      </c>
      <c r="C38" s="136" t="s">
        <v>2157</v>
      </c>
      <c r="D38" s="136" t="s">
        <v>2175</v>
      </c>
      <c r="E38" s="137" t="s">
        <v>2176</v>
      </c>
      <c r="F38" s="138" t="s">
        <v>1549</v>
      </c>
      <c r="G38" s="139" t="s">
        <v>126</v>
      </c>
      <c r="H38" s="140" t="s">
        <v>2081</v>
      </c>
      <c r="I38" s="140" t="s">
        <v>2081</v>
      </c>
      <c r="J38" s="140"/>
      <c r="K38" s="140"/>
      <c r="L38" s="140" t="s">
        <v>1098</v>
      </c>
      <c r="M38" s="136" t="s">
        <v>1547</v>
      </c>
      <c r="N38" s="137" t="str">
        <f t="shared" si="1"/>
        <v>Theoretical / Unexploited</v>
      </c>
    </row>
    <row r="39" ht="27.0" customHeight="1">
      <c r="A39" s="135">
        <v>35.0</v>
      </c>
      <c r="B39" s="136" t="s">
        <v>2156</v>
      </c>
      <c r="C39" s="136" t="s">
        <v>2157</v>
      </c>
      <c r="D39" s="136" t="s">
        <v>2177</v>
      </c>
      <c r="E39" s="137" t="s">
        <v>2178</v>
      </c>
      <c r="F39" s="138" t="s">
        <v>1472</v>
      </c>
      <c r="G39" s="139" t="s">
        <v>126</v>
      </c>
      <c r="H39" s="140" t="s">
        <v>2081</v>
      </c>
      <c r="I39" s="140" t="s">
        <v>2081</v>
      </c>
      <c r="J39" s="140"/>
      <c r="K39" s="140"/>
      <c r="L39" s="140" t="s">
        <v>1098</v>
      </c>
      <c r="M39" s="136" t="s">
        <v>1470</v>
      </c>
      <c r="N39" s="137" t="str">
        <f t="shared" si="1"/>
        <v>Theoretical / Unexploited</v>
      </c>
    </row>
    <row r="40" ht="27.0" customHeight="1">
      <c r="A40" s="135">
        <v>36.0</v>
      </c>
      <c r="B40" s="136" t="s">
        <v>2156</v>
      </c>
      <c r="C40" s="136" t="s">
        <v>2157</v>
      </c>
      <c r="D40" s="136" t="s">
        <v>2179</v>
      </c>
      <c r="E40" s="137" t="s">
        <v>2180</v>
      </c>
      <c r="F40" s="138" t="s">
        <v>1560</v>
      </c>
      <c r="G40" s="139" t="s">
        <v>126</v>
      </c>
      <c r="H40" s="140" t="s">
        <v>2081</v>
      </c>
      <c r="I40" s="140" t="s">
        <v>2081</v>
      </c>
      <c r="J40" s="140"/>
      <c r="K40" s="140" t="s">
        <v>2092</v>
      </c>
      <c r="L40" s="140" t="s">
        <v>1098</v>
      </c>
      <c r="M40" s="136" t="s">
        <v>2181</v>
      </c>
      <c r="N40" s="137" t="str">
        <f t="shared" si="1"/>
        <v>Theoretical / Unexploited</v>
      </c>
    </row>
    <row r="41" ht="27.0" customHeight="1">
      <c r="A41" s="135">
        <v>37.0</v>
      </c>
      <c r="B41" s="136" t="s">
        <v>2156</v>
      </c>
      <c r="C41" s="136" t="s">
        <v>2157</v>
      </c>
      <c r="D41" s="136" t="s">
        <v>2182</v>
      </c>
      <c r="E41" s="137" t="s">
        <v>2183</v>
      </c>
      <c r="F41" s="138" t="s">
        <v>1767</v>
      </c>
      <c r="G41" s="139" t="s">
        <v>423</v>
      </c>
      <c r="H41" s="140" t="s">
        <v>2081</v>
      </c>
      <c r="I41" s="140" t="s">
        <v>2081</v>
      </c>
      <c r="J41" s="140"/>
      <c r="K41" s="140"/>
      <c r="L41" s="140" t="s">
        <v>1098</v>
      </c>
      <c r="M41" s="136" t="s">
        <v>2184</v>
      </c>
      <c r="N41" s="137" t="str">
        <f t="shared" si="1"/>
        <v>Theoretical / Unexploited</v>
      </c>
    </row>
    <row r="42" ht="27.0" customHeight="1">
      <c r="A42" s="135">
        <v>38.0</v>
      </c>
      <c r="B42" s="136" t="s">
        <v>2156</v>
      </c>
      <c r="C42" s="136" t="s">
        <v>2157</v>
      </c>
      <c r="D42" s="136" t="s">
        <v>2185</v>
      </c>
      <c r="E42" s="137" t="s">
        <v>2186</v>
      </c>
      <c r="F42" s="138" t="s">
        <v>1535</v>
      </c>
      <c r="G42" s="139" t="s">
        <v>126</v>
      </c>
      <c r="H42" s="140"/>
      <c r="I42" s="140" t="s">
        <v>2081</v>
      </c>
      <c r="J42" s="140"/>
      <c r="K42" s="140"/>
      <c r="L42" s="140" t="s">
        <v>1098</v>
      </c>
      <c r="M42" s="136" t="s">
        <v>2187</v>
      </c>
      <c r="N42" s="137" t="str">
        <f t="shared" si="1"/>
        <v>Theoretical / Unexploited</v>
      </c>
    </row>
    <row r="43" ht="27.0" customHeight="1">
      <c r="A43" s="135">
        <v>39.0</v>
      </c>
      <c r="B43" s="136" t="s">
        <v>2156</v>
      </c>
      <c r="C43" s="136" t="s">
        <v>2157</v>
      </c>
      <c r="D43" s="136" t="s">
        <v>2188</v>
      </c>
      <c r="E43" s="137" t="s">
        <v>2189</v>
      </c>
      <c r="F43" s="138" t="s">
        <v>2190</v>
      </c>
      <c r="G43" s="139" t="s">
        <v>423</v>
      </c>
      <c r="H43" s="140" t="s">
        <v>2081</v>
      </c>
      <c r="I43" s="140" t="s">
        <v>2081</v>
      </c>
      <c r="J43" s="140"/>
      <c r="K43" s="140"/>
      <c r="L43" s="140" t="s">
        <v>524</v>
      </c>
      <c r="M43" s="136" t="s">
        <v>2191</v>
      </c>
      <c r="N43" s="137" t="str">
        <f t="shared" si="1"/>
        <v>Simulated / Proof-of-Concept</v>
      </c>
    </row>
    <row r="44" ht="27.0" customHeight="1">
      <c r="A44" s="135">
        <v>40.0</v>
      </c>
      <c r="B44" s="136" t="s">
        <v>2156</v>
      </c>
      <c r="C44" s="136" t="s">
        <v>2157</v>
      </c>
      <c r="D44" s="136" t="s">
        <v>2192</v>
      </c>
      <c r="E44" s="137" t="s">
        <v>2193</v>
      </c>
      <c r="F44" s="138" t="s">
        <v>2194</v>
      </c>
      <c r="G44" s="139" t="s">
        <v>423</v>
      </c>
      <c r="H44" s="140" t="s">
        <v>2081</v>
      </c>
      <c r="I44" s="140" t="s">
        <v>2081</v>
      </c>
      <c r="J44" s="140"/>
      <c r="K44" s="140"/>
      <c r="L44" s="140" t="s">
        <v>381</v>
      </c>
      <c r="M44" s="136" t="s">
        <v>2195</v>
      </c>
      <c r="N44" s="137" t="str">
        <f t="shared" si="1"/>
        <v>Simulated / Proof-of-Concept</v>
      </c>
    </row>
    <row r="45" ht="27.0" customHeight="1">
      <c r="A45" s="135">
        <v>41.0</v>
      </c>
      <c r="B45" s="136" t="s">
        <v>2156</v>
      </c>
      <c r="C45" s="136" t="s">
        <v>2157</v>
      </c>
      <c r="D45" s="136" t="s">
        <v>2196</v>
      </c>
      <c r="E45" s="137" t="s">
        <v>2197</v>
      </c>
      <c r="F45" s="138" t="s">
        <v>2198</v>
      </c>
      <c r="G45" s="139" t="s">
        <v>126</v>
      </c>
      <c r="H45" s="140"/>
      <c r="I45" s="140" t="s">
        <v>2081</v>
      </c>
      <c r="J45" s="140"/>
      <c r="K45" s="140"/>
      <c r="L45" s="140" t="s">
        <v>524</v>
      </c>
      <c r="M45" s="136" t="s">
        <v>2199</v>
      </c>
      <c r="N45" s="137" t="str">
        <f t="shared" si="1"/>
        <v>Simulated / Proof-of-Concept</v>
      </c>
    </row>
    <row r="46" ht="15.75" customHeight="1">
      <c r="A46" s="1"/>
      <c r="B46" s="1"/>
      <c r="C46" s="1"/>
      <c r="D46" s="1"/>
      <c r="E46" s="1"/>
      <c r="F46" s="1"/>
      <c r="G46" s="1"/>
      <c r="H46" s="1"/>
      <c r="I46" s="1"/>
      <c r="J46" s="1"/>
      <c r="K46" s="1"/>
      <c r="L46" s="1"/>
      <c r="M46" s="1"/>
      <c r="N46" s="1"/>
    </row>
    <row r="47" ht="15.75" customHeight="1">
      <c r="A47" s="1"/>
      <c r="B47" s="1"/>
      <c r="C47" s="1"/>
      <c r="D47" s="1"/>
      <c r="E47" s="1"/>
      <c r="F47" s="1"/>
      <c r="G47" s="1"/>
      <c r="H47" s="1"/>
      <c r="I47" s="1"/>
      <c r="J47" s="1"/>
      <c r="K47" s="1"/>
      <c r="L47" s="1"/>
      <c r="M47" s="1"/>
      <c r="N47" s="1"/>
    </row>
    <row r="48" ht="15.0" customHeight="1">
      <c r="A48" s="1"/>
      <c r="B48" s="1"/>
      <c r="C48" s="1"/>
      <c r="D48" s="1"/>
      <c r="E48" s="141" t="s">
        <v>2200</v>
      </c>
      <c r="F48" s="1"/>
      <c r="G48" s="1"/>
      <c r="H48" s="1"/>
      <c r="I48" s="1"/>
      <c r="J48" s="1"/>
      <c r="K48" s="1"/>
      <c r="L48" s="1"/>
      <c r="M48" s="1"/>
      <c r="N48" s="1"/>
    </row>
    <row r="49" ht="15.0" customHeight="1">
      <c r="A49" s="1"/>
      <c r="B49" s="1"/>
      <c r="C49" s="1"/>
      <c r="D49" s="1"/>
      <c r="E49" s="15" t="s">
        <v>17</v>
      </c>
      <c r="F49" s="15" t="s">
        <v>2201</v>
      </c>
      <c r="G49" s="15" t="s">
        <v>2202</v>
      </c>
      <c r="H49" s="1"/>
      <c r="I49" s="1"/>
      <c r="J49" s="1"/>
      <c r="K49" s="1"/>
      <c r="L49" s="1"/>
      <c r="M49" s="1"/>
      <c r="N49" s="1"/>
    </row>
    <row r="50" ht="15.0" customHeight="1">
      <c r="A50" s="1"/>
      <c r="B50" s="1"/>
      <c r="C50" s="1"/>
      <c r="D50" s="1"/>
      <c r="E50" s="142" t="s">
        <v>42</v>
      </c>
      <c r="F50" s="143">
        <f>COUNTIF(H$5:H$45,"A")</f>
        <v>30</v>
      </c>
      <c r="G50" s="143">
        <f>COUNTIF(H$5:H$45,"P")</f>
        <v>2</v>
      </c>
      <c r="H50" s="1"/>
      <c r="I50" s="1"/>
      <c r="J50" s="1"/>
      <c r="K50" s="1"/>
      <c r="L50" s="1"/>
      <c r="M50" s="1"/>
      <c r="N50" s="1"/>
    </row>
    <row r="51" ht="15.0" customHeight="1">
      <c r="A51" s="1"/>
      <c r="B51" s="1"/>
      <c r="C51" s="1"/>
      <c r="D51" s="1"/>
      <c r="E51" s="142" t="s">
        <v>197</v>
      </c>
      <c r="F51" s="143">
        <f>COUNTIF(I$5:I$45,"A")</f>
        <v>26</v>
      </c>
      <c r="G51" s="143">
        <f>COUNTIF(I$5:I$45,"P")</f>
        <v>1</v>
      </c>
      <c r="H51" s="1"/>
      <c r="I51" s="1"/>
      <c r="J51" s="1"/>
      <c r="K51" s="1"/>
      <c r="L51" s="1"/>
      <c r="M51" s="1"/>
      <c r="N51" s="1"/>
    </row>
    <row r="52" ht="15.0" customHeight="1">
      <c r="A52" s="1"/>
      <c r="B52" s="1"/>
      <c r="C52" s="1"/>
      <c r="D52" s="1"/>
      <c r="E52" s="142" t="s">
        <v>249</v>
      </c>
      <c r="F52" s="143">
        <f>COUNTIF(J$5:J$45,"A")</f>
        <v>0</v>
      </c>
      <c r="G52" s="143">
        <f>COUNTIF(J$5:J$45,"P")</f>
        <v>11</v>
      </c>
      <c r="H52" s="1"/>
      <c r="I52" s="1"/>
      <c r="J52" s="1"/>
      <c r="K52" s="1"/>
      <c r="L52" s="1"/>
      <c r="M52" s="1"/>
      <c r="N52" s="1"/>
    </row>
    <row r="53" ht="15.0" customHeight="1">
      <c r="A53" s="1"/>
      <c r="B53" s="1"/>
      <c r="C53" s="1"/>
      <c r="D53" s="1"/>
      <c r="E53" s="142" t="s">
        <v>121</v>
      </c>
      <c r="F53" s="143">
        <f>COUNTIF(K$5:K$45,"A")</f>
        <v>0</v>
      </c>
      <c r="G53" s="143">
        <f>COUNTIF(K$5:K$45,"P")</f>
        <v>4</v>
      </c>
      <c r="H53" s="1"/>
      <c r="I53" s="1"/>
      <c r="J53" s="1"/>
      <c r="K53" s="1"/>
      <c r="L53" s="1"/>
      <c r="M53" s="1"/>
      <c r="N53" s="1"/>
    </row>
    <row r="54" ht="15.75" customHeight="1">
      <c r="A54" s="1"/>
      <c r="B54" s="1"/>
      <c r="C54" s="1"/>
      <c r="D54" s="1"/>
      <c r="E54" s="1"/>
      <c r="F54" s="1"/>
      <c r="G54" s="1"/>
      <c r="H54" s="1"/>
      <c r="I54" s="1"/>
      <c r="J54" s="1"/>
      <c r="K54" s="1"/>
      <c r="L54" s="1"/>
      <c r="M54" s="1"/>
      <c r="N54" s="1"/>
    </row>
    <row r="55" ht="15.75" customHeight="1">
      <c r="A55" s="1"/>
      <c r="B55" s="1"/>
      <c r="C55" s="1"/>
      <c r="D55" s="1"/>
      <c r="E55" s="1"/>
      <c r="F55" s="1"/>
      <c r="G55" s="1"/>
      <c r="H55" s="1"/>
      <c r="I55" s="1"/>
      <c r="J55" s="1"/>
      <c r="K55" s="1"/>
      <c r="L55" s="1"/>
      <c r="M55" s="1"/>
      <c r="N55" s="1"/>
    </row>
    <row r="56" ht="15.0" customHeight="1">
      <c r="A56" s="1"/>
      <c r="B56" s="1"/>
      <c r="C56" s="1"/>
      <c r="D56" s="1"/>
      <c r="E56" s="141" t="s">
        <v>2203</v>
      </c>
      <c r="F56" s="1"/>
      <c r="G56" s="1"/>
      <c r="H56" s="1"/>
      <c r="I56" s="1"/>
      <c r="J56" s="1"/>
      <c r="K56" s="1"/>
      <c r="L56" s="1"/>
      <c r="M56" s="1"/>
      <c r="N56" s="1"/>
    </row>
    <row r="57" ht="15.0" customHeight="1">
      <c r="A57" s="1"/>
      <c r="B57" s="1"/>
      <c r="C57" s="1"/>
      <c r="D57" s="1"/>
      <c r="E57" s="15" t="s">
        <v>2204</v>
      </c>
      <c r="F57" s="15" t="s">
        <v>182</v>
      </c>
      <c r="G57" s="15" t="s">
        <v>381</v>
      </c>
      <c r="H57" s="15" t="s">
        <v>524</v>
      </c>
      <c r="I57" s="15" t="s">
        <v>1098</v>
      </c>
      <c r="J57" s="15" t="s">
        <v>85</v>
      </c>
      <c r="K57" s="1"/>
      <c r="L57" s="1"/>
      <c r="M57" s="1"/>
      <c r="N57" s="1"/>
    </row>
    <row r="58" ht="15.0" customHeight="1">
      <c r="A58" s="1"/>
      <c r="B58" s="1"/>
      <c r="C58" s="1"/>
      <c r="D58" s="1"/>
      <c r="E58" s="142" t="s">
        <v>2078</v>
      </c>
      <c r="F58" s="144">
        <f t="shared" ref="F58:F60" si="2">COUNTIFS($C$5:$C$45,$E58,$L$5:$L$45,"E3")</f>
        <v>1</v>
      </c>
      <c r="G58" s="144">
        <f t="shared" ref="G58:G60" si="3">COUNTIFS($C$5:$C$45,$E58,$L$5:$L$45,"E2")</f>
        <v>5</v>
      </c>
      <c r="H58" s="144">
        <f t="shared" ref="H58:H60" si="4">COUNTIFS($C$5:$C$45,$E58,$L$5:$L$45,"E1")</f>
        <v>7</v>
      </c>
      <c r="I58" s="144">
        <f t="shared" ref="I58:I60" si="5">COUNTIFS($C$5:$C$45,$E58,$L$5:$L$45,"E0")</f>
        <v>6</v>
      </c>
      <c r="J58" s="144">
        <f t="shared" ref="J58:J60" si="6">SUM(F58:I58)</f>
        <v>19</v>
      </c>
      <c r="K58" s="1"/>
      <c r="L58" s="1"/>
      <c r="M58" s="1"/>
      <c r="N58" s="1"/>
    </row>
    <row r="59" ht="15.0" customHeight="1">
      <c r="A59" s="1"/>
      <c r="B59" s="1"/>
      <c r="C59" s="1"/>
      <c r="D59" s="1"/>
      <c r="E59" s="142" t="s">
        <v>2137</v>
      </c>
      <c r="F59" s="144">
        <f t="shared" si="2"/>
        <v>3</v>
      </c>
      <c r="G59" s="144">
        <f t="shared" si="3"/>
        <v>0</v>
      </c>
      <c r="H59" s="144">
        <f t="shared" si="4"/>
        <v>0</v>
      </c>
      <c r="I59" s="144">
        <f t="shared" si="5"/>
        <v>4</v>
      </c>
      <c r="J59" s="144">
        <f t="shared" si="6"/>
        <v>7</v>
      </c>
      <c r="K59" s="1"/>
      <c r="L59" s="1"/>
      <c r="M59" s="1"/>
      <c r="N59" s="1"/>
    </row>
    <row r="60" ht="15.0" customHeight="1">
      <c r="A60" s="1"/>
      <c r="B60" s="1"/>
      <c r="C60" s="1"/>
      <c r="D60" s="1"/>
      <c r="E60" s="142" t="s">
        <v>2157</v>
      </c>
      <c r="F60" s="144">
        <f t="shared" si="2"/>
        <v>0</v>
      </c>
      <c r="G60" s="144">
        <f t="shared" si="3"/>
        <v>2</v>
      </c>
      <c r="H60" s="144">
        <f t="shared" si="4"/>
        <v>5</v>
      </c>
      <c r="I60" s="144">
        <f t="shared" si="5"/>
        <v>8</v>
      </c>
      <c r="J60" s="144">
        <f t="shared" si="6"/>
        <v>15</v>
      </c>
      <c r="K60" s="1"/>
      <c r="L60" s="1"/>
      <c r="M60" s="1"/>
      <c r="N60" s="1"/>
    </row>
    <row r="61" ht="15.0" customHeight="1">
      <c r="A61" s="1"/>
      <c r="B61" s="1"/>
      <c r="C61" s="1"/>
      <c r="D61" s="1"/>
      <c r="E61" s="142" t="s">
        <v>2205</v>
      </c>
      <c r="F61" s="145">
        <f t="shared" ref="F61:J61" si="7">SUM(F58:F60)</f>
        <v>4</v>
      </c>
      <c r="G61" s="145">
        <f t="shared" si="7"/>
        <v>7</v>
      </c>
      <c r="H61" s="145">
        <f t="shared" si="7"/>
        <v>12</v>
      </c>
      <c r="I61" s="145">
        <f t="shared" si="7"/>
        <v>18</v>
      </c>
      <c r="J61" s="145">
        <f t="shared" si="7"/>
        <v>41</v>
      </c>
      <c r="K61" s="1"/>
      <c r="L61" s="1"/>
      <c r="M61" s="1"/>
      <c r="N61" s="1"/>
    </row>
    <row r="62" ht="15.0" customHeight="1">
      <c r="A62" s="1"/>
      <c r="B62" s="1"/>
      <c r="C62" s="1"/>
      <c r="D62" s="1"/>
      <c r="E62" s="142" t="s">
        <v>2206</v>
      </c>
      <c r="F62" s="144">
        <f>COUNTIFS($L$5:$L$45,"E3",$G$5:$G$45,"Yes")</f>
        <v>2</v>
      </c>
      <c r="G62" s="144">
        <f>COUNTIFS($L$5:$L$45,"E2",$G$5:$G$45,"Yes")</f>
        <v>4</v>
      </c>
      <c r="H62" s="144">
        <f>COUNTIFS($L$5:$L$45,"E1",$G$5:$G$45,"Yes")</f>
        <v>11</v>
      </c>
      <c r="I62" s="144">
        <f>COUNTIFS($L$5:$L$45,"E0",$G$5:$G$45,"Yes")</f>
        <v>17</v>
      </c>
      <c r="J62" s="144">
        <f>SUM(F62:I62)</f>
        <v>34</v>
      </c>
      <c r="K62" s="1"/>
      <c r="L62" s="1"/>
      <c r="M62" s="1"/>
      <c r="N62" s="1"/>
    </row>
    <row r="63" ht="15.0" customHeight="1">
      <c r="A63" s="1"/>
      <c r="B63" s="1"/>
      <c r="C63" s="1"/>
      <c r="D63" s="1"/>
      <c r="E63" s="146" t="s">
        <v>2207</v>
      </c>
      <c r="F63" s="1"/>
      <c r="G63" s="1"/>
      <c r="H63" s="1"/>
      <c r="I63" s="1"/>
      <c r="J63" s="147" t="str">
        <f>IF(J61=41,"OK","MISMATCH")</f>
        <v>OK</v>
      </c>
      <c r="K63" s="1"/>
      <c r="L63" s="1"/>
      <c r="M63" s="1"/>
      <c r="N63" s="1"/>
    </row>
    <row r="64" ht="15.75" customHeight="1">
      <c r="A64" s="1"/>
      <c r="B64" s="1"/>
      <c r="C64" s="1"/>
      <c r="D64" s="1"/>
      <c r="E64" s="1"/>
      <c r="F64" s="1"/>
      <c r="G64" s="1"/>
      <c r="H64" s="1"/>
      <c r="I64" s="1"/>
      <c r="J64" s="1"/>
      <c r="K64" s="1"/>
      <c r="L64" s="1"/>
      <c r="M64" s="1"/>
      <c r="N64" s="1"/>
    </row>
    <row r="65" ht="15.75" customHeight="1">
      <c r="A65" s="1"/>
      <c r="B65" s="1"/>
      <c r="C65" s="1"/>
      <c r="D65" s="1"/>
      <c r="E65" s="1"/>
      <c r="F65" s="1"/>
      <c r="G65" s="1"/>
      <c r="H65" s="1"/>
      <c r="I65" s="1"/>
      <c r="J65" s="1"/>
      <c r="K65" s="1"/>
      <c r="L65" s="1"/>
      <c r="M65" s="1"/>
      <c r="N65" s="1"/>
    </row>
    <row r="66" ht="15.75" customHeight="1">
      <c r="A66" s="1"/>
      <c r="B66" s="1"/>
      <c r="C66" s="1"/>
      <c r="D66" s="1"/>
      <c r="E66" s="1"/>
      <c r="F66" s="1"/>
      <c r="G66" s="1"/>
      <c r="H66" s="1"/>
      <c r="I66" s="1"/>
      <c r="J66" s="1"/>
      <c r="K66" s="1"/>
      <c r="L66" s="1"/>
      <c r="M66" s="1"/>
      <c r="N66" s="1"/>
    </row>
    <row r="67" ht="15.75" customHeight="1">
      <c r="A67" s="1"/>
      <c r="B67" s="1"/>
      <c r="C67" s="1"/>
      <c r="D67" s="1"/>
      <c r="E67" s="1"/>
      <c r="F67" s="1"/>
      <c r="G67" s="1"/>
      <c r="H67" s="1"/>
      <c r="I67" s="1"/>
      <c r="J67" s="1"/>
      <c r="K67" s="1"/>
      <c r="L67" s="1"/>
      <c r="M67" s="1"/>
      <c r="N67" s="1"/>
    </row>
    <row r="68" ht="15.75" customHeight="1">
      <c r="A68" s="1"/>
      <c r="B68" s="1"/>
      <c r="C68" s="1"/>
      <c r="D68" s="1"/>
      <c r="E68" s="1"/>
      <c r="F68" s="1"/>
      <c r="G68" s="1"/>
      <c r="H68" s="1"/>
      <c r="I68" s="1"/>
      <c r="J68" s="1"/>
      <c r="K68" s="1"/>
      <c r="L68" s="1"/>
      <c r="M68" s="1"/>
      <c r="N68" s="1"/>
    </row>
    <row r="69" ht="15.75" customHeight="1">
      <c r="A69" s="1"/>
      <c r="B69" s="1"/>
      <c r="C69" s="1"/>
      <c r="D69" s="1"/>
      <c r="E69" s="1"/>
      <c r="F69" s="1"/>
      <c r="G69" s="1"/>
      <c r="H69" s="1"/>
      <c r="I69" s="1"/>
      <c r="J69" s="1"/>
      <c r="K69" s="1"/>
      <c r="L69" s="1"/>
      <c r="M69" s="1"/>
      <c r="N69" s="1"/>
    </row>
    <row r="70" ht="15.75" customHeight="1">
      <c r="A70" s="1"/>
      <c r="B70" s="1"/>
      <c r="C70" s="1"/>
      <c r="D70" s="1"/>
      <c r="E70" s="1"/>
      <c r="F70" s="1"/>
      <c r="G70" s="1"/>
      <c r="H70" s="1"/>
      <c r="I70" s="1"/>
      <c r="J70" s="1"/>
      <c r="K70" s="1"/>
      <c r="L70" s="1"/>
      <c r="M70" s="1"/>
      <c r="N70" s="1"/>
    </row>
    <row r="71" ht="15.75" customHeight="1">
      <c r="A71" s="1"/>
      <c r="B71" s="1"/>
      <c r="C71" s="1"/>
      <c r="D71" s="1"/>
      <c r="E71" s="1"/>
      <c r="F71" s="1"/>
      <c r="G71" s="1"/>
      <c r="H71" s="1"/>
      <c r="I71" s="1"/>
      <c r="J71" s="1"/>
      <c r="K71" s="1"/>
      <c r="L71" s="1"/>
      <c r="M71" s="1"/>
      <c r="N71" s="1"/>
    </row>
    <row r="72" ht="15.75" customHeight="1">
      <c r="A72" s="1"/>
      <c r="B72" s="1"/>
      <c r="C72" s="1"/>
      <c r="D72" s="1"/>
      <c r="E72" s="1"/>
      <c r="F72" s="1"/>
      <c r="G72" s="1"/>
      <c r="H72" s="1"/>
      <c r="I72" s="1"/>
      <c r="J72" s="1"/>
      <c r="K72" s="1"/>
      <c r="L72" s="1"/>
      <c r="M72" s="1"/>
      <c r="N72" s="1"/>
    </row>
    <row r="73" ht="15.75" customHeight="1">
      <c r="A73" s="1"/>
      <c r="B73" s="1"/>
      <c r="C73" s="1"/>
      <c r="D73" s="1"/>
      <c r="E73" s="1"/>
      <c r="F73" s="1"/>
      <c r="G73" s="1"/>
      <c r="H73" s="1"/>
      <c r="I73" s="1"/>
      <c r="J73" s="1"/>
      <c r="K73" s="1"/>
      <c r="L73" s="1"/>
      <c r="M73" s="1"/>
      <c r="N73" s="1"/>
    </row>
    <row r="74" ht="15.75" customHeight="1">
      <c r="A74" s="1"/>
      <c r="B74" s="1"/>
      <c r="C74" s="1"/>
      <c r="D74" s="1"/>
      <c r="E74" s="1"/>
      <c r="F74" s="1"/>
      <c r="G74" s="1"/>
      <c r="H74" s="1"/>
      <c r="I74" s="1"/>
      <c r="J74" s="1"/>
      <c r="K74" s="1"/>
      <c r="L74" s="1"/>
      <c r="M74" s="1"/>
      <c r="N74" s="1"/>
    </row>
    <row r="75" ht="15.75" customHeight="1">
      <c r="A75" s="1"/>
      <c r="B75" s="1"/>
      <c r="C75" s="1"/>
      <c r="D75" s="1"/>
      <c r="E75" s="1"/>
      <c r="F75" s="1"/>
      <c r="G75" s="1"/>
      <c r="H75" s="1"/>
      <c r="I75" s="1"/>
      <c r="J75" s="1"/>
      <c r="K75" s="1"/>
      <c r="L75" s="1"/>
      <c r="M75" s="1"/>
      <c r="N75" s="1"/>
    </row>
    <row r="76" ht="15.75" customHeight="1">
      <c r="A76" s="1"/>
      <c r="B76" s="1"/>
      <c r="C76" s="1"/>
      <c r="D76" s="1"/>
      <c r="E76" s="1"/>
      <c r="F76" s="1"/>
      <c r="G76" s="1"/>
      <c r="H76" s="1"/>
      <c r="I76" s="1"/>
      <c r="J76" s="1"/>
      <c r="K76" s="1"/>
      <c r="L76" s="1"/>
      <c r="M76" s="1"/>
      <c r="N76" s="1"/>
    </row>
    <row r="77" ht="15.75" customHeight="1">
      <c r="A77" s="1"/>
      <c r="B77" s="1"/>
      <c r="C77" s="1"/>
      <c r="D77" s="1"/>
      <c r="E77" s="1"/>
      <c r="F77" s="1"/>
      <c r="G77" s="1"/>
      <c r="H77" s="1"/>
      <c r="I77" s="1"/>
      <c r="J77" s="1"/>
      <c r="K77" s="1"/>
      <c r="L77" s="1"/>
      <c r="M77" s="1"/>
      <c r="N77" s="1"/>
    </row>
    <row r="78" ht="15.75" customHeight="1">
      <c r="A78" s="1"/>
      <c r="B78" s="1"/>
      <c r="C78" s="1"/>
      <c r="D78" s="1"/>
      <c r="E78" s="1"/>
      <c r="F78" s="1"/>
      <c r="G78" s="1"/>
      <c r="H78" s="1"/>
      <c r="I78" s="1"/>
      <c r="J78" s="1"/>
      <c r="K78" s="1"/>
      <c r="L78" s="1"/>
      <c r="M78" s="1"/>
      <c r="N78" s="1"/>
    </row>
    <row r="79" ht="15.75" customHeight="1">
      <c r="A79" s="1"/>
      <c r="B79" s="1"/>
      <c r="C79" s="1"/>
      <c r="D79" s="1"/>
      <c r="E79" s="1"/>
      <c r="F79" s="1"/>
      <c r="G79" s="1"/>
      <c r="H79" s="1"/>
      <c r="I79" s="1"/>
      <c r="J79" s="1"/>
      <c r="K79" s="1"/>
      <c r="L79" s="1"/>
      <c r="M79" s="1"/>
      <c r="N79" s="1"/>
    </row>
    <row r="80" ht="15.75" customHeight="1">
      <c r="A80" s="1"/>
      <c r="B80" s="1"/>
      <c r="C80" s="1"/>
      <c r="D80" s="1"/>
      <c r="E80" s="1"/>
      <c r="F80" s="1"/>
      <c r="G80" s="1"/>
      <c r="H80" s="1"/>
      <c r="I80" s="1"/>
      <c r="J80" s="1"/>
      <c r="K80" s="1"/>
      <c r="L80" s="1"/>
      <c r="M80" s="1"/>
      <c r="N80" s="1"/>
    </row>
    <row r="81" ht="15.75" customHeight="1">
      <c r="A81" s="1"/>
      <c r="B81" s="1"/>
      <c r="C81" s="1"/>
      <c r="D81" s="1"/>
      <c r="E81" s="1"/>
      <c r="F81" s="1"/>
      <c r="G81" s="1"/>
      <c r="H81" s="1"/>
      <c r="I81" s="1"/>
      <c r="J81" s="1"/>
      <c r="K81" s="1"/>
      <c r="L81" s="1"/>
      <c r="M81" s="1"/>
      <c r="N81" s="1"/>
    </row>
    <row r="82" ht="15.75" customHeight="1">
      <c r="A82" s="1"/>
      <c r="B82" s="1"/>
      <c r="C82" s="1"/>
      <c r="D82" s="1"/>
      <c r="E82" s="1"/>
      <c r="F82" s="1"/>
      <c r="G82" s="1"/>
      <c r="H82" s="1"/>
      <c r="I82" s="1"/>
      <c r="J82" s="1"/>
      <c r="K82" s="1"/>
      <c r="L82" s="1"/>
      <c r="M82" s="1"/>
      <c r="N82" s="1"/>
    </row>
    <row r="83" ht="15.75" customHeight="1">
      <c r="A83" s="1"/>
      <c r="B83" s="1"/>
      <c r="C83" s="1"/>
      <c r="D83" s="1"/>
      <c r="E83" s="1"/>
      <c r="F83" s="1"/>
      <c r="G83" s="1"/>
      <c r="H83" s="1"/>
      <c r="I83" s="1"/>
      <c r="J83" s="1"/>
      <c r="K83" s="1"/>
      <c r="L83" s="1"/>
      <c r="M83" s="1"/>
      <c r="N83" s="1"/>
    </row>
    <row r="84" ht="15.75" customHeight="1">
      <c r="A84" s="1"/>
      <c r="B84" s="1"/>
      <c r="C84" s="1"/>
      <c r="D84" s="1"/>
      <c r="E84" s="1"/>
      <c r="F84" s="1"/>
      <c r="G84" s="1"/>
      <c r="H84" s="1"/>
      <c r="I84" s="1"/>
      <c r="J84" s="1"/>
      <c r="K84" s="1"/>
      <c r="L84" s="1"/>
      <c r="M84" s="1"/>
      <c r="N84" s="1"/>
    </row>
    <row r="85" ht="15.75" customHeight="1">
      <c r="A85" s="1"/>
      <c r="B85" s="1"/>
      <c r="C85" s="1"/>
      <c r="D85" s="1"/>
      <c r="E85" s="1"/>
      <c r="F85" s="1"/>
      <c r="G85" s="1"/>
      <c r="H85" s="1"/>
      <c r="I85" s="1"/>
      <c r="J85" s="1"/>
      <c r="K85" s="1"/>
      <c r="L85" s="1"/>
      <c r="M85" s="1"/>
      <c r="N85" s="1"/>
    </row>
    <row r="86" ht="15.75" customHeight="1">
      <c r="A86" s="1"/>
      <c r="B86" s="1"/>
      <c r="C86" s="1"/>
      <c r="D86" s="1"/>
      <c r="E86" s="1"/>
      <c r="F86" s="1"/>
      <c r="G86" s="1"/>
      <c r="H86" s="1"/>
      <c r="I86" s="1"/>
      <c r="J86" s="1"/>
      <c r="K86" s="1"/>
      <c r="L86" s="1"/>
      <c r="M86" s="1"/>
      <c r="N86" s="1"/>
    </row>
    <row r="87" ht="15.75" customHeight="1">
      <c r="A87" s="1"/>
      <c r="B87" s="1"/>
      <c r="C87" s="1"/>
      <c r="D87" s="1"/>
      <c r="E87" s="1"/>
      <c r="F87" s="1"/>
      <c r="G87" s="1"/>
      <c r="H87" s="1"/>
      <c r="I87" s="1"/>
      <c r="J87" s="1"/>
      <c r="K87" s="1"/>
      <c r="L87" s="1"/>
      <c r="M87" s="1"/>
      <c r="N87" s="1"/>
    </row>
    <row r="88" ht="15.75" customHeight="1">
      <c r="A88" s="1"/>
      <c r="B88" s="1"/>
      <c r="C88" s="1"/>
      <c r="D88" s="1"/>
      <c r="E88" s="1"/>
      <c r="F88" s="1"/>
      <c r="G88" s="1"/>
      <c r="H88" s="1"/>
      <c r="I88" s="1"/>
      <c r="J88" s="1"/>
      <c r="K88" s="1"/>
      <c r="L88" s="1"/>
      <c r="M88" s="1"/>
      <c r="N88" s="1"/>
    </row>
    <row r="89" ht="15.75" customHeight="1">
      <c r="A89" s="1"/>
      <c r="B89" s="1"/>
      <c r="C89" s="1"/>
      <c r="D89" s="1"/>
      <c r="E89" s="1"/>
      <c r="F89" s="1"/>
      <c r="G89" s="1"/>
      <c r="H89" s="1"/>
      <c r="I89" s="1"/>
      <c r="J89" s="1"/>
      <c r="K89" s="1"/>
      <c r="L89" s="1"/>
      <c r="M89" s="1"/>
      <c r="N89" s="1"/>
    </row>
    <row r="90" ht="15.75" customHeight="1">
      <c r="A90" s="1"/>
      <c r="B90" s="1"/>
      <c r="C90" s="1"/>
      <c r="D90" s="1"/>
      <c r="E90" s="1"/>
      <c r="F90" s="1"/>
      <c r="G90" s="1"/>
      <c r="H90" s="1"/>
      <c r="I90" s="1"/>
      <c r="J90" s="1"/>
      <c r="K90" s="1"/>
      <c r="L90" s="1"/>
      <c r="M90" s="1"/>
      <c r="N90" s="1"/>
    </row>
    <row r="91" ht="15.75" customHeight="1">
      <c r="A91" s="1"/>
      <c r="B91" s="1"/>
      <c r="C91" s="1"/>
      <c r="D91" s="1"/>
      <c r="E91" s="1"/>
      <c r="F91" s="1"/>
      <c r="G91" s="1"/>
      <c r="H91" s="1"/>
      <c r="I91" s="1"/>
      <c r="J91" s="1"/>
      <c r="K91" s="1"/>
      <c r="L91" s="1"/>
      <c r="M91" s="1"/>
      <c r="N91" s="1"/>
    </row>
    <row r="92" ht="15.75" customHeight="1">
      <c r="A92" s="1"/>
      <c r="B92" s="1"/>
      <c r="C92" s="1"/>
      <c r="D92" s="1"/>
      <c r="E92" s="1"/>
      <c r="F92" s="1"/>
      <c r="G92" s="1"/>
      <c r="H92" s="1"/>
      <c r="I92" s="1"/>
      <c r="J92" s="1"/>
      <c r="K92" s="1"/>
      <c r="L92" s="1"/>
      <c r="M92" s="1"/>
      <c r="N92" s="1"/>
    </row>
    <row r="93" ht="15.75" customHeight="1">
      <c r="A93" s="1"/>
      <c r="B93" s="1"/>
      <c r="C93" s="1"/>
      <c r="D93" s="1"/>
      <c r="E93" s="1"/>
      <c r="F93" s="1"/>
      <c r="G93" s="1"/>
      <c r="H93" s="1"/>
      <c r="I93" s="1"/>
      <c r="J93" s="1"/>
      <c r="K93" s="1"/>
      <c r="L93" s="1"/>
      <c r="M93" s="1"/>
      <c r="N93" s="1"/>
    </row>
    <row r="94" ht="15.75" customHeight="1">
      <c r="A94" s="1"/>
      <c r="B94" s="1"/>
      <c r="C94" s="1"/>
      <c r="D94" s="1"/>
      <c r="E94" s="1"/>
      <c r="F94" s="1"/>
      <c r="G94" s="1"/>
      <c r="H94" s="1"/>
      <c r="I94" s="1"/>
      <c r="J94" s="1"/>
      <c r="K94" s="1"/>
      <c r="L94" s="1"/>
      <c r="M94" s="1"/>
      <c r="N94" s="1"/>
    </row>
    <row r="95" ht="15.75" customHeight="1">
      <c r="A95" s="1"/>
      <c r="B95" s="1"/>
      <c r="C95" s="1"/>
      <c r="D95" s="1"/>
      <c r="E95" s="1"/>
      <c r="F95" s="1"/>
      <c r="G95" s="1"/>
      <c r="H95" s="1"/>
      <c r="I95" s="1"/>
      <c r="J95" s="1"/>
      <c r="K95" s="1"/>
      <c r="L95" s="1"/>
      <c r="M95" s="1"/>
      <c r="N95" s="1"/>
    </row>
    <row r="96" ht="15.75" customHeight="1">
      <c r="A96" s="1"/>
      <c r="B96" s="1"/>
      <c r="C96" s="1"/>
      <c r="D96" s="1"/>
      <c r="E96" s="1"/>
      <c r="F96" s="1"/>
      <c r="G96" s="1"/>
      <c r="H96" s="1"/>
      <c r="I96" s="1"/>
      <c r="J96" s="1"/>
      <c r="K96" s="1"/>
      <c r="L96" s="1"/>
      <c r="M96" s="1"/>
      <c r="N96" s="1"/>
    </row>
    <row r="97" ht="15.75" customHeight="1">
      <c r="A97" s="1"/>
      <c r="B97" s="1"/>
      <c r="C97" s="1"/>
      <c r="D97" s="1"/>
      <c r="E97" s="1"/>
      <c r="F97" s="1"/>
      <c r="G97" s="1"/>
      <c r="H97" s="1"/>
      <c r="I97" s="1"/>
      <c r="J97" s="1"/>
      <c r="K97" s="1"/>
      <c r="L97" s="1"/>
      <c r="M97" s="1"/>
      <c r="N97" s="1"/>
    </row>
    <row r="98" ht="15.75" customHeight="1">
      <c r="A98" s="1"/>
      <c r="B98" s="1"/>
      <c r="C98" s="1"/>
      <c r="D98" s="1"/>
      <c r="E98" s="1"/>
      <c r="F98" s="1"/>
      <c r="G98" s="1"/>
      <c r="H98" s="1"/>
      <c r="I98" s="1"/>
      <c r="J98" s="1"/>
      <c r="K98" s="1"/>
      <c r="L98" s="1"/>
      <c r="M98" s="1"/>
      <c r="N98" s="1"/>
    </row>
    <row r="99" ht="15.75" customHeight="1">
      <c r="A99" s="1"/>
      <c r="B99" s="1"/>
      <c r="C99" s="1"/>
      <c r="D99" s="1"/>
      <c r="E99" s="1"/>
      <c r="F99" s="1"/>
      <c r="G99" s="1"/>
      <c r="H99" s="1"/>
      <c r="I99" s="1"/>
      <c r="J99" s="1"/>
      <c r="K99" s="1"/>
      <c r="L99" s="1"/>
      <c r="M99" s="1"/>
      <c r="N99" s="1"/>
    </row>
    <row r="100" ht="15.75" customHeight="1">
      <c r="A100" s="1"/>
      <c r="B100" s="1"/>
      <c r="C100" s="1"/>
      <c r="D100" s="1"/>
      <c r="E100" s="1"/>
      <c r="F100" s="1"/>
      <c r="G100" s="1"/>
      <c r="H100" s="1"/>
      <c r="I100" s="1"/>
      <c r="J100" s="1"/>
      <c r="K100" s="1"/>
      <c r="L100" s="1"/>
      <c r="M100" s="1"/>
      <c r="N100" s="1"/>
    </row>
    <row r="101" ht="15.75" customHeight="1">
      <c r="A101" s="1"/>
      <c r="B101" s="1"/>
      <c r="C101" s="1"/>
      <c r="D101" s="1"/>
      <c r="E101" s="1"/>
      <c r="F101" s="1"/>
      <c r="G101" s="1"/>
      <c r="H101" s="1"/>
      <c r="I101" s="1"/>
      <c r="J101" s="1"/>
      <c r="K101" s="1"/>
      <c r="L101" s="1"/>
      <c r="M101" s="1"/>
      <c r="N101" s="1"/>
    </row>
    <row r="102" ht="15.75" customHeight="1">
      <c r="A102" s="1"/>
      <c r="B102" s="1"/>
      <c r="C102" s="1"/>
      <c r="D102" s="1"/>
      <c r="E102" s="1"/>
      <c r="F102" s="1"/>
      <c r="G102" s="1"/>
      <c r="H102" s="1"/>
      <c r="I102" s="1"/>
      <c r="J102" s="1"/>
      <c r="K102" s="1"/>
      <c r="L102" s="1"/>
      <c r="M102" s="1"/>
      <c r="N102" s="1"/>
    </row>
    <row r="103" ht="15.75" customHeight="1">
      <c r="A103" s="1"/>
      <c r="B103" s="1"/>
      <c r="C103" s="1"/>
      <c r="D103" s="1"/>
      <c r="E103" s="1"/>
      <c r="F103" s="1"/>
      <c r="G103" s="1"/>
      <c r="H103" s="1"/>
      <c r="I103" s="1"/>
      <c r="J103" s="1"/>
      <c r="K103" s="1"/>
      <c r="L103" s="1"/>
      <c r="M103" s="1"/>
      <c r="N103" s="1"/>
    </row>
    <row r="104" ht="15.75" customHeight="1">
      <c r="A104" s="1"/>
      <c r="B104" s="1"/>
      <c r="C104" s="1"/>
      <c r="D104" s="1"/>
      <c r="E104" s="1"/>
      <c r="F104" s="1"/>
      <c r="G104" s="1"/>
      <c r="H104" s="1"/>
      <c r="I104" s="1"/>
      <c r="J104" s="1"/>
      <c r="K104" s="1"/>
      <c r="L104" s="1"/>
      <c r="M104" s="1"/>
      <c r="N104" s="1"/>
    </row>
    <row r="105" ht="15.75" customHeight="1">
      <c r="A105" s="1"/>
      <c r="B105" s="1"/>
      <c r="C105" s="1"/>
      <c r="D105" s="1"/>
      <c r="E105" s="1"/>
      <c r="F105" s="1"/>
      <c r="G105" s="1"/>
      <c r="H105" s="1"/>
      <c r="I105" s="1"/>
      <c r="J105" s="1"/>
      <c r="K105" s="1"/>
      <c r="L105" s="1"/>
      <c r="M105" s="1"/>
      <c r="N105" s="1"/>
    </row>
    <row r="106" ht="15.75" customHeight="1">
      <c r="A106" s="1"/>
      <c r="B106" s="1"/>
      <c r="C106" s="1"/>
      <c r="D106" s="1"/>
      <c r="E106" s="1"/>
      <c r="F106" s="1"/>
      <c r="G106" s="1"/>
      <c r="H106" s="1"/>
      <c r="I106" s="1"/>
      <c r="J106" s="1"/>
      <c r="K106" s="1"/>
      <c r="L106" s="1"/>
      <c r="M106" s="1"/>
      <c r="N106" s="1"/>
    </row>
    <row r="107" ht="15.75" customHeight="1">
      <c r="A107" s="1"/>
      <c r="B107" s="1"/>
      <c r="C107" s="1"/>
      <c r="D107" s="1"/>
      <c r="E107" s="1"/>
      <c r="F107" s="1"/>
      <c r="G107" s="1"/>
      <c r="H107" s="1"/>
      <c r="I107" s="1"/>
      <c r="J107" s="1"/>
      <c r="K107" s="1"/>
      <c r="L107" s="1"/>
      <c r="M107" s="1"/>
      <c r="N107" s="1"/>
    </row>
    <row r="108" ht="15.75" customHeight="1">
      <c r="A108" s="1"/>
      <c r="B108" s="1"/>
      <c r="C108" s="1"/>
      <c r="D108" s="1"/>
      <c r="E108" s="1"/>
      <c r="F108" s="1"/>
      <c r="G108" s="1"/>
      <c r="H108" s="1"/>
      <c r="I108" s="1"/>
      <c r="J108" s="1"/>
      <c r="K108" s="1"/>
      <c r="L108" s="1"/>
      <c r="M108" s="1"/>
      <c r="N108" s="1"/>
    </row>
    <row r="109" ht="15.75" customHeight="1">
      <c r="A109" s="1"/>
      <c r="B109" s="1"/>
      <c r="C109" s="1"/>
      <c r="D109" s="1"/>
      <c r="E109" s="1"/>
      <c r="F109" s="1"/>
      <c r="G109" s="1"/>
      <c r="H109" s="1"/>
      <c r="I109" s="1"/>
      <c r="J109" s="1"/>
      <c r="K109" s="1"/>
      <c r="L109" s="1"/>
      <c r="M109" s="1"/>
      <c r="N109" s="1"/>
    </row>
    <row r="110" ht="15.75" customHeight="1">
      <c r="A110" s="1"/>
      <c r="B110" s="1"/>
      <c r="C110" s="1"/>
      <c r="D110" s="1"/>
      <c r="E110" s="1"/>
      <c r="F110" s="1"/>
      <c r="G110" s="1"/>
      <c r="H110" s="1"/>
      <c r="I110" s="1"/>
      <c r="J110" s="1"/>
      <c r="K110" s="1"/>
      <c r="L110" s="1"/>
      <c r="M110" s="1"/>
      <c r="N110" s="1"/>
    </row>
    <row r="111" ht="15.75" customHeight="1">
      <c r="A111" s="1"/>
      <c r="B111" s="1"/>
      <c r="C111" s="1"/>
      <c r="D111" s="1"/>
      <c r="E111" s="1"/>
      <c r="F111" s="1"/>
      <c r="G111" s="1"/>
      <c r="H111" s="1"/>
      <c r="I111" s="1"/>
      <c r="J111" s="1"/>
      <c r="K111" s="1"/>
      <c r="L111" s="1"/>
      <c r="M111" s="1"/>
      <c r="N111" s="1"/>
    </row>
    <row r="112" ht="15.75" customHeight="1">
      <c r="A112" s="1"/>
      <c r="B112" s="1"/>
      <c r="C112" s="1"/>
      <c r="D112" s="1"/>
      <c r="E112" s="1"/>
      <c r="F112" s="1"/>
      <c r="G112" s="1"/>
      <c r="H112" s="1"/>
      <c r="I112" s="1"/>
      <c r="J112" s="1"/>
      <c r="K112" s="1"/>
      <c r="L112" s="1"/>
      <c r="M112" s="1"/>
      <c r="N112" s="1"/>
    </row>
    <row r="113" ht="15.75" customHeight="1">
      <c r="A113" s="1"/>
      <c r="B113" s="1"/>
      <c r="C113" s="1"/>
      <c r="D113" s="1"/>
      <c r="E113" s="1"/>
      <c r="F113" s="1"/>
      <c r="G113" s="1"/>
      <c r="H113" s="1"/>
      <c r="I113" s="1"/>
      <c r="J113" s="1"/>
      <c r="K113" s="1"/>
      <c r="L113" s="1"/>
      <c r="M113" s="1"/>
      <c r="N113" s="1"/>
    </row>
    <row r="114" ht="15.75" customHeight="1">
      <c r="A114" s="1"/>
      <c r="B114" s="1"/>
      <c r="C114" s="1"/>
      <c r="D114" s="1"/>
      <c r="E114" s="1"/>
      <c r="F114" s="1"/>
      <c r="G114" s="1"/>
      <c r="H114" s="1"/>
      <c r="I114" s="1"/>
      <c r="J114" s="1"/>
      <c r="K114" s="1"/>
      <c r="L114" s="1"/>
      <c r="M114" s="1"/>
      <c r="N114" s="1"/>
    </row>
    <row r="115" ht="15.75" customHeight="1">
      <c r="A115" s="1"/>
      <c r="B115" s="1"/>
      <c r="C115" s="1"/>
      <c r="D115" s="1"/>
      <c r="E115" s="1"/>
      <c r="F115" s="1"/>
      <c r="G115" s="1"/>
      <c r="H115" s="1"/>
      <c r="I115" s="1"/>
      <c r="J115" s="1"/>
      <c r="K115" s="1"/>
      <c r="L115" s="1"/>
      <c r="M115" s="1"/>
      <c r="N115" s="1"/>
    </row>
    <row r="116" ht="15.75" customHeight="1">
      <c r="A116" s="1"/>
      <c r="B116" s="1"/>
      <c r="C116" s="1"/>
      <c r="D116" s="1"/>
      <c r="E116" s="1"/>
      <c r="F116" s="1"/>
      <c r="G116" s="1"/>
      <c r="H116" s="1"/>
      <c r="I116" s="1"/>
      <c r="J116" s="1"/>
      <c r="K116" s="1"/>
      <c r="L116" s="1"/>
      <c r="M116" s="1"/>
      <c r="N116" s="1"/>
    </row>
    <row r="117" ht="15.75" customHeight="1">
      <c r="A117" s="1"/>
      <c r="B117" s="1"/>
      <c r="C117" s="1"/>
      <c r="D117" s="1"/>
      <c r="E117" s="1"/>
      <c r="F117" s="1"/>
      <c r="G117" s="1"/>
      <c r="H117" s="1"/>
      <c r="I117" s="1"/>
      <c r="J117" s="1"/>
      <c r="K117" s="1"/>
      <c r="L117" s="1"/>
      <c r="M117" s="1"/>
      <c r="N117" s="1"/>
    </row>
    <row r="118" ht="15.75" customHeight="1">
      <c r="A118" s="1"/>
      <c r="B118" s="1"/>
      <c r="C118" s="1"/>
      <c r="D118" s="1"/>
      <c r="E118" s="1"/>
      <c r="F118" s="1"/>
      <c r="G118" s="1"/>
      <c r="H118" s="1"/>
      <c r="I118" s="1"/>
      <c r="J118" s="1"/>
      <c r="K118" s="1"/>
      <c r="L118" s="1"/>
      <c r="M118" s="1"/>
      <c r="N118" s="1"/>
    </row>
    <row r="119" ht="15.75" customHeight="1">
      <c r="A119" s="1"/>
      <c r="B119" s="1"/>
      <c r="C119" s="1"/>
      <c r="D119" s="1"/>
      <c r="E119" s="1"/>
      <c r="F119" s="1"/>
      <c r="G119" s="1"/>
      <c r="H119" s="1"/>
      <c r="I119" s="1"/>
      <c r="J119" s="1"/>
      <c r="K119" s="1"/>
      <c r="L119" s="1"/>
      <c r="M119" s="1"/>
      <c r="N119" s="1"/>
    </row>
    <row r="120" ht="15.75" customHeight="1">
      <c r="A120" s="1"/>
      <c r="B120" s="1"/>
      <c r="C120" s="1"/>
      <c r="D120" s="1"/>
      <c r="E120" s="1"/>
      <c r="F120" s="1"/>
      <c r="G120" s="1"/>
      <c r="H120" s="1"/>
      <c r="I120" s="1"/>
      <c r="J120" s="1"/>
      <c r="K120" s="1"/>
      <c r="L120" s="1"/>
      <c r="M120" s="1"/>
      <c r="N120" s="1"/>
    </row>
    <row r="121" ht="15.75" customHeight="1">
      <c r="A121" s="1"/>
      <c r="B121" s="1"/>
      <c r="C121" s="1"/>
      <c r="D121" s="1"/>
      <c r="E121" s="1"/>
      <c r="F121" s="1"/>
      <c r="G121" s="1"/>
      <c r="H121" s="1"/>
      <c r="I121" s="1"/>
      <c r="J121" s="1"/>
      <c r="K121" s="1"/>
      <c r="L121" s="1"/>
      <c r="M121" s="1"/>
      <c r="N121" s="1"/>
    </row>
    <row r="122" ht="15.75" customHeight="1">
      <c r="A122" s="1"/>
      <c r="B122" s="1"/>
      <c r="C122" s="1"/>
      <c r="D122" s="1"/>
      <c r="E122" s="1"/>
      <c r="F122" s="1"/>
      <c r="G122" s="1"/>
      <c r="H122" s="1"/>
      <c r="I122" s="1"/>
      <c r="J122" s="1"/>
      <c r="K122" s="1"/>
      <c r="L122" s="1"/>
      <c r="M122" s="1"/>
      <c r="N122" s="1"/>
    </row>
    <row r="123" ht="15.75" customHeight="1">
      <c r="A123" s="1"/>
      <c r="B123" s="1"/>
      <c r="C123" s="1"/>
      <c r="D123" s="1"/>
      <c r="E123" s="1"/>
      <c r="F123" s="1"/>
      <c r="G123" s="1"/>
      <c r="H123" s="1"/>
      <c r="I123" s="1"/>
      <c r="J123" s="1"/>
      <c r="K123" s="1"/>
      <c r="L123" s="1"/>
      <c r="M123" s="1"/>
      <c r="N123" s="1"/>
    </row>
    <row r="124" ht="15.75" customHeight="1">
      <c r="A124" s="1"/>
      <c r="B124" s="1"/>
      <c r="C124" s="1"/>
      <c r="D124" s="1"/>
      <c r="E124" s="1"/>
      <c r="F124" s="1"/>
      <c r="G124" s="1"/>
      <c r="H124" s="1"/>
      <c r="I124" s="1"/>
      <c r="J124" s="1"/>
      <c r="K124" s="1"/>
      <c r="L124" s="1"/>
      <c r="M124" s="1"/>
      <c r="N124" s="1"/>
    </row>
    <row r="125" ht="15.75" customHeight="1">
      <c r="A125" s="1"/>
      <c r="B125" s="1"/>
      <c r="C125" s="1"/>
      <c r="D125" s="1"/>
      <c r="E125" s="1"/>
      <c r="F125" s="1"/>
      <c r="G125" s="1"/>
      <c r="H125" s="1"/>
      <c r="I125" s="1"/>
      <c r="J125" s="1"/>
      <c r="K125" s="1"/>
      <c r="L125" s="1"/>
      <c r="M125" s="1"/>
      <c r="N125" s="1"/>
    </row>
    <row r="126" ht="15.75" customHeight="1">
      <c r="A126" s="1"/>
      <c r="B126" s="1"/>
      <c r="C126" s="1"/>
      <c r="D126" s="1"/>
      <c r="E126" s="1"/>
      <c r="F126" s="1"/>
      <c r="G126" s="1"/>
      <c r="H126" s="1"/>
      <c r="I126" s="1"/>
      <c r="J126" s="1"/>
      <c r="K126" s="1"/>
      <c r="L126" s="1"/>
      <c r="M126" s="1"/>
      <c r="N126" s="1"/>
    </row>
    <row r="127" ht="15.75" customHeight="1">
      <c r="A127" s="1"/>
      <c r="B127" s="1"/>
      <c r="C127" s="1"/>
      <c r="D127" s="1"/>
      <c r="E127" s="1"/>
      <c r="F127" s="1"/>
      <c r="G127" s="1"/>
      <c r="H127" s="1"/>
      <c r="I127" s="1"/>
      <c r="J127" s="1"/>
      <c r="K127" s="1"/>
      <c r="L127" s="1"/>
      <c r="M127" s="1"/>
      <c r="N127" s="1"/>
    </row>
    <row r="128" ht="15.75" customHeight="1">
      <c r="A128" s="1"/>
      <c r="B128" s="1"/>
      <c r="C128" s="1"/>
      <c r="D128" s="1"/>
      <c r="E128" s="1"/>
      <c r="F128" s="1"/>
      <c r="G128" s="1"/>
      <c r="H128" s="1"/>
      <c r="I128" s="1"/>
      <c r="J128" s="1"/>
      <c r="K128" s="1"/>
      <c r="L128" s="1"/>
      <c r="M128" s="1"/>
      <c r="N128" s="1"/>
    </row>
    <row r="129" ht="15.75" customHeight="1">
      <c r="A129" s="1"/>
      <c r="B129" s="1"/>
      <c r="C129" s="1"/>
      <c r="D129" s="1"/>
      <c r="E129" s="1"/>
      <c r="F129" s="1"/>
      <c r="G129" s="1"/>
      <c r="H129" s="1"/>
      <c r="I129" s="1"/>
      <c r="J129" s="1"/>
      <c r="K129" s="1"/>
      <c r="L129" s="1"/>
      <c r="M129" s="1"/>
      <c r="N129" s="1"/>
    </row>
    <row r="130" ht="15.75" customHeight="1">
      <c r="A130" s="1"/>
      <c r="B130" s="1"/>
      <c r="C130" s="1"/>
      <c r="D130" s="1"/>
      <c r="E130" s="1"/>
      <c r="F130" s="1"/>
      <c r="G130" s="1"/>
      <c r="H130" s="1"/>
      <c r="I130" s="1"/>
      <c r="J130" s="1"/>
      <c r="K130" s="1"/>
      <c r="L130" s="1"/>
      <c r="M130" s="1"/>
      <c r="N130" s="1"/>
    </row>
    <row r="131" ht="15.75" customHeight="1">
      <c r="A131" s="1"/>
      <c r="B131" s="1"/>
      <c r="C131" s="1"/>
      <c r="D131" s="1"/>
      <c r="E131" s="1"/>
      <c r="F131" s="1"/>
      <c r="G131" s="1"/>
      <c r="H131" s="1"/>
      <c r="I131" s="1"/>
      <c r="J131" s="1"/>
      <c r="K131" s="1"/>
      <c r="L131" s="1"/>
      <c r="M131" s="1"/>
      <c r="N131" s="1"/>
    </row>
    <row r="132" ht="15.75" customHeight="1">
      <c r="A132" s="1"/>
      <c r="B132" s="1"/>
      <c r="C132" s="1"/>
      <c r="D132" s="1"/>
      <c r="E132" s="1"/>
      <c r="F132" s="1"/>
      <c r="G132" s="1"/>
      <c r="H132" s="1"/>
      <c r="I132" s="1"/>
      <c r="J132" s="1"/>
      <c r="K132" s="1"/>
      <c r="L132" s="1"/>
      <c r="M132" s="1"/>
      <c r="N132" s="1"/>
    </row>
    <row r="133" ht="15.75" customHeight="1">
      <c r="A133" s="1"/>
      <c r="B133" s="1"/>
      <c r="C133" s="1"/>
      <c r="D133" s="1"/>
      <c r="E133" s="1"/>
      <c r="F133" s="1"/>
      <c r="G133" s="1"/>
      <c r="H133" s="1"/>
      <c r="I133" s="1"/>
      <c r="J133" s="1"/>
      <c r="K133" s="1"/>
      <c r="L133" s="1"/>
      <c r="M133" s="1"/>
      <c r="N133" s="1"/>
    </row>
    <row r="134" ht="15.75" customHeight="1">
      <c r="A134" s="1"/>
      <c r="B134" s="1"/>
      <c r="C134" s="1"/>
      <c r="D134" s="1"/>
      <c r="E134" s="1"/>
      <c r="F134" s="1"/>
      <c r="G134" s="1"/>
      <c r="H134" s="1"/>
      <c r="I134" s="1"/>
      <c r="J134" s="1"/>
      <c r="K134" s="1"/>
      <c r="L134" s="1"/>
      <c r="M134" s="1"/>
      <c r="N134" s="1"/>
    </row>
    <row r="135" ht="15.75" customHeight="1">
      <c r="A135" s="1"/>
      <c r="B135" s="1"/>
      <c r="C135" s="1"/>
      <c r="D135" s="1"/>
      <c r="E135" s="1"/>
      <c r="F135" s="1"/>
      <c r="G135" s="1"/>
      <c r="H135" s="1"/>
      <c r="I135" s="1"/>
      <c r="J135" s="1"/>
      <c r="K135" s="1"/>
      <c r="L135" s="1"/>
      <c r="M135" s="1"/>
      <c r="N135" s="1"/>
    </row>
    <row r="136" ht="15.75" customHeight="1">
      <c r="A136" s="1"/>
      <c r="B136" s="1"/>
      <c r="C136" s="1"/>
      <c r="D136" s="1"/>
      <c r="E136" s="1"/>
      <c r="F136" s="1"/>
      <c r="G136" s="1"/>
      <c r="H136" s="1"/>
      <c r="I136" s="1"/>
      <c r="J136" s="1"/>
      <c r="K136" s="1"/>
      <c r="L136" s="1"/>
      <c r="M136" s="1"/>
      <c r="N136" s="1"/>
    </row>
    <row r="137" ht="15.75" customHeight="1">
      <c r="A137" s="1"/>
      <c r="B137" s="1"/>
      <c r="C137" s="1"/>
      <c r="D137" s="1"/>
      <c r="E137" s="1"/>
      <c r="F137" s="1"/>
      <c r="G137" s="1"/>
      <c r="H137" s="1"/>
      <c r="I137" s="1"/>
      <c r="J137" s="1"/>
      <c r="K137" s="1"/>
      <c r="L137" s="1"/>
      <c r="M137" s="1"/>
      <c r="N137" s="1"/>
    </row>
    <row r="138" ht="15.75" customHeight="1">
      <c r="A138" s="1"/>
      <c r="B138" s="1"/>
      <c r="C138" s="1"/>
      <c r="D138" s="1"/>
      <c r="E138" s="1"/>
      <c r="F138" s="1"/>
      <c r="G138" s="1"/>
      <c r="H138" s="1"/>
      <c r="I138" s="1"/>
      <c r="J138" s="1"/>
      <c r="K138" s="1"/>
      <c r="L138" s="1"/>
      <c r="M138" s="1"/>
      <c r="N138" s="1"/>
    </row>
    <row r="139" ht="15.75" customHeight="1">
      <c r="A139" s="1"/>
      <c r="B139" s="1"/>
      <c r="C139" s="1"/>
      <c r="D139" s="1"/>
      <c r="E139" s="1"/>
      <c r="F139" s="1"/>
      <c r="G139" s="1"/>
      <c r="H139" s="1"/>
      <c r="I139" s="1"/>
      <c r="J139" s="1"/>
      <c r="K139" s="1"/>
      <c r="L139" s="1"/>
      <c r="M139" s="1"/>
      <c r="N139" s="1"/>
    </row>
    <row r="140" ht="15.75" customHeight="1">
      <c r="A140" s="1"/>
      <c r="B140" s="1"/>
      <c r="C140" s="1"/>
      <c r="D140" s="1"/>
      <c r="E140" s="1"/>
      <c r="F140" s="1"/>
      <c r="G140" s="1"/>
      <c r="H140" s="1"/>
      <c r="I140" s="1"/>
      <c r="J140" s="1"/>
      <c r="K140" s="1"/>
      <c r="L140" s="1"/>
      <c r="M140" s="1"/>
      <c r="N140" s="1"/>
    </row>
    <row r="141" ht="15.75" customHeight="1">
      <c r="A141" s="1"/>
      <c r="B141" s="1"/>
      <c r="C141" s="1"/>
      <c r="D141" s="1"/>
      <c r="E141" s="1"/>
      <c r="F141" s="1"/>
      <c r="G141" s="1"/>
      <c r="H141" s="1"/>
      <c r="I141" s="1"/>
      <c r="J141" s="1"/>
      <c r="K141" s="1"/>
      <c r="L141" s="1"/>
      <c r="M141" s="1"/>
      <c r="N141" s="1"/>
    </row>
    <row r="142" ht="15.75" customHeight="1">
      <c r="A142" s="1"/>
      <c r="B142" s="1"/>
      <c r="C142" s="1"/>
      <c r="D142" s="1"/>
      <c r="E142" s="1"/>
      <c r="F142" s="1"/>
      <c r="G142" s="1"/>
      <c r="H142" s="1"/>
      <c r="I142" s="1"/>
      <c r="J142" s="1"/>
      <c r="K142" s="1"/>
      <c r="L142" s="1"/>
      <c r="M142" s="1"/>
      <c r="N142" s="1"/>
    </row>
    <row r="143" ht="15.75" customHeight="1">
      <c r="A143" s="1"/>
      <c r="B143" s="1"/>
      <c r="C143" s="1"/>
      <c r="D143" s="1"/>
      <c r="E143" s="1"/>
      <c r="F143" s="1"/>
      <c r="G143" s="1"/>
      <c r="H143" s="1"/>
      <c r="I143" s="1"/>
      <c r="J143" s="1"/>
      <c r="K143" s="1"/>
      <c r="L143" s="1"/>
      <c r="M143" s="1"/>
      <c r="N143" s="1"/>
    </row>
    <row r="144" ht="15.75" customHeight="1">
      <c r="A144" s="1"/>
      <c r="B144" s="1"/>
      <c r="C144" s="1"/>
      <c r="D144" s="1"/>
      <c r="E144" s="1"/>
      <c r="F144" s="1"/>
      <c r="G144" s="1"/>
      <c r="H144" s="1"/>
      <c r="I144" s="1"/>
      <c r="J144" s="1"/>
      <c r="K144" s="1"/>
      <c r="L144" s="1"/>
      <c r="M144" s="1"/>
      <c r="N144" s="1"/>
    </row>
    <row r="145" ht="15.75" customHeight="1">
      <c r="A145" s="1"/>
      <c r="B145" s="1"/>
      <c r="C145" s="1"/>
      <c r="D145" s="1"/>
      <c r="E145" s="1"/>
      <c r="F145" s="1"/>
      <c r="G145" s="1"/>
      <c r="H145" s="1"/>
      <c r="I145" s="1"/>
      <c r="J145" s="1"/>
      <c r="K145" s="1"/>
      <c r="L145" s="1"/>
      <c r="M145" s="1"/>
      <c r="N145" s="1"/>
    </row>
    <row r="146" ht="15.75" customHeight="1">
      <c r="A146" s="1"/>
      <c r="B146" s="1"/>
      <c r="C146" s="1"/>
      <c r="D146" s="1"/>
      <c r="E146" s="1"/>
      <c r="F146" s="1"/>
      <c r="G146" s="1"/>
      <c r="H146" s="1"/>
      <c r="I146" s="1"/>
      <c r="J146" s="1"/>
      <c r="K146" s="1"/>
      <c r="L146" s="1"/>
      <c r="M146" s="1"/>
      <c r="N146" s="1"/>
    </row>
    <row r="147" ht="15.75" customHeight="1">
      <c r="A147" s="1"/>
      <c r="B147" s="1"/>
      <c r="C147" s="1"/>
      <c r="D147" s="1"/>
      <c r="E147" s="1"/>
      <c r="F147" s="1"/>
      <c r="G147" s="1"/>
      <c r="H147" s="1"/>
      <c r="I147" s="1"/>
      <c r="J147" s="1"/>
      <c r="K147" s="1"/>
      <c r="L147" s="1"/>
      <c r="M147" s="1"/>
      <c r="N147" s="1"/>
    </row>
    <row r="148" ht="15.75" customHeight="1">
      <c r="A148" s="1"/>
      <c r="B148" s="1"/>
      <c r="C148" s="1"/>
      <c r="D148" s="1"/>
      <c r="E148" s="1"/>
      <c r="F148" s="1"/>
      <c r="G148" s="1"/>
      <c r="H148" s="1"/>
      <c r="I148" s="1"/>
      <c r="J148" s="1"/>
      <c r="K148" s="1"/>
      <c r="L148" s="1"/>
      <c r="M148" s="1"/>
      <c r="N148" s="1"/>
    </row>
    <row r="149" ht="15.75" customHeight="1">
      <c r="A149" s="1"/>
      <c r="B149" s="1"/>
      <c r="C149" s="1"/>
      <c r="D149" s="1"/>
      <c r="E149" s="1"/>
      <c r="F149" s="1"/>
      <c r="G149" s="1"/>
      <c r="H149" s="1"/>
      <c r="I149" s="1"/>
      <c r="J149" s="1"/>
      <c r="K149" s="1"/>
      <c r="L149" s="1"/>
      <c r="M149" s="1"/>
      <c r="N149" s="1"/>
    </row>
    <row r="150" ht="15.75" customHeight="1">
      <c r="A150" s="1"/>
      <c r="B150" s="1"/>
      <c r="C150" s="1"/>
      <c r="D150" s="1"/>
      <c r="E150" s="1"/>
      <c r="F150" s="1"/>
      <c r="G150" s="1"/>
      <c r="H150" s="1"/>
      <c r="I150" s="1"/>
      <c r="J150" s="1"/>
      <c r="K150" s="1"/>
      <c r="L150" s="1"/>
      <c r="M150" s="1"/>
      <c r="N150" s="1"/>
    </row>
    <row r="151" ht="15.75" customHeight="1">
      <c r="A151" s="1"/>
      <c r="B151" s="1"/>
      <c r="C151" s="1"/>
      <c r="D151" s="1"/>
      <c r="E151" s="1"/>
      <c r="F151" s="1"/>
      <c r="G151" s="1"/>
      <c r="H151" s="1"/>
      <c r="I151" s="1"/>
      <c r="J151" s="1"/>
      <c r="K151" s="1"/>
      <c r="L151" s="1"/>
      <c r="M151" s="1"/>
      <c r="N151" s="1"/>
    </row>
    <row r="152" ht="15.75" customHeight="1">
      <c r="A152" s="1"/>
      <c r="B152" s="1"/>
      <c r="C152" s="1"/>
      <c r="D152" s="1"/>
      <c r="E152" s="1"/>
      <c r="F152" s="1"/>
      <c r="G152" s="1"/>
      <c r="H152" s="1"/>
      <c r="I152" s="1"/>
      <c r="J152" s="1"/>
      <c r="K152" s="1"/>
      <c r="L152" s="1"/>
      <c r="M152" s="1"/>
      <c r="N152" s="1"/>
    </row>
    <row r="153" ht="15.75" customHeight="1">
      <c r="A153" s="1"/>
      <c r="B153" s="1"/>
      <c r="C153" s="1"/>
      <c r="D153" s="1"/>
      <c r="E153" s="1"/>
      <c r="F153" s="1"/>
      <c r="G153" s="1"/>
      <c r="H153" s="1"/>
      <c r="I153" s="1"/>
      <c r="J153" s="1"/>
      <c r="K153" s="1"/>
      <c r="L153" s="1"/>
      <c r="M153" s="1"/>
      <c r="N153" s="1"/>
    </row>
    <row r="154" ht="15.75" customHeight="1">
      <c r="A154" s="1"/>
      <c r="B154" s="1"/>
      <c r="C154" s="1"/>
      <c r="D154" s="1"/>
      <c r="E154" s="1"/>
      <c r="F154" s="1"/>
      <c r="G154" s="1"/>
      <c r="H154" s="1"/>
      <c r="I154" s="1"/>
      <c r="J154" s="1"/>
      <c r="K154" s="1"/>
      <c r="L154" s="1"/>
      <c r="M154" s="1"/>
      <c r="N154" s="1"/>
    </row>
    <row r="155" ht="15.75" customHeight="1">
      <c r="A155" s="1"/>
      <c r="B155" s="1"/>
      <c r="C155" s="1"/>
      <c r="D155" s="1"/>
      <c r="E155" s="1"/>
      <c r="F155" s="1"/>
      <c r="G155" s="1"/>
      <c r="H155" s="1"/>
      <c r="I155" s="1"/>
      <c r="J155" s="1"/>
      <c r="K155" s="1"/>
      <c r="L155" s="1"/>
      <c r="M155" s="1"/>
      <c r="N155" s="1"/>
    </row>
    <row r="156" ht="15.75" customHeight="1">
      <c r="A156" s="1"/>
      <c r="B156" s="1"/>
      <c r="C156" s="1"/>
      <c r="D156" s="1"/>
      <c r="E156" s="1"/>
      <c r="F156" s="1"/>
      <c r="G156" s="1"/>
      <c r="H156" s="1"/>
      <c r="I156" s="1"/>
      <c r="J156" s="1"/>
      <c r="K156" s="1"/>
      <c r="L156" s="1"/>
      <c r="M156" s="1"/>
      <c r="N156" s="1"/>
    </row>
    <row r="157" ht="15.75" customHeight="1">
      <c r="A157" s="1"/>
      <c r="B157" s="1"/>
      <c r="C157" s="1"/>
      <c r="D157" s="1"/>
      <c r="E157" s="1"/>
      <c r="F157" s="1"/>
      <c r="G157" s="1"/>
      <c r="H157" s="1"/>
      <c r="I157" s="1"/>
      <c r="J157" s="1"/>
      <c r="K157" s="1"/>
      <c r="L157" s="1"/>
      <c r="M157" s="1"/>
      <c r="N157" s="1"/>
    </row>
    <row r="158" ht="15.75" customHeight="1">
      <c r="A158" s="1"/>
      <c r="B158" s="1"/>
      <c r="C158" s="1"/>
      <c r="D158" s="1"/>
      <c r="E158" s="1"/>
      <c r="F158" s="1"/>
      <c r="G158" s="1"/>
      <c r="H158" s="1"/>
      <c r="I158" s="1"/>
      <c r="J158" s="1"/>
      <c r="K158" s="1"/>
      <c r="L158" s="1"/>
      <c r="M158" s="1"/>
      <c r="N158" s="1"/>
    </row>
    <row r="159" ht="15.75" customHeight="1">
      <c r="A159" s="1"/>
      <c r="B159" s="1"/>
      <c r="C159" s="1"/>
      <c r="D159" s="1"/>
      <c r="E159" s="1"/>
      <c r="F159" s="1"/>
      <c r="G159" s="1"/>
      <c r="H159" s="1"/>
      <c r="I159" s="1"/>
      <c r="J159" s="1"/>
      <c r="K159" s="1"/>
      <c r="L159" s="1"/>
      <c r="M159" s="1"/>
      <c r="N159" s="1"/>
    </row>
    <row r="160" ht="15.75" customHeight="1">
      <c r="A160" s="1"/>
      <c r="B160" s="1"/>
      <c r="C160" s="1"/>
      <c r="D160" s="1"/>
      <c r="E160" s="1"/>
      <c r="F160" s="1"/>
      <c r="G160" s="1"/>
      <c r="H160" s="1"/>
      <c r="I160" s="1"/>
      <c r="J160" s="1"/>
      <c r="K160" s="1"/>
      <c r="L160" s="1"/>
      <c r="M160" s="1"/>
      <c r="N160" s="1"/>
    </row>
    <row r="161" ht="15.75" customHeight="1">
      <c r="A161" s="1"/>
      <c r="B161" s="1"/>
      <c r="C161" s="1"/>
      <c r="D161" s="1"/>
      <c r="E161" s="1"/>
      <c r="F161" s="1"/>
      <c r="G161" s="1"/>
      <c r="H161" s="1"/>
      <c r="I161" s="1"/>
      <c r="J161" s="1"/>
      <c r="K161" s="1"/>
      <c r="L161" s="1"/>
      <c r="M161" s="1"/>
      <c r="N161" s="1"/>
    </row>
    <row r="162" ht="15.75" customHeight="1">
      <c r="A162" s="1"/>
      <c r="B162" s="1"/>
      <c r="C162" s="1"/>
      <c r="D162" s="1"/>
      <c r="E162" s="1"/>
      <c r="F162" s="1"/>
      <c r="G162" s="1"/>
      <c r="H162" s="1"/>
      <c r="I162" s="1"/>
      <c r="J162" s="1"/>
      <c r="K162" s="1"/>
      <c r="L162" s="1"/>
      <c r="M162" s="1"/>
      <c r="N162" s="1"/>
    </row>
    <row r="163" ht="15.75" customHeight="1">
      <c r="A163" s="1"/>
      <c r="B163" s="1"/>
      <c r="C163" s="1"/>
      <c r="D163" s="1"/>
      <c r="E163" s="1"/>
      <c r="F163" s="1"/>
      <c r="G163" s="1"/>
      <c r="H163" s="1"/>
      <c r="I163" s="1"/>
      <c r="J163" s="1"/>
      <c r="K163" s="1"/>
      <c r="L163" s="1"/>
      <c r="M163" s="1"/>
      <c r="N163" s="1"/>
    </row>
    <row r="164" ht="15.75" customHeight="1">
      <c r="A164" s="1"/>
      <c r="B164" s="1"/>
      <c r="C164" s="1"/>
      <c r="D164" s="1"/>
      <c r="E164" s="1"/>
      <c r="F164" s="1"/>
      <c r="G164" s="1"/>
      <c r="H164" s="1"/>
      <c r="I164" s="1"/>
      <c r="J164" s="1"/>
      <c r="K164" s="1"/>
      <c r="L164" s="1"/>
      <c r="M164" s="1"/>
      <c r="N164" s="1"/>
    </row>
    <row r="165" ht="15.75" customHeight="1">
      <c r="A165" s="1"/>
      <c r="B165" s="1"/>
      <c r="C165" s="1"/>
      <c r="D165" s="1"/>
      <c r="E165" s="1"/>
      <c r="F165" s="1"/>
      <c r="G165" s="1"/>
      <c r="H165" s="1"/>
      <c r="I165" s="1"/>
      <c r="J165" s="1"/>
      <c r="K165" s="1"/>
      <c r="L165" s="1"/>
      <c r="M165" s="1"/>
      <c r="N165" s="1"/>
    </row>
    <row r="166" ht="15.75" customHeight="1">
      <c r="A166" s="1"/>
      <c r="B166" s="1"/>
      <c r="C166" s="1"/>
      <c r="D166" s="1"/>
      <c r="E166" s="1"/>
      <c r="F166" s="1"/>
      <c r="G166" s="1"/>
      <c r="H166" s="1"/>
      <c r="I166" s="1"/>
      <c r="J166" s="1"/>
      <c r="K166" s="1"/>
      <c r="L166" s="1"/>
      <c r="M166" s="1"/>
      <c r="N166" s="1"/>
    </row>
    <row r="167" ht="15.75" customHeight="1">
      <c r="A167" s="1"/>
      <c r="B167" s="1"/>
      <c r="C167" s="1"/>
      <c r="D167" s="1"/>
      <c r="E167" s="1"/>
      <c r="F167" s="1"/>
      <c r="G167" s="1"/>
      <c r="H167" s="1"/>
      <c r="I167" s="1"/>
      <c r="J167" s="1"/>
      <c r="K167" s="1"/>
      <c r="L167" s="1"/>
      <c r="M167" s="1"/>
      <c r="N167" s="1"/>
    </row>
    <row r="168" ht="15.75" customHeight="1">
      <c r="A168" s="1"/>
      <c r="B168" s="1"/>
      <c r="C168" s="1"/>
      <c r="D168" s="1"/>
      <c r="E168" s="1"/>
      <c r="F168" s="1"/>
      <c r="G168" s="1"/>
      <c r="H168" s="1"/>
      <c r="I168" s="1"/>
      <c r="J168" s="1"/>
      <c r="K168" s="1"/>
      <c r="L168" s="1"/>
      <c r="M168" s="1"/>
      <c r="N168" s="1"/>
    </row>
    <row r="169" ht="15.75" customHeight="1">
      <c r="A169" s="1"/>
      <c r="B169" s="1"/>
      <c r="C169" s="1"/>
      <c r="D169" s="1"/>
      <c r="E169" s="1"/>
      <c r="F169" s="1"/>
      <c r="G169" s="1"/>
      <c r="H169" s="1"/>
      <c r="I169" s="1"/>
      <c r="J169" s="1"/>
      <c r="K169" s="1"/>
      <c r="L169" s="1"/>
      <c r="M169" s="1"/>
      <c r="N169" s="1"/>
    </row>
    <row r="170" ht="15.75" customHeight="1">
      <c r="A170" s="1"/>
      <c r="B170" s="1"/>
      <c r="C170" s="1"/>
      <c r="D170" s="1"/>
      <c r="E170" s="1"/>
      <c r="F170" s="1"/>
      <c r="G170" s="1"/>
      <c r="H170" s="1"/>
      <c r="I170" s="1"/>
      <c r="J170" s="1"/>
      <c r="K170" s="1"/>
      <c r="L170" s="1"/>
      <c r="M170" s="1"/>
      <c r="N170" s="1"/>
    </row>
    <row r="171" ht="15.75" customHeight="1">
      <c r="A171" s="1"/>
      <c r="B171" s="1"/>
      <c r="C171" s="1"/>
      <c r="D171" s="1"/>
      <c r="E171" s="1"/>
      <c r="F171" s="1"/>
      <c r="G171" s="1"/>
      <c r="H171" s="1"/>
      <c r="I171" s="1"/>
      <c r="J171" s="1"/>
      <c r="K171" s="1"/>
      <c r="L171" s="1"/>
      <c r="M171" s="1"/>
      <c r="N171" s="1"/>
    </row>
    <row r="172" ht="15.75" customHeight="1">
      <c r="A172" s="1"/>
      <c r="B172" s="1"/>
      <c r="C172" s="1"/>
      <c r="D172" s="1"/>
      <c r="E172" s="1"/>
      <c r="F172" s="1"/>
      <c r="G172" s="1"/>
      <c r="H172" s="1"/>
      <c r="I172" s="1"/>
      <c r="J172" s="1"/>
      <c r="K172" s="1"/>
      <c r="L172" s="1"/>
      <c r="M172" s="1"/>
      <c r="N172" s="1"/>
    </row>
    <row r="173" ht="15.75" customHeight="1">
      <c r="A173" s="1"/>
      <c r="B173" s="1"/>
      <c r="C173" s="1"/>
      <c r="D173" s="1"/>
      <c r="E173" s="1"/>
      <c r="F173" s="1"/>
      <c r="G173" s="1"/>
      <c r="H173" s="1"/>
      <c r="I173" s="1"/>
      <c r="J173" s="1"/>
      <c r="K173" s="1"/>
      <c r="L173" s="1"/>
      <c r="M173" s="1"/>
      <c r="N173" s="1"/>
    </row>
    <row r="174" ht="15.75" customHeight="1">
      <c r="A174" s="1"/>
      <c r="B174" s="1"/>
      <c r="C174" s="1"/>
      <c r="D174" s="1"/>
      <c r="E174" s="1"/>
      <c r="F174" s="1"/>
      <c r="G174" s="1"/>
      <c r="H174" s="1"/>
      <c r="I174" s="1"/>
      <c r="J174" s="1"/>
      <c r="K174" s="1"/>
      <c r="L174" s="1"/>
      <c r="M174" s="1"/>
      <c r="N174" s="1"/>
    </row>
    <row r="175" ht="15.75" customHeight="1">
      <c r="A175" s="1"/>
      <c r="B175" s="1"/>
      <c r="C175" s="1"/>
      <c r="D175" s="1"/>
      <c r="E175" s="1"/>
      <c r="F175" s="1"/>
      <c r="G175" s="1"/>
      <c r="H175" s="1"/>
      <c r="I175" s="1"/>
      <c r="J175" s="1"/>
      <c r="K175" s="1"/>
      <c r="L175" s="1"/>
      <c r="M175" s="1"/>
      <c r="N175" s="1"/>
    </row>
    <row r="176" ht="15.75" customHeight="1">
      <c r="A176" s="1"/>
      <c r="B176" s="1"/>
      <c r="C176" s="1"/>
      <c r="D176" s="1"/>
      <c r="E176" s="1"/>
      <c r="F176" s="1"/>
      <c r="G176" s="1"/>
      <c r="H176" s="1"/>
      <c r="I176" s="1"/>
      <c r="J176" s="1"/>
      <c r="K176" s="1"/>
      <c r="L176" s="1"/>
      <c r="M176" s="1"/>
      <c r="N176" s="1"/>
    </row>
    <row r="177" ht="15.75" customHeight="1">
      <c r="A177" s="1"/>
      <c r="B177" s="1"/>
      <c r="C177" s="1"/>
      <c r="D177" s="1"/>
      <c r="E177" s="1"/>
      <c r="F177" s="1"/>
      <c r="G177" s="1"/>
      <c r="H177" s="1"/>
      <c r="I177" s="1"/>
      <c r="J177" s="1"/>
      <c r="K177" s="1"/>
      <c r="L177" s="1"/>
      <c r="M177" s="1"/>
      <c r="N177" s="1"/>
    </row>
    <row r="178" ht="15.75" customHeight="1">
      <c r="A178" s="1"/>
      <c r="B178" s="1"/>
      <c r="C178" s="1"/>
      <c r="D178" s="1"/>
      <c r="E178" s="1"/>
      <c r="F178" s="1"/>
      <c r="G178" s="1"/>
      <c r="H178" s="1"/>
      <c r="I178" s="1"/>
      <c r="J178" s="1"/>
      <c r="K178" s="1"/>
      <c r="L178" s="1"/>
      <c r="M178" s="1"/>
      <c r="N178" s="1"/>
    </row>
    <row r="179" ht="15.75" customHeight="1">
      <c r="A179" s="1"/>
      <c r="B179" s="1"/>
      <c r="C179" s="1"/>
      <c r="D179" s="1"/>
      <c r="E179" s="1"/>
      <c r="F179" s="1"/>
      <c r="G179" s="1"/>
      <c r="H179" s="1"/>
      <c r="I179" s="1"/>
      <c r="J179" s="1"/>
      <c r="K179" s="1"/>
      <c r="L179" s="1"/>
      <c r="M179" s="1"/>
      <c r="N179" s="1"/>
    </row>
    <row r="180" ht="15.75" customHeight="1">
      <c r="A180" s="1"/>
      <c r="B180" s="1"/>
      <c r="C180" s="1"/>
      <c r="D180" s="1"/>
      <c r="E180" s="1"/>
      <c r="F180" s="1"/>
      <c r="G180" s="1"/>
      <c r="H180" s="1"/>
      <c r="I180" s="1"/>
      <c r="J180" s="1"/>
      <c r="K180" s="1"/>
      <c r="L180" s="1"/>
      <c r="M180" s="1"/>
      <c r="N180" s="1"/>
    </row>
    <row r="181" ht="15.75" customHeight="1">
      <c r="A181" s="1"/>
      <c r="B181" s="1"/>
      <c r="C181" s="1"/>
      <c r="D181" s="1"/>
      <c r="E181" s="1"/>
      <c r="F181" s="1"/>
      <c r="G181" s="1"/>
      <c r="H181" s="1"/>
      <c r="I181" s="1"/>
      <c r="J181" s="1"/>
      <c r="K181" s="1"/>
      <c r="L181" s="1"/>
      <c r="M181" s="1"/>
      <c r="N181" s="1"/>
    </row>
    <row r="182" ht="15.75" customHeight="1">
      <c r="A182" s="1"/>
      <c r="B182" s="1"/>
      <c r="C182" s="1"/>
      <c r="D182" s="1"/>
      <c r="E182" s="1"/>
      <c r="F182" s="1"/>
      <c r="G182" s="1"/>
      <c r="H182" s="1"/>
      <c r="I182" s="1"/>
      <c r="J182" s="1"/>
      <c r="K182" s="1"/>
      <c r="L182" s="1"/>
      <c r="M182" s="1"/>
      <c r="N182" s="1"/>
    </row>
    <row r="183" ht="15.75" customHeight="1">
      <c r="A183" s="1"/>
      <c r="B183" s="1"/>
      <c r="C183" s="1"/>
      <c r="D183" s="1"/>
      <c r="E183" s="1"/>
      <c r="F183" s="1"/>
      <c r="G183" s="1"/>
      <c r="H183" s="1"/>
      <c r="I183" s="1"/>
      <c r="J183" s="1"/>
      <c r="K183" s="1"/>
      <c r="L183" s="1"/>
      <c r="M183" s="1"/>
      <c r="N183" s="1"/>
    </row>
    <row r="184" ht="15.75" customHeight="1">
      <c r="A184" s="1"/>
      <c r="B184" s="1"/>
      <c r="C184" s="1"/>
      <c r="D184" s="1"/>
      <c r="E184" s="1"/>
      <c r="F184" s="1"/>
      <c r="G184" s="1"/>
      <c r="H184" s="1"/>
      <c r="I184" s="1"/>
      <c r="J184" s="1"/>
      <c r="K184" s="1"/>
      <c r="L184" s="1"/>
      <c r="M184" s="1"/>
      <c r="N184" s="1"/>
    </row>
    <row r="185" ht="15.75" customHeight="1">
      <c r="A185" s="1"/>
      <c r="B185" s="1"/>
      <c r="C185" s="1"/>
      <c r="D185" s="1"/>
      <c r="E185" s="1"/>
      <c r="F185" s="1"/>
      <c r="G185" s="1"/>
      <c r="H185" s="1"/>
      <c r="I185" s="1"/>
      <c r="J185" s="1"/>
      <c r="K185" s="1"/>
      <c r="L185" s="1"/>
      <c r="M185" s="1"/>
      <c r="N185" s="1"/>
    </row>
    <row r="186" ht="15.75" customHeight="1">
      <c r="A186" s="1"/>
      <c r="B186" s="1"/>
      <c r="C186" s="1"/>
      <c r="D186" s="1"/>
      <c r="E186" s="1"/>
      <c r="F186" s="1"/>
      <c r="G186" s="1"/>
      <c r="H186" s="1"/>
      <c r="I186" s="1"/>
      <c r="J186" s="1"/>
      <c r="K186" s="1"/>
      <c r="L186" s="1"/>
      <c r="M186" s="1"/>
      <c r="N186" s="1"/>
    </row>
    <row r="187" ht="15.75" customHeight="1">
      <c r="A187" s="1"/>
      <c r="B187" s="1"/>
      <c r="C187" s="1"/>
      <c r="D187" s="1"/>
      <c r="E187" s="1"/>
      <c r="F187" s="1"/>
      <c r="G187" s="1"/>
      <c r="H187" s="1"/>
      <c r="I187" s="1"/>
      <c r="J187" s="1"/>
      <c r="K187" s="1"/>
      <c r="L187" s="1"/>
      <c r="M187" s="1"/>
      <c r="N187" s="1"/>
    </row>
    <row r="188" ht="15.75" customHeight="1">
      <c r="A188" s="1"/>
      <c r="B188" s="1"/>
      <c r="C188" s="1"/>
      <c r="D188" s="1"/>
      <c r="E188" s="1"/>
      <c r="F188" s="1"/>
      <c r="G188" s="1"/>
      <c r="H188" s="1"/>
      <c r="I188" s="1"/>
      <c r="J188" s="1"/>
      <c r="K188" s="1"/>
      <c r="L188" s="1"/>
      <c r="M188" s="1"/>
      <c r="N188" s="1"/>
    </row>
    <row r="189" ht="15.75" customHeight="1">
      <c r="A189" s="1"/>
      <c r="B189" s="1"/>
      <c r="C189" s="1"/>
      <c r="D189" s="1"/>
      <c r="E189" s="1"/>
      <c r="F189" s="1"/>
      <c r="G189" s="1"/>
      <c r="H189" s="1"/>
      <c r="I189" s="1"/>
      <c r="J189" s="1"/>
      <c r="K189" s="1"/>
      <c r="L189" s="1"/>
      <c r="M189" s="1"/>
      <c r="N189" s="1"/>
    </row>
    <row r="190" ht="15.75" customHeight="1">
      <c r="A190" s="1"/>
      <c r="B190" s="1"/>
      <c r="C190" s="1"/>
      <c r="D190" s="1"/>
      <c r="E190" s="1"/>
      <c r="F190" s="1"/>
      <c r="G190" s="1"/>
      <c r="H190" s="1"/>
      <c r="I190" s="1"/>
      <c r="J190" s="1"/>
      <c r="K190" s="1"/>
      <c r="L190" s="1"/>
      <c r="M190" s="1"/>
      <c r="N190" s="1"/>
    </row>
    <row r="191" ht="15.75" customHeight="1">
      <c r="A191" s="1"/>
      <c r="B191" s="1"/>
      <c r="C191" s="1"/>
      <c r="D191" s="1"/>
      <c r="E191" s="1"/>
      <c r="F191" s="1"/>
      <c r="G191" s="1"/>
      <c r="H191" s="1"/>
      <c r="I191" s="1"/>
      <c r="J191" s="1"/>
      <c r="K191" s="1"/>
      <c r="L191" s="1"/>
      <c r="M191" s="1"/>
      <c r="N191" s="1"/>
    </row>
    <row r="192" ht="15.75" customHeight="1">
      <c r="A192" s="1"/>
      <c r="B192" s="1"/>
      <c r="C192" s="1"/>
      <c r="D192" s="1"/>
      <c r="E192" s="1"/>
      <c r="F192" s="1"/>
      <c r="G192" s="1"/>
      <c r="H192" s="1"/>
      <c r="I192" s="1"/>
      <c r="J192" s="1"/>
      <c r="K192" s="1"/>
      <c r="L192" s="1"/>
      <c r="M192" s="1"/>
      <c r="N192" s="1"/>
    </row>
    <row r="193" ht="15.75" customHeight="1">
      <c r="A193" s="1"/>
      <c r="B193" s="1"/>
      <c r="C193" s="1"/>
      <c r="D193" s="1"/>
      <c r="E193" s="1"/>
      <c r="F193" s="1"/>
      <c r="G193" s="1"/>
      <c r="H193" s="1"/>
      <c r="I193" s="1"/>
      <c r="J193" s="1"/>
      <c r="K193" s="1"/>
      <c r="L193" s="1"/>
      <c r="M193" s="1"/>
      <c r="N193" s="1"/>
    </row>
    <row r="194" ht="15.75" customHeight="1">
      <c r="A194" s="1"/>
      <c r="B194" s="1"/>
      <c r="C194" s="1"/>
      <c r="D194" s="1"/>
      <c r="E194" s="1"/>
      <c r="F194" s="1"/>
      <c r="G194" s="1"/>
      <c r="H194" s="1"/>
      <c r="I194" s="1"/>
      <c r="J194" s="1"/>
      <c r="K194" s="1"/>
      <c r="L194" s="1"/>
      <c r="M194" s="1"/>
      <c r="N194" s="1"/>
    </row>
    <row r="195" ht="15.75" customHeight="1">
      <c r="A195" s="1"/>
      <c r="B195" s="1"/>
      <c r="C195" s="1"/>
      <c r="D195" s="1"/>
      <c r="E195" s="1"/>
      <c r="F195" s="1"/>
      <c r="G195" s="1"/>
      <c r="H195" s="1"/>
      <c r="I195" s="1"/>
      <c r="J195" s="1"/>
      <c r="K195" s="1"/>
      <c r="L195" s="1"/>
      <c r="M195" s="1"/>
      <c r="N195" s="1"/>
    </row>
    <row r="196" ht="15.75" customHeight="1">
      <c r="A196" s="1"/>
      <c r="B196" s="1"/>
      <c r="C196" s="1"/>
      <c r="D196" s="1"/>
      <c r="E196" s="1"/>
      <c r="F196" s="1"/>
      <c r="G196" s="1"/>
      <c r="H196" s="1"/>
      <c r="I196" s="1"/>
      <c r="J196" s="1"/>
      <c r="K196" s="1"/>
      <c r="L196" s="1"/>
      <c r="M196" s="1"/>
      <c r="N196" s="1"/>
    </row>
    <row r="197" ht="15.75" customHeight="1">
      <c r="A197" s="1"/>
      <c r="B197" s="1"/>
      <c r="C197" s="1"/>
      <c r="D197" s="1"/>
      <c r="E197" s="1"/>
      <c r="F197" s="1"/>
      <c r="G197" s="1"/>
      <c r="H197" s="1"/>
      <c r="I197" s="1"/>
      <c r="J197" s="1"/>
      <c r="K197" s="1"/>
      <c r="L197" s="1"/>
      <c r="M197" s="1"/>
      <c r="N197" s="1"/>
    </row>
    <row r="198" ht="15.75" customHeight="1">
      <c r="A198" s="1"/>
      <c r="B198" s="1"/>
      <c r="C198" s="1"/>
      <c r="D198" s="1"/>
      <c r="E198" s="1"/>
      <c r="F198" s="1"/>
      <c r="G198" s="1"/>
      <c r="H198" s="1"/>
      <c r="I198" s="1"/>
      <c r="J198" s="1"/>
      <c r="K198" s="1"/>
      <c r="L198" s="1"/>
      <c r="M198" s="1"/>
      <c r="N198" s="1"/>
    </row>
    <row r="199" ht="15.75" customHeight="1">
      <c r="A199" s="1"/>
      <c r="B199" s="1"/>
      <c r="C199" s="1"/>
      <c r="D199" s="1"/>
      <c r="E199" s="1"/>
      <c r="F199" s="1"/>
      <c r="G199" s="1"/>
      <c r="H199" s="1"/>
      <c r="I199" s="1"/>
      <c r="J199" s="1"/>
      <c r="K199" s="1"/>
      <c r="L199" s="1"/>
      <c r="M199" s="1"/>
      <c r="N199" s="1"/>
    </row>
    <row r="200" ht="15.75" customHeight="1">
      <c r="A200" s="1"/>
      <c r="B200" s="1"/>
      <c r="C200" s="1"/>
      <c r="D200" s="1"/>
      <c r="E200" s="1"/>
      <c r="F200" s="1"/>
      <c r="G200" s="1"/>
      <c r="H200" s="1"/>
      <c r="I200" s="1"/>
      <c r="J200" s="1"/>
      <c r="K200" s="1"/>
      <c r="L200" s="1"/>
      <c r="M200" s="1"/>
      <c r="N200" s="1"/>
    </row>
    <row r="201" ht="15.75" customHeight="1">
      <c r="A201" s="1"/>
      <c r="B201" s="1"/>
      <c r="C201" s="1"/>
      <c r="D201" s="1"/>
      <c r="E201" s="1"/>
      <c r="F201" s="1"/>
      <c r="G201" s="1"/>
      <c r="H201" s="1"/>
      <c r="I201" s="1"/>
      <c r="J201" s="1"/>
      <c r="K201" s="1"/>
      <c r="L201" s="1"/>
      <c r="M201" s="1"/>
      <c r="N201" s="1"/>
    </row>
    <row r="202" ht="15.75" customHeight="1">
      <c r="A202" s="1"/>
      <c r="B202" s="1"/>
      <c r="C202" s="1"/>
      <c r="D202" s="1"/>
      <c r="E202" s="1"/>
      <c r="F202" s="1"/>
      <c r="G202" s="1"/>
      <c r="H202" s="1"/>
      <c r="I202" s="1"/>
      <c r="J202" s="1"/>
      <c r="K202" s="1"/>
      <c r="L202" s="1"/>
      <c r="M202" s="1"/>
      <c r="N202" s="1"/>
    </row>
    <row r="203" ht="15.75" customHeight="1">
      <c r="A203" s="1"/>
      <c r="B203" s="1"/>
      <c r="C203" s="1"/>
      <c r="D203" s="1"/>
      <c r="E203" s="1"/>
      <c r="F203" s="1"/>
      <c r="G203" s="1"/>
      <c r="H203" s="1"/>
      <c r="I203" s="1"/>
      <c r="J203" s="1"/>
      <c r="K203" s="1"/>
      <c r="L203" s="1"/>
      <c r="M203" s="1"/>
      <c r="N203" s="1"/>
    </row>
    <row r="204" ht="15.75" customHeight="1">
      <c r="A204" s="1"/>
      <c r="B204" s="1"/>
      <c r="C204" s="1"/>
      <c r="D204" s="1"/>
      <c r="E204" s="1"/>
      <c r="F204" s="1"/>
      <c r="G204" s="1"/>
      <c r="H204" s="1"/>
      <c r="I204" s="1"/>
      <c r="J204" s="1"/>
      <c r="K204" s="1"/>
      <c r="L204" s="1"/>
      <c r="M204" s="1"/>
      <c r="N204" s="1"/>
    </row>
    <row r="205" ht="15.75" customHeight="1">
      <c r="A205" s="1"/>
      <c r="B205" s="1"/>
      <c r="C205" s="1"/>
      <c r="D205" s="1"/>
      <c r="E205" s="1"/>
      <c r="F205" s="1"/>
      <c r="G205" s="1"/>
      <c r="H205" s="1"/>
      <c r="I205" s="1"/>
      <c r="J205" s="1"/>
      <c r="K205" s="1"/>
      <c r="L205" s="1"/>
      <c r="M205" s="1"/>
      <c r="N205" s="1"/>
    </row>
    <row r="206" ht="15.75" customHeight="1">
      <c r="A206" s="1"/>
      <c r="B206" s="1"/>
      <c r="C206" s="1"/>
      <c r="D206" s="1"/>
      <c r="E206" s="1"/>
      <c r="F206" s="1"/>
      <c r="G206" s="1"/>
      <c r="H206" s="1"/>
      <c r="I206" s="1"/>
      <c r="J206" s="1"/>
      <c r="K206" s="1"/>
      <c r="L206" s="1"/>
      <c r="M206" s="1"/>
      <c r="N206" s="1"/>
    </row>
    <row r="207" ht="15.75" customHeight="1">
      <c r="A207" s="1"/>
      <c r="B207" s="1"/>
      <c r="C207" s="1"/>
      <c r="D207" s="1"/>
      <c r="E207" s="1"/>
      <c r="F207" s="1"/>
      <c r="G207" s="1"/>
      <c r="H207" s="1"/>
      <c r="I207" s="1"/>
      <c r="J207" s="1"/>
      <c r="K207" s="1"/>
      <c r="L207" s="1"/>
      <c r="M207" s="1"/>
      <c r="N207" s="1"/>
    </row>
    <row r="208" ht="15.75" customHeight="1">
      <c r="A208" s="1"/>
      <c r="B208" s="1"/>
      <c r="C208" s="1"/>
      <c r="D208" s="1"/>
      <c r="E208" s="1"/>
      <c r="F208" s="1"/>
      <c r="G208" s="1"/>
      <c r="H208" s="1"/>
      <c r="I208" s="1"/>
      <c r="J208" s="1"/>
      <c r="K208" s="1"/>
      <c r="L208" s="1"/>
      <c r="M208" s="1"/>
      <c r="N208" s="1"/>
    </row>
    <row r="209" ht="15.75" customHeight="1">
      <c r="A209" s="1"/>
      <c r="B209" s="1"/>
      <c r="C209" s="1"/>
      <c r="D209" s="1"/>
      <c r="E209" s="1"/>
      <c r="F209" s="1"/>
      <c r="G209" s="1"/>
      <c r="H209" s="1"/>
      <c r="I209" s="1"/>
      <c r="J209" s="1"/>
      <c r="K209" s="1"/>
      <c r="L209" s="1"/>
      <c r="M209" s="1"/>
      <c r="N209" s="1"/>
    </row>
    <row r="210" ht="15.75" customHeight="1">
      <c r="A210" s="1"/>
      <c r="B210" s="1"/>
      <c r="C210" s="1"/>
      <c r="D210" s="1"/>
      <c r="E210" s="1"/>
      <c r="F210" s="1"/>
      <c r="G210" s="1"/>
      <c r="H210" s="1"/>
      <c r="I210" s="1"/>
      <c r="J210" s="1"/>
      <c r="K210" s="1"/>
      <c r="L210" s="1"/>
      <c r="M210" s="1"/>
      <c r="N210" s="1"/>
    </row>
    <row r="211" ht="15.75" customHeight="1">
      <c r="A211" s="1"/>
      <c r="B211" s="1"/>
      <c r="C211" s="1"/>
      <c r="D211" s="1"/>
      <c r="E211" s="1"/>
      <c r="F211" s="1"/>
      <c r="G211" s="1"/>
      <c r="H211" s="1"/>
      <c r="I211" s="1"/>
      <c r="J211" s="1"/>
      <c r="K211" s="1"/>
      <c r="L211" s="1"/>
      <c r="M211" s="1"/>
      <c r="N211" s="1"/>
    </row>
    <row r="212" ht="15.75" customHeight="1">
      <c r="A212" s="1"/>
      <c r="B212" s="1"/>
      <c r="C212" s="1"/>
      <c r="D212" s="1"/>
      <c r="E212" s="1"/>
      <c r="F212" s="1"/>
      <c r="G212" s="1"/>
      <c r="H212" s="1"/>
      <c r="I212" s="1"/>
      <c r="J212" s="1"/>
      <c r="K212" s="1"/>
      <c r="L212" s="1"/>
      <c r="M212" s="1"/>
      <c r="N212" s="1"/>
    </row>
    <row r="213" ht="15.75" customHeight="1">
      <c r="A213" s="1"/>
      <c r="B213" s="1"/>
      <c r="C213" s="1"/>
      <c r="D213" s="1"/>
      <c r="E213" s="1"/>
      <c r="F213" s="1"/>
      <c r="G213" s="1"/>
      <c r="H213" s="1"/>
      <c r="I213" s="1"/>
      <c r="J213" s="1"/>
      <c r="K213" s="1"/>
      <c r="L213" s="1"/>
      <c r="M213" s="1"/>
      <c r="N213" s="1"/>
    </row>
    <row r="214" ht="15.75" customHeight="1">
      <c r="A214" s="1"/>
      <c r="B214" s="1"/>
      <c r="C214" s="1"/>
      <c r="D214" s="1"/>
      <c r="E214" s="1"/>
      <c r="F214" s="1"/>
      <c r="G214" s="1"/>
      <c r="H214" s="1"/>
      <c r="I214" s="1"/>
      <c r="J214" s="1"/>
      <c r="K214" s="1"/>
      <c r="L214" s="1"/>
      <c r="M214" s="1"/>
      <c r="N214" s="1"/>
    </row>
    <row r="215" ht="15.75" customHeight="1">
      <c r="A215" s="1"/>
      <c r="B215" s="1"/>
      <c r="C215" s="1"/>
      <c r="D215" s="1"/>
      <c r="E215" s="1"/>
      <c r="F215" s="1"/>
      <c r="G215" s="1"/>
      <c r="H215" s="1"/>
      <c r="I215" s="1"/>
      <c r="J215" s="1"/>
      <c r="K215" s="1"/>
      <c r="L215" s="1"/>
      <c r="M215" s="1"/>
      <c r="N215" s="1"/>
    </row>
    <row r="216" ht="15.75" customHeight="1">
      <c r="A216" s="1"/>
      <c r="B216" s="1"/>
      <c r="C216" s="1"/>
      <c r="D216" s="1"/>
      <c r="E216" s="1"/>
      <c r="F216" s="1"/>
      <c r="G216" s="1"/>
      <c r="H216" s="1"/>
      <c r="I216" s="1"/>
      <c r="J216" s="1"/>
      <c r="K216" s="1"/>
      <c r="L216" s="1"/>
      <c r="M216" s="1"/>
      <c r="N216" s="1"/>
    </row>
    <row r="217" ht="15.75" customHeight="1">
      <c r="A217" s="1"/>
      <c r="B217" s="1"/>
      <c r="C217" s="1"/>
      <c r="D217" s="1"/>
      <c r="E217" s="1"/>
      <c r="F217" s="1"/>
      <c r="G217" s="1"/>
      <c r="H217" s="1"/>
      <c r="I217" s="1"/>
      <c r="J217" s="1"/>
      <c r="K217" s="1"/>
      <c r="L217" s="1"/>
      <c r="M217" s="1"/>
      <c r="N217" s="1"/>
    </row>
    <row r="218" ht="15.75" customHeight="1">
      <c r="A218" s="1"/>
      <c r="B218" s="1"/>
      <c r="C218" s="1"/>
      <c r="D218" s="1"/>
      <c r="E218" s="1"/>
      <c r="F218" s="1"/>
      <c r="G218" s="1"/>
      <c r="H218" s="1"/>
      <c r="I218" s="1"/>
      <c r="J218" s="1"/>
      <c r="K218" s="1"/>
      <c r="L218" s="1"/>
      <c r="M218" s="1"/>
      <c r="N218" s="1"/>
    </row>
    <row r="219" ht="15.75" customHeight="1">
      <c r="A219" s="1"/>
      <c r="B219" s="1"/>
      <c r="C219" s="1"/>
      <c r="D219" s="1"/>
      <c r="E219" s="1"/>
      <c r="F219" s="1"/>
      <c r="G219" s="1"/>
      <c r="H219" s="1"/>
      <c r="I219" s="1"/>
      <c r="J219" s="1"/>
      <c r="K219" s="1"/>
      <c r="L219" s="1"/>
      <c r="M219" s="1"/>
      <c r="N219" s="1"/>
    </row>
    <row r="220" ht="15.75" customHeight="1">
      <c r="A220" s="1"/>
      <c r="B220" s="1"/>
      <c r="C220" s="1"/>
      <c r="D220" s="1"/>
      <c r="E220" s="1"/>
      <c r="F220" s="1"/>
      <c r="G220" s="1"/>
      <c r="H220" s="1"/>
      <c r="I220" s="1"/>
      <c r="J220" s="1"/>
      <c r="K220" s="1"/>
      <c r="L220" s="1"/>
      <c r="M220" s="1"/>
      <c r="N220" s="1"/>
    </row>
    <row r="221" ht="15.75" customHeight="1">
      <c r="A221" s="1"/>
      <c r="B221" s="1"/>
      <c r="C221" s="1"/>
      <c r="D221" s="1"/>
      <c r="E221" s="1"/>
      <c r="F221" s="1"/>
      <c r="G221" s="1"/>
      <c r="H221" s="1"/>
      <c r="I221" s="1"/>
      <c r="J221" s="1"/>
      <c r="K221" s="1"/>
      <c r="L221" s="1"/>
      <c r="M221" s="1"/>
      <c r="N221" s="1"/>
    </row>
    <row r="222" ht="15.75" customHeight="1">
      <c r="A222" s="1"/>
      <c r="B222" s="1"/>
      <c r="C222" s="1"/>
      <c r="D222" s="1"/>
      <c r="E222" s="1"/>
      <c r="F222" s="1"/>
      <c r="G222" s="1"/>
      <c r="H222" s="1"/>
      <c r="I222" s="1"/>
      <c r="J222" s="1"/>
      <c r="K222" s="1"/>
      <c r="L222" s="1"/>
      <c r="M222" s="1"/>
      <c r="N222" s="1"/>
    </row>
    <row r="223" ht="15.75" customHeight="1">
      <c r="A223" s="1"/>
      <c r="B223" s="1"/>
      <c r="C223" s="1"/>
      <c r="D223" s="1"/>
      <c r="E223" s="1"/>
      <c r="F223" s="1"/>
      <c r="G223" s="1"/>
      <c r="H223" s="1"/>
      <c r="I223" s="1"/>
      <c r="J223" s="1"/>
      <c r="K223" s="1"/>
      <c r="L223" s="1"/>
      <c r="M223" s="1"/>
      <c r="N223" s="1"/>
    </row>
    <row r="224" ht="15.75" customHeight="1">
      <c r="A224" s="1"/>
      <c r="B224" s="1"/>
      <c r="C224" s="1"/>
      <c r="D224" s="1"/>
      <c r="E224" s="1"/>
      <c r="F224" s="1"/>
      <c r="G224" s="1"/>
      <c r="H224" s="1"/>
      <c r="I224" s="1"/>
      <c r="J224" s="1"/>
      <c r="K224" s="1"/>
      <c r="L224" s="1"/>
      <c r="M224" s="1"/>
      <c r="N224" s="1"/>
    </row>
    <row r="225" ht="15.75" customHeight="1">
      <c r="A225" s="1"/>
      <c r="B225" s="1"/>
      <c r="C225" s="1"/>
      <c r="D225" s="1"/>
      <c r="E225" s="1"/>
      <c r="F225" s="1"/>
      <c r="G225" s="1"/>
      <c r="H225" s="1"/>
      <c r="I225" s="1"/>
      <c r="J225" s="1"/>
      <c r="K225" s="1"/>
      <c r="L225" s="1"/>
      <c r="M225" s="1"/>
      <c r="N225" s="1"/>
    </row>
    <row r="226" ht="15.75" customHeight="1">
      <c r="A226" s="1"/>
      <c r="B226" s="1"/>
      <c r="C226" s="1"/>
      <c r="D226" s="1"/>
      <c r="E226" s="1"/>
      <c r="F226" s="1"/>
      <c r="G226" s="1"/>
      <c r="H226" s="1"/>
      <c r="I226" s="1"/>
      <c r="J226" s="1"/>
      <c r="K226" s="1"/>
      <c r="L226" s="1"/>
      <c r="M226" s="1"/>
      <c r="N226" s="1"/>
    </row>
    <row r="227" ht="15.75" customHeight="1">
      <c r="A227" s="1"/>
      <c r="B227" s="1"/>
      <c r="C227" s="1"/>
      <c r="D227" s="1"/>
      <c r="E227" s="1"/>
      <c r="F227" s="1"/>
      <c r="G227" s="1"/>
      <c r="H227" s="1"/>
      <c r="I227" s="1"/>
      <c r="J227" s="1"/>
      <c r="K227" s="1"/>
      <c r="L227" s="1"/>
      <c r="M227" s="1"/>
      <c r="N227" s="1"/>
    </row>
    <row r="228" ht="15.75" customHeight="1">
      <c r="A228" s="1"/>
      <c r="B228" s="1"/>
      <c r="C228" s="1"/>
      <c r="D228" s="1"/>
      <c r="E228" s="1"/>
      <c r="F228" s="1"/>
      <c r="G228" s="1"/>
      <c r="H228" s="1"/>
      <c r="I228" s="1"/>
      <c r="J228" s="1"/>
      <c r="K228" s="1"/>
      <c r="L228" s="1"/>
      <c r="M228" s="1"/>
      <c r="N228" s="1"/>
    </row>
    <row r="229" ht="15.75" customHeight="1">
      <c r="A229" s="1"/>
      <c r="B229" s="1"/>
      <c r="C229" s="1"/>
      <c r="D229" s="1"/>
      <c r="E229" s="1"/>
      <c r="F229" s="1"/>
      <c r="G229" s="1"/>
      <c r="H229" s="1"/>
      <c r="I229" s="1"/>
      <c r="J229" s="1"/>
      <c r="K229" s="1"/>
      <c r="L229" s="1"/>
      <c r="M229" s="1"/>
      <c r="N229" s="1"/>
    </row>
    <row r="230" ht="15.75" customHeight="1">
      <c r="A230" s="1"/>
      <c r="B230" s="1"/>
      <c r="C230" s="1"/>
      <c r="D230" s="1"/>
      <c r="E230" s="1"/>
      <c r="F230" s="1"/>
      <c r="G230" s="1"/>
      <c r="H230" s="1"/>
      <c r="I230" s="1"/>
      <c r="J230" s="1"/>
      <c r="K230" s="1"/>
      <c r="L230" s="1"/>
      <c r="M230" s="1"/>
      <c r="N230" s="1"/>
    </row>
    <row r="231" ht="15.75" customHeight="1">
      <c r="A231" s="1"/>
      <c r="B231" s="1"/>
      <c r="C231" s="1"/>
      <c r="D231" s="1"/>
      <c r="E231" s="1"/>
      <c r="F231" s="1"/>
      <c r="G231" s="1"/>
      <c r="H231" s="1"/>
      <c r="I231" s="1"/>
      <c r="J231" s="1"/>
      <c r="K231" s="1"/>
      <c r="L231" s="1"/>
      <c r="M231" s="1"/>
      <c r="N231" s="1"/>
    </row>
    <row r="232" ht="15.75" customHeight="1">
      <c r="A232" s="1"/>
      <c r="B232" s="1"/>
      <c r="C232" s="1"/>
      <c r="D232" s="1"/>
      <c r="E232" s="1"/>
      <c r="F232" s="1"/>
      <c r="G232" s="1"/>
      <c r="H232" s="1"/>
      <c r="I232" s="1"/>
      <c r="J232" s="1"/>
      <c r="K232" s="1"/>
      <c r="L232" s="1"/>
      <c r="M232" s="1"/>
      <c r="N232" s="1"/>
    </row>
    <row r="233" ht="15.75" customHeight="1">
      <c r="A233" s="1"/>
      <c r="B233" s="1"/>
      <c r="C233" s="1"/>
      <c r="D233" s="1"/>
      <c r="E233" s="1"/>
      <c r="F233" s="1"/>
      <c r="G233" s="1"/>
      <c r="H233" s="1"/>
      <c r="I233" s="1"/>
      <c r="J233" s="1"/>
      <c r="K233" s="1"/>
      <c r="L233" s="1"/>
      <c r="M233" s="1"/>
      <c r="N233" s="1"/>
    </row>
    <row r="234" ht="15.75" customHeight="1">
      <c r="A234" s="1"/>
      <c r="B234" s="1"/>
      <c r="C234" s="1"/>
      <c r="D234" s="1"/>
      <c r="E234" s="1"/>
      <c r="F234" s="1"/>
      <c r="G234" s="1"/>
      <c r="H234" s="1"/>
      <c r="I234" s="1"/>
      <c r="J234" s="1"/>
      <c r="K234" s="1"/>
      <c r="L234" s="1"/>
      <c r="M234" s="1"/>
      <c r="N234" s="1"/>
    </row>
    <row r="235" ht="15.75" customHeight="1">
      <c r="A235" s="1"/>
      <c r="B235" s="1"/>
      <c r="C235" s="1"/>
      <c r="D235" s="1"/>
      <c r="E235" s="1"/>
      <c r="F235" s="1"/>
      <c r="G235" s="1"/>
      <c r="H235" s="1"/>
      <c r="I235" s="1"/>
      <c r="J235" s="1"/>
      <c r="K235" s="1"/>
      <c r="L235" s="1"/>
      <c r="M235" s="1"/>
      <c r="N235" s="1"/>
    </row>
    <row r="236" ht="15.75" customHeight="1">
      <c r="A236" s="1"/>
      <c r="B236" s="1"/>
      <c r="C236" s="1"/>
      <c r="D236" s="1"/>
      <c r="E236" s="1"/>
      <c r="F236" s="1"/>
      <c r="G236" s="1"/>
      <c r="H236" s="1"/>
      <c r="I236" s="1"/>
      <c r="J236" s="1"/>
      <c r="K236" s="1"/>
      <c r="L236" s="1"/>
      <c r="M236" s="1"/>
      <c r="N236" s="1"/>
    </row>
    <row r="237" ht="15.75" customHeight="1">
      <c r="A237" s="1"/>
      <c r="B237" s="1"/>
      <c r="C237" s="1"/>
      <c r="D237" s="1"/>
      <c r="E237" s="1"/>
      <c r="F237" s="1"/>
      <c r="G237" s="1"/>
      <c r="H237" s="1"/>
      <c r="I237" s="1"/>
      <c r="J237" s="1"/>
      <c r="K237" s="1"/>
      <c r="L237" s="1"/>
      <c r="M237" s="1"/>
      <c r="N237" s="1"/>
    </row>
    <row r="238" ht="15.75" customHeight="1">
      <c r="A238" s="1"/>
      <c r="B238" s="1"/>
      <c r="C238" s="1"/>
      <c r="D238" s="1"/>
      <c r="E238" s="1"/>
      <c r="F238" s="1"/>
      <c r="G238" s="1"/>
      <c r="H238" s="1"/>
      <c r="I238" s="1"/>
      <c r="J238" s="1"/>
      <c r="K238" s="1"/>
      <c r="L238" s="1"/>
      <c r="M238" s="1"/>
      <c r="N238" s="1"/>
    </row>
    <row r="239" ht="15.75" customHeight="1">
      <c r="A239" s="1"/>
      <c r="B239" s="1"/>
      <c r="C239" s="1"/>
      <c r="D239" s="1"/>
      <c r="E239" s="1"/>
      <c r="F239" s="1"/>
      <c r="G239" s="1"/>
      <c r="H239" s="1"/>
      <c r="I239" s="1"/>
      <c r="J239" s="1"/>
      <c r="K239" s="1"/>
      <c r="L239" s="1"/>
      <c r="M239" s="1"/>
      <c r="N239" s="1"/>
    </row>
    <row r="240" ht="15.75" customHeight="1">
      <c r="A240" s="1"/>
      <c r="B240" s="1"/>
      <c r="C240" s="1"/>
      <c r="D240" s="1"/>
      <c r="E240" s="1"/>
      <c r="F240" s="1"/>
      <c r="G240" s="1"/>
      <c r="H240" s="1"/>
      <c r="I240" s="1"/>
      <c r="J240" s="1"/>
      <c r="K240" s="1"/>
      <c r="L240" s="1"/>
      <c r="M240" s="1"/>
      <c r="N240" s="1"/>
    </row>
    <row r="241" ht="15.75" customHeight="1">
      <c r="A241" s="1"/>
      <c r="B241" s="1"/>
      <c r="C241" s="1"/>
      <c r="D241" s="1"/>
      <c r="E241" s="1"/>
      <c r="F241" s="1"/>
      <c r="G241" s="1"/>
      <c r="H241" s="1"/>
      <c r="I241" s="1"/>
      <c r="J241" s="1"/>
      <c r="K241" s="1"/>
      <c r="L241" s="1"/>
      <c r="M241" s="1"/>
      <c r="N241" s="1"/>
    </row>
    <row r="242" ht="15.75" customHeight="1">
      <c r="A242" s="1"/>
      <c r="B242" s="1"/>
      <c r="C242" s="1"/>
      <c r="D242" s="1"/>
      <c r="E242" s="1"/>
      <c r="F242" s="1"/>
      <c r="G242" s="1"/>
      <c r="H242" s="1"/>
      <c r="I242" s="1"/>
      <c r="J242" s="1"/>
      <c r="K242" s="1"/>
      <c r="L242" s="1"/>
      <c r="M242" s="1"/>
      <c r="N242" s="1"/>
    </row>
    <row r="243" ht="15.75" customHeight="1">
      <c r="A243" s="1"/>
      <c r="B243" s="1"/>
      <c r="C243" s="1"/>
      <c r="D243" s="1"/>
      <c r="E243" s="1"/>
      <c r="F243" s="1"/>
      <c r="G243" s="1"/>
      <c r="H243" s="1"/>
      <c r="I243" s="1"/>
      <c r="J243" s="1"/>
      <c r="K243" s="1"/>
      <c r="L243" s="1"/>
      <c r="M243" s="1"/>
      <c r="N243" s="1"/>
    </row>
    <row r="244" ht="15.75" customHeight="1">
      <c r="A244" s="1"/>
      <c r="B244" s="1"/>
      <c r="C244" s="1"/>
      <c r="D244" s="1"/>
      <c r="E244" s="1"/>
      <c r="F244" s="1"/>
      <c r="G244" s="1"/>
      <c r="H244" s="1"/>
      <c r="I244" s="1"/>
      <c r="J244" s="1"/>
      <c r="K244" s="1"/>
      <c r="L244" s="1"/>
      <c r="M244" s="1"/>
      <c r="N244" s="1"/>
    </row>
    <row r="245" ht="15.75" customHeight="1">
      <c r="A245" s="1"/>
      <c r="B245" s="1"/>
      <c r="C245" s="1"/>
      <c r="D245" s="1"/>
      <c r="E245" s="1"/>
      <c r="F245" s="1"/>
      <c r="G245" s="1"/>
      <c r="H245" s="1"/>
      <c r="I245" s="1"/>
      <c r="J245" s="1"/>
      <c r="K245" s="1"/>
      <c r="L245" s="1"/>
      <c r="M245" s="1"/>
      <c r="N245" s="1"/>
    </row>
    <row r="246" ht="15.75" customHeight="1">
      <c r="A246" s="1"/>
      <c r="B246" s="1"/>
      <c r="C246" s="1"/>
      <c r="D246" s="1"/>
      <c r="E246" s="1"/>
      <c r="F246" s="1"/>
      <c r="G246" s="1"/>
      <c r="H246" s="1"/>
      <c r="I246" s="1"/>
      <c r="J246" s="1"/>
      <c r="K246" s="1"/>
      <c r="L246" s="1"/>
      <c r="M246" s="1"/>
      <c r="N246" s="1"/>
    </row>
    <row r="247" ht="15.75" customHeight="1">
      <c r="A247" s="1"/>
      <c r="B247" s="1"/>
      <c r="C247" s="1"/>
      <c r="D247" s="1"/>
      <c r="E247" s="1"/>
      <c r="F247" s="1"/>
      <c r="G247" s="1"/>
      <c r="H247" s="1"/>
      <c r="I247" s="1"/>
      <c r="J247" s="1"/>
      <c r="K247" s="1"/>
      <c r="L247" s="1"/>
      <c r="M247" s="1"/>
      <c r="N247" s="1"/>
    </row>
    <row r="248" ht="15.75" customHeight="1">
      <c r="A248" s="1"/>
      <c r="B248" s="1"/>
      <c r="C248" s="1"/>
      <c r="D248" s="1"/>
      <c r="E248" s="1"/>
      <c r="F248" s="1"/>
      <c r="G248" s="1"/>
      <c r="H248" s="1"/>
      <c r="I248" s="1"/>
      <c r="J248" s="1"/>
      <c r="K248" s="1"/>
      <c r="L248" s="1"/>
      <c r="M248" s="1"/>
      <c r="N248" s="1"/>
    </row>
    <row r="249" ht="15.75" customHeight="1">
      <c r="A249" s="1"/>
      <c r="B249" s="1"/>
      <c r="C249" s="1"/>
      <c r="D249" s="1"/>
      <c r="E249" s="1"/>
      <c r="F249" s="1"/>
      <c r="G249" s="1"/>
      <c r="H249" s="1"/>
      <c r="I249" s="1"/>
      <c r="J249" s="1"/>
      <c r="K249" s="1"/>
      <c r="L249" s="1"/>
      <c r="M249" s="1"/>
      <c r="N249" s="1"/>
    </row>
    <row r="250" ht="15.75" customHeight="1">
      <c r="A250" s="1"/>
      <c r="B250" s="1"/>
      <c r="C250" s="1"/>
      <c r="D250" s="1"/>
      <c r="E250" s="1"/>
      <c r="F250" s="1"/>
      <c r="G250" s="1"/>
      <c r="H250" s="1"/>
      <c r="I250" s="1"/>
      <c r="J250" s="1"/>
      <c r="K250" s="1"/>
      <c r="L250" s="1"/>
      <c r="M250" s="1"/>
      <c r="N250" s="1"/>
    </row>
    <row r="251" ht="15.75" customHeight="1">
      <c r="A251" s="1"/>
      <c r="B251" s="1"/>
      <c r="C251" s="1"/>
      <c r="D251" s="1"/>
      <c r="E251" s="1"/>
      <c r="F251" s="1"/>
      <c r="G251" s="1"/>
      <c r="H251" s="1"/>
      <c r="I251" s="1"/>
      <c r="J251" s="1"/>
      <c r="K251" s="1"/>
      <c r="L251" s="1"/>
      <c r="M251" s="1"/>
      <c r="N251" s="1"/>
    </row>
    <row r="252" ht="15.75" customHeight="1">
      <c r="A252" s="1"/>
      <c r="B252" s="1"/>
      <c r="C252" s="1"/>
      <c r="D252" s="1"/>
      <c r="E252" s="1"/>
      <c r="F252" s="1"/>
      <c r="G252" s="1"/>
      <c r="H252" s="1"/>
      <c r="I252" s="1"/>
      <c r="J252" s="1"/>
      <c r="K252" s="1"/>
      <c r="L252" s="1"/>
      <c r="M252" s="1"/>
      <c r="N252" s="1"/>
    </row>
    <row r="253" ht="15.75" customHeight="1">
      <c r="A253" s="1"/>
      <c r="B253" s="1"/>
      <c r="C253" s="1"/>
      <c r="D253" s="1"/>
      <c r="E253" s="1"/>
      <c r="F253" s="1"/>
      <c r="G253" s="1"/>
      <c r="H253" s="1"/>
      <c r="I253" s="1"/>
      <c r="J253" s="1"/>
      <c r="K253" s="1"/>
      <c r="L253" s="1"/>
      <c r="M253" s="1"/>
      <c r="N253" s="1"/>
    </row>
    <row r="254" ht="15.75" customHeight="1">
      <c r="A254" s="1"/>
      <c r="B254" s="1"/>
      <c r="C254" s="1"/>
      <c r="D254" s="1"/>
      <c r="E254" s="1"/>
      <c r="F254" s="1"/>
      <c r="G254" s="1"/>
      <c r="H254" s="1"/>
      <c r="I254" s="1"/>
      <c r="J254" s="1"/>
      <c r="K254" s="1"/>
      <c r="L254" s="1"/>
      <c r="M254" s="1"/>
      <c r="N254" s="1"/>
    </row>
    <row r="255" ht="15.75" customHeight="1">
      <c r="A255" s="1"/>
      <c r="B255" s="1"/>
      <c r="C255" s="1"/>
      <c r="D255" s="1"/>
      <c r="E255" s="1"/>
      <c r="F255" s="1"/>
      <c r="G255" s="1"/>
      <c r="H255" s="1"/>
      <c r="I255" s="1"/>
      <c r="J255" s="1"/>
      <c r="K255" s="1"/>
      <c r="L255" s="1"/>
      <c r="M255" s="1"/>
      <c r="N255" s="1"/>
    </row>
    <row r="256" ht="15.75" customHeight="1">
      <c r="A256" s="1"/>
      <c r="B256" s="1"/>
      <c r="C256" s="1"/>
      <c r="D256" s="1"/>
      <c r="E256" s="1"/>
      <c r="F256" s="1"/>
      <c r="G256" s="1"/>
      <c r="H256" s="1"/>
      <c r="I256" s="1"/>
      <c r="J256" s="1"/>
      <c r="K256" s="1"/>
      <c r="L256" s="1"/>
      <c r="M256" s="1"/>
      <c r="N256" s="1"/>
    </row>
    <row r="257" ht="15.75" customHeight="1">
      <c r="A257" s="1"/>
      <c r="B257" s="1"/>
      <c r="C257" s="1"/>
      <c r="D257" s="1"/>
      <c r="E257" s="1"/>
      <c r="F257" s="1"/>
      <c r="G257" s="1"/>
      <c r="H257" s="1"/>
      <c r="I257" s="1"/>
      <c r="J257" s="1"/>
      <c r="K257" s="1"/>
      <c r="L257" s="1"/>
      <c r="M257" s="1"/>
      <c r="N257" s="1"/>
    </row>
    <row r="258" ht="15.75" customHeight="1">
      <c r="A258" s="1"/>
      <c r="B258" s="1"/>
      <c r="C258" s="1"/>
      <c r="D258" s="1"/>
      <c r="E258" s="1"/>
      <c r="F258" s="1"/>
      <c r="G258" s="1"/>
      <c r="H258" s="1"/>
      <c r="I258" s="1"/>
      <c r="J258" s="1"/>
      <c r="K258" s="1"/>
      <c r="L258" s="1"/>
      <c r="M258" s="1"/>
      <c r="N258" s="1"/>
    </row>
    <row r="259" ht="15.75" customHeight="1">
      <c r="A259" s="1"/>
      <c r="B259" s="1"/>
      <c r="C259" s="1"/>
      <c r="D259" s="1"/>
      <c r="E259" s="1"/>
      <c r="F259" s="1"/>
      <c r="G259" s="1"/>
      <c r="H259" s="1"/>
      <c r="I259" s="1"/>
      <c r="J259" s="1"/>
      <c r="K259" s="1"/>
      <c r="L259" s="1"/>
      <c r="M259" s="1"/>
      <c r="N259" s="1"/>
    </row>
    <row r="260" ht="15.75" customHeight="1">
      <c r="A260" s="1"/>
      <c r="B260" s="1"/>
      <c r="C260" s="1"/>
      <c r="D260" s="1"/>
      <c r="E260" s="1"/>
      <c r="F260" s="1"/>
      <c r="G260" s="1"/>
      <c r="H260" s="1"/>
      <c r="I260" s="1"/>
      <c r="J260" s="1"/>
      <c r="K260" s="1"/>
      <c r="L260" s="1"/>
      <c r="M260" s="1"/>
      <c r="N260" s="1"/>
    </row>
    <row r="261" ht="15.75" customHeight="1">
      <c r="A261" s="1"/>
      <c r="B261" s="1"/>
      <c r="C261" s="1"/>
      <c r="D261" s="1"/>
      <c r="E261" s="1"/>
      <c r="F261" s="1"/>
      <c r="G261" s="1"/>
      <c r="H261" s="1"/>
      <c r="I261" s="1"/>
      <c r="J261" s="1"/>
      <c r="K261" s="1"/>
      <c r="L261" s="1"/>
      <c r="M261" s="1"/>
      <c r="N261" s="1"/>
    </row>
    <row r="262" ht="15.75" customHeight="1">
      <c r="A262" s="1"/>
      <c r="B262" s="1"/>
      <c r="C262" s="1"/>
      <c r="D262" s="1"/>
      <c r="E262" s="1"/>
      <c r="F262" s="1"/>
      <c r="G262" s="1"/>
      <c r="H262" s="1"/>
      <c r="I262" s="1"/>
      <c r="J262" s="1"/>
      <c r="K262" s="1"/>
      <c r="L262" s="1"/>
      <c r="M262" s="1"/>
      <c r="N262" s="1"/>
    </row>
    <row r="263" ht="15.75" customHeight="1">
      <c r="A263" s="1"/>
      <c r="B263" s="1"/>
      <c r="C263" s="1"/>
      <c r="D263" s="1"/>
      <c r="E263" s="1"/>
      <c r="F263" s="1"/>
      <c r="G263" s="1"/>
      <c r="H263" s="1"/>
      <c r="I263" s="1"/>
      <c r="J263" s="1"/>
      <c r="K263" s="1"/>
      <c r="L263" s="1"/>
      <c r="M263" s="1"/>
      <c r="N263" s="1"/>
    </row>
    <row r="264" ht="15.75" customHeight="1">
      <c r="A264" s="1"/>
      <c r="B264" s="1"/>
      <c r="C264" s="1"/>
      <c r="D264" s="1"/>
      <c r="E264" s="1"/>
      <c r="F264" s="1"/>
      <c r="G264" s="1"/>
      <c r="H264" s="1"/>
      <c r="I264" s="1"/>
      <c r="J264" s="1"/>
      <c r="K264" s="1"/>
      <c r="L264" s="1"/>
      <c r="M264" s="1"/>
      <c r="N264" s="1"/>
    </row>
    <row r="265" ht="15.75" customHeight="1">
      <c r="A265" s="1"/>
      <c r="B265" s="1"/>
      <c r="C265" s="1"/>
      <c r="D265" s="1"/>
      <c r="E265" s="1"/>
      <c r="F265" s="1"/>
      <c r="G265" s="1"/>
      <c r="H265" s="1"/>
      <c r="I265" s="1"/>
      <c r="J265" s="1"/>
      <c r="K265" s="1"/>
      <c r="L265" s="1"/>
      <c r="M265" s="1"/>
      <c r="N265" s="1"/>
    </row>
    <row r="266" ht="15.75" customHeight="1">
      <c r="A266" s="1"/>
      <c r="B266" s="1"/>
      <c r="C266" s="1"/>
      <c r="D266" s="1"/>
      <c r="E266" s="1"/>
      <c r="F266" s="1"/>
      <c r="G266" s="1"/>
      <c r="H266" s="1"/>
      <c r="I266" s="1"/>
      <c r="J266" s="1"/>
      <c r="K266" s="1"/>
      <c r="L266" s="1"/>
      <c r="M266" s="1"/>
      <c r="N266" s="1"/>
    </row>
    <row r="267" ht="15.75" customHeight="1">
      <c r="A267" s="1"/>
      <c r="B267" s="1"/>
      <c r="C267" s="1"/>
      <c r="D267" s="1"/>
      <c r="E267" s="1"/>
      <c r="F267" s="1"/>
      <c r="G267" s="1"/>
      <c r="H267" s="1"/>
      <c r="I267" s="1"/>
      <c r="J267" s="1"/>
      <c r="K267" s="1"/>
      <c r="L267" s="1"/>
      <c r="M267" s="1"/>
      <c r="N267" s="1"/>
    </row>
    <row r="268" ht="15.75" customHeight="1">
      <c r="A268" s="1"/>
      <c r="B268" s="1"/>
      <c r="C268" s="1"/>
      <c r="D268" s="1"/>
      <c r="E268" s="1"/>
      <c r="F268" s="1"/>
      <c r="G268" s="1"/>
      <c r="H268" s="1"/>
      <c r="I268" s="1"/>
      <c r="J268" s="1"/>
      <c r="K268" s="1"/>
      <c r="L268" s="1"/>
      <c r="M268" s="1"/>
      <c r="N268" s="1"/>
    </row>
    <row r="269" ht="15.75" customHeight="1">
      <c r="A269" s="1"/>
      <c r="B269" s="1"/>
      <c r="C269" s="1"/>
      <c r="D269" s="1"/>
      <c r="E269" s="1"/>
      <c r="F269" s="1"/>
      <c r="G269" s="1"/>
      <c r="H269" s="1"/>
      <c r="I269" s="1"/>
      <c r="J269" s="1"/>
      <c r="K269" s="1"/>
      <c r="L269" s="1"/>
      <c r="M269" s="1"/>
      <c r="N269" s="1"/>
    </row>
    <row r="270" ht="15.75" customHeight="1">
      <c r="A270" s="1"/>
      <c r="B270" s="1"/>
      <c r="C270" s="1"/>
      <c r="D270" s="1"/>
      <c r="E270" s="1"/>
      <c r="F270" s="1"/>
      <c r="G270" s="1"/>
      <c r="H270" s="1"/>
      <c r="I270" s="1"/>
      <c r="J270" s="1"/>
      <c r="K270" s="1"/>
      <c r="L270" s="1"/>
      <c r="M270" s="1"/>
      <c r="N270" s="1"/>
    </row>
    <row r="271" ht="15.75" customHeight="1">
      <c r="A271" s="1"/>
      <c r="B271" s="1"/>
      <c r="C271" s="1"/>
      <c r="D271" s="1"/>
      <c r="E271" s="1"/>
      <c r="F271" s="1"/>
      <c r="G271" s="1"/>
      <c r="H271" s="1"/>
      <c r="I271" s="1"/>
      <c r="J271" s="1"/>
      <c r="K271" s="1"/>
      <c r="L271" s="1"/>
      <c r="M271" s="1"/>
      <c r="N271" s="1"/>
    </row>
    <row r="272" ht="15.75" customHeight="1">
      <c r="A272" s="1"/>
      <c r="B272" s="1"/>
      <c r="C272" s="1"/>
      <c r="D272" s="1"/>
      <c r="E272" s="1"/>
      <c r="F272" s="1"/>
      <c r="G272" s="1"/>
      <c r="H272" s="1"/>
      <c r="I272" s="1"/>
      <c r="J272" s="1"/>
      <c r="K272" s="1"/>
      <c r="L272" s="1"/>
      <c r="M272" s="1"/>
      <c r="N272" s="1"/>
    </row>
    <row r="273" ht="15.75" customHeight="1">
      <c r="A273" s="1"/>
      <c r="B273" s="1"/>
      <c r="C273" s="1"/>
      <c r="D273" s="1"/>
      <c r="E273" s="1"/>
      <c r="F273" s="1"/>
      <c r="G273" s="1"/>
      <c r="H273" s="1"/>
      <c r="I273" s="1"/>
      <c r="J273" s="1"/>
      <c r="K273" s="1"/>
      <c r="L273" s="1"/>
      <c r="M273" s="1"/>
      <c r="N273" s="1"/>
    </row>
    <row r="274" ht="15.75" customHeight="1">
      <c r="A274" s="1"/>
      <c r="B274" s="1"/>
      <c r="C274" s="1"/>
      <c r="D274" s="1"/>
      <c r="E274" s="1"/>
      <c r="F274" s="1"/>
      <c r="G274" s="1"/>
      <c r="H274" s="1"/>
      <c r="I274" s="1"/>
      <c r="J274" s="1"/>
      <c r="K274" s="1"/>
      <c r="L274" s="1"/>
      <c r="M274" s="1"/>
      <c r="N274" s="1"/>
    </row>
    <row r="275" ht="15.75" customHeight="1">
      <c r="A275" s="1"/>
      <c r="B275" s="1"/>
      <c r="C275" s="1"/>
      <c r="D275" s="1"/>
      <c r="E275" s="1"/>
      <c r="F275" s="1"/>
      <c r="G275" s="1"/>
      <c r="H275" s="1"/>
      <c r="I275" s="1"/>
      <c r="J275" s="1"/>
      <c r="K275" s="1"/>
      <c r="L275" s="1"/>
      <c r="M275" s="1"/>
      <c r="N275" s="1"/>
    </row>
    <row r="276" ht="15.75" customHeight="1">
      <c r="A276" s="1"/>
      <c r="B276" s="1"/>
      <c r="C276" s="1"/>
      <c r="D276" s="1"/>
      <c r="E276" s="1"/>
      <c r="F276" s="1"/>
      <c r="G276" s="1"/>
      <c r="H276" s="1"/>
      <c r="I276" s="1"/>
      <c r="J276" s="1"/>
      <c r="K276" s="1"/>
      <c r="L276" s="1"/>
      <c r="M276" s="1"/>
      <c r="N276" s="1"/>
    </row>
    <row r="277" ht="15.75" customHeight="1">
      <c r="A277" s="1"/>
      <c r="B277" s="1"/>
      <c r="C277" s="1"/>
      <c r="D277" s="1"/>
      <c r="E277" s="1"/>
      <c r="F277" s="1"/>
      <c r="G277" s="1"/>
      <c r="H277" s="1"/>
      <c r="I277" s="1"/>
      <c r="J277" s="1"/>
      <c r="K277" s="1"/>
      <c r="L277" s="1"/>
      <c r="M277" s="1"/>
      <c r="N277" s="1"/>
    </row>
    <row r="278" ht="15.75" customHeight="1">
      <c r="A278" s="1"/>
      <c r="B278" s="1"/>
      <c r="C278" s="1"/>
      <c r="D278" s="1"/>
      <c r="E278" s="1"/>
      <c r="F278" s="1"/>
      <c r="G278" s="1"/>
      <c r="H278" s="1"/>
      <c r="I278" s="1"/>
      <c r="J278" s="1"/>
      <c r="K278" s="1"/>
      <c r="L278" s="1"/>
      <c r="M278" s="1"/>
      <c r="N278" s="1"/>
    </row>
    <row r="279" ht="15.75" customHeight="1">
      <c r="A279" s="1"/>
      <c r="B279" s="1"/>
      <c r="C279" s="1"/>
      <c r="D279" s="1"/>
      <c r="E279" s="1"/>
      <c r="F279" s="1"/>
      <c r="G279" s="1"/>
      <c r="H279" s="1"/>
      <c r="I279" s="1"/>
      <c r="J279" s="1"/>
      <c r="K279" s="1"/>
      <c r="L279" s="1"/>
      <c r="M279" s="1"/>
      <c r="N279" s="1"/>
    </row>
    <row r="280" ht="15.75" customHeight="1">
      <c r="A280" s="1"/>
      <c r="B280" s="1"/>
      <c r="C280" s="1"/>
      <c r="D280" s="1"/>
      <c r="E280" s="1"/>
      <c r="F280" s="1"/>
      <c r="G280" s="1"/>
      <c r="H280" s="1"/>
      <c r="I280" s="1"/>
      <c r="J280" s="1"/>
      <c r="K280" s="1"/>
      <c r="L280" s="1"/>
      <c r="M280" s="1"/>
      <c r="N280" s="1"/>
    </row>
    <row r="281" ht="15.75" customHeight="1">
      <c r="A281" s="1"/>
      <c r="B281" s="1"/>
      <c r="C281" s="1"/>
      <c r="D281" s="1"/>
      <c r="E281" s="1"/>
      <c r="F281" s="1"/>
      <c r="G281" s="1"/>
      <c r="H281" s="1"/>
      <c r="I281" s="1"/>
      <c r="J281" s="1"/>
      <c r="K281" s="1"/>
      <c r="L281" s="1"/>
      <c r="M281" s="1"/>
      <c r="N281" s="1"/>
    </row>
    <row r="282" ht="15.75" customHeight="1">
      <c r="A282" s="1"/>
      <c r="B282" s="1"/>
      <c r="C282" s="1"/>
      <c r="D282" s="1"/>
      <c r="E282" s="1"/>
      <c r="F282" s="1"/>
      <c r="G282" s="1"/>
      <c r="H282" s="1"/>
      <c r="I282" s="1"/>
      <c r="J282" s="1"/>
      <c r="K282" s="1"/>
      <c r="L282" s="1"/>
      <c r="M282" s="1"/>
      <c r="N282" s="1"/>
    </row>
    <row r="283" ht="15.75" customHeight="1">
      <c r="A283" s="1"/>
      <c r="B283" s="1"/>
      <c r="C283" s="1"/>
      <c r="D283" s="1"/>
      <c r="E283" s="1"/>
      <c r="F283" s="1"/>
      <c r="G283" s="1"/>
      <c r="H283" s="1"/>
      <c r="I283" s="1"/>
      <c r="J283" s="1"/>
      <c r="K283" s="1"/>
      <c r="L283" s="1"/>
      <c r="M283" s="1"/>
      <c r="N283" s="1"/>
    </row>
    <row r="284" ht="15.75" customHeight="1">
      <c r="A284" s="1"/>
      <c r="B284" s="1"/>
      <c r="C284" s="1"/>
      <c r="D284" s="1"/>
      <c r="E284" s="1"/>
      <c r="F284" s="1"/>
      <c r="G284" s="1"/>
      <c r="H284" s="1"/>
      <c r="I284" s="1"/>
      <c r="J284" s="1"/>
      <c r="K284" s="1"/>
      <c r="L284" s="1"/>
      <c r="M284" s="1"/>
      <c r="N284" s="1"/>
    </row>
    <row r="285" ht="15.75" customHeight="1">
      <c r="A285" s="1"/>
      <c r="B285" s="1"/>
      <c r="C285" s="1"/>
      <c r="D285" s="1"/>
      <c r="E285" s="1"/>
      <c r="F285" s="1"/>
      <c r="G285" s="1"/>
      <c r="H285" s="1"/>
      <c r="I285" s="1"/>
      <c r="J285" s="1"/>
      <c r="K285" s="1"/>
      <c r="L285" s="1"/>
      <c r="M285" s="1"/>
      <c r="N285" s="1"/>
    </row>
    <row r="286" ht="15.75" customHeight="1">
      <c r="A286" s="1"/>
      <c r="B286" s="1"/>
      <c r="C286" s="1"/>
      <c r="D286" s="1"/>
      <c r="E286" s="1"/>
      <c r="F286" s="1"/>
      <c r="G286" s="1"/>
      <c r="H286" s="1"/>
      <c r="I286" s="1"/>
      <c r="J286" s="1"/>
      <c r="K286" s="1"/>
      <c r="L286" s="1"/>
      <c r="M286" s="1"/>
      <c r="N286" s="1"/>
    </row>
    <row r="287" ht="15.75" customHeight="1">
      <c r="A287" s="1"/>
      <c r="B287" s="1"/>
      <c r="C287" s="1"/>
      <c r="D287" s="1"/>
      <c r="E287" s="1"/>
      <c r="F287" s="1"/>
      <c r="G287" s="1"/>
      <c r="H287" s="1"/>
      <c r="I287" s="1"/>
      <c r="J287" s="1"/>
      <c r="K287" s="1"/>
      <c r="L287" s="1"/>
      <c r="M287" s="1"/>
      <c r="N287" s="1"/>
    </row>
    <row r="288" ht="15.75" customHeight="1">
      <c r="A288" s="1"/>
      <c r="B288" s="1"/>
      <c r="C288" s="1"/>
      <c r="D288" s="1"/>
      <c r="E288" s="1"/>
      <c r="F288" s="1"/>
      <c r="G288" s="1"/>
      <c r="H288" s="1"/>
      <c r="I288" s="1"/>
      <c r="J288" s="1"/>
      <c r="K288" s="1"/>
      <c r="L288" s="1"/>
      <c r="M288" s="1"/>
      <c r="N288" s="1"/>
    </row>
    <row r="289" ht="15.75" customHeight="1">
      <c r="A289" s="1"/>
      <c r="B289" s="1"/>
      <c r="C289" s="1"/>
      <c r="D289" s="1"/>
      <c r="E289" s="1"/>
      <c r="F289" s="1"/>
      <c r="G289" s="1"/>
      <c r="H289" s="1"/>
      <c r="I289" s="1"/>
      <c r="J289" s="1"/>
      <c r="K289" s="1"/>
      <c r="L289" s="1"/>
      <c r="M289" s="1"/>
      <c r="N289" s="1"/>
    </row>
    <row r="290" ht="15.75" customHeight="1">
      <c r="A290" s="1"/>
      <c r="B290" s="1"/>
      <c r="C290" s="1"/>
      <c r="D290" s="1"/>
      <c r="E290" s="1"/>
      <c r="F290" s="1"/>
      <c r="G290" s="1"/>
      <c r="H290" s="1"/>
      <c r="I290" s="1"/>
      <c r="J290" s="1"/>
      <c r="K290" s="1"/>
      <c r="L290" s="1"/>
      <c r="M290" s="1"/>
      <c r="N290" s="1"/>
    </row>
    <row r="291" ht="15.75" customHeight="1">
      <c r="A291" s="1"/>
      <c r="B291" s="1"/>
      <c r="C291" s="1"/>
      <c r="D291" s="1"/>
      <c r="E291" s="1"/>
      <c r="F291" s="1"/>
      <c r="G291" s="1"/>
      <c r="H291" s="1"/>
      <c r="I291" s="1"/>
      <c r="J291" s="1"/>
      <c r="K291" s="1"/>
      <c r="L291" s="1"/>
      <c r="M291" s="1"/>
      <c r="N291" s="1"/>
    </row>
    <row r="292" ht="15.75" customHeight="1">
      <c r="A292" s="1"/>
      <c r="B292" s="1"/>
      <c r="C292" s="1"/>
      <c r="D292" s="1"/>
      <c r="E292" s="1"/>
      <c r="F292" s="1"/>
      <c r="G292" s="1"/>
      <c r="H292" s="1"/>
      <c r="I292" s="1"/>
      <c r="J292" s="1"/>
      <c r="K292" s="1"/>
      <c r="L292" s="1"/>
      <c r="M292" s="1"/>
      <c r="N292" s="1"/>
    </row>
    <row r="293" ht="15.75" customHeight="1">
      <c r="A293" s="1"/>
      <c r="B293" s="1"/>
      <c r="C293" s="1"/>
      <c r="D293" s="1"/>
      <c r="E293" s="1"/>
      <c r="F293" s="1"/>
      <c r="G293" s="1"/>
      <c r="H293" s="1"/>
      <c r="I293" s="1"/>
      <c r="J293" s="1"/>
      <c r="K293" s="1"/>
      <c r="L293" s="1"/>
      <c r="M293" s="1"/>
      <c r="N293" s="1"/>
    </row>
    <row r="294" ht="15.75" customHeight="1">
      <c r="A294" s="1"/>
      <c r="B294" s="1"/>
      <c r="C294" s="1"/>
      <c r="D294" s="1"/>
      <c r="E294" s="1"/>
      <c r="F294" s="1"/>
      <c r="G294" s="1"/>
      <c r="H294" s="1"/>
      <c r="I294" s="1"/>
      <c r="J294" s="1"/>
      <c r="K294" s="1"/>
      <c r="L294" s="1"/>
      <c r="M294" s="1"/>
      <c r="N294" s="1"/>
    </row>
    <row r="295" ht="15.75" customHeight="1">
      <c r="A295" s="1"/>
      <c r="B295" s="1"/>
      <c r="C295" s="1"/>
      <c r="D295" s="1"/>
      <c r="E295" s="1"/>
      <c r="F295" s="1"/>
      <c r="G295" s="1"/>
      <c r="H295" s="1"/>
      <c r="I295" s="1"/>
      <c r="J295" s="1"/>
      <c r="K295" s="1"/>
      <c r="L295" s="1"/>
      <c r="M295" s="1"/>
      <c r="N295" s="1"/>
    </row>
    <row r="296" ht="15.75" customHeight="1">
      <c r="A296" s="1"/>
      <c r="B296" s="1"/>
      <c r="C296" s="1"/>
      <c r="D296" s="1"/>
      <c r="E296" s="1"/>
      <c r="F296" s="1"/>
      <c r="G296" s="1"/>
      <c r="H296" s="1"/>
      <c r="I296" s="1"/>
      <c r="J296" s="1"/>
      <c r="K296" s="1"/>
      <c r="L296" s="1"/>
      <c r="M296" s="1"/>
      <c r="N296" s="1"/>
    </row>
    <row r="297" ht="15.75" customHeight="1">
      <c r="A297" s="1"/>
      <c r="B297" s="1"/>
      <c r="C297" s="1"/>
      <c r="D297" s="1"/>
      <c r="E297" s="1"/>
      <c r="F297" s="1"/>
      <c r="G297" s="1"/>
      <c r="H297" s="1"/>
      <c r="I297" s="1"/>
      <c r="J297" s="1"/>
      <c r="K297" s="1"/>
      <c r="L297" s="1"/>
      <c r="M297" s="1"/>
      <c r="N297" s="1"/>
    </row>
    <row r="298" ht="15.75" customHeight="1">
      <c r="A298" s="1"/>
      <c r="B298" s="1"/>
      <c r="C298" s="1"/>
      <c r="D298" s="1"/>
      <c r="E298" s="1"/>
      <c r="F298" s="1"/>
      <c r="G298" s="1"/>
      <c r="H298" s="1"/>
      <c r="I298" s="1"/>
      <c r="J298" s="1"/>
      <c r="K298" s="1"/>
      <c r="L298" s="1"/>
      <c r="M298" s="1"/>
      <c r="N298" s="1"/>
    </row>
    <row r="299" ht="15.75" customHeight="1">
      <c r="A299" s="1"/>
      <c r="B299" s="1"/>
      <c r="C299" s="1"/>
      <c r="D299" s="1"/>
      <c r="E299" s="1"/>
      <c r="F299" s="1"/>
      <c r="G299" s="1"/>
      <c r="H299" s="1"/>
      <c r="I299" s="1"/>
      <c r="J299" s="1"/>
      <c r="K299" s="1"/>
      <c r="L299" s="1"/>
      <c r="M299" s="1"/>
      <c r="N299" s="1"/>
    </row>
    <row r="300" ht="15.75" customHeight="1">
      <c r="A300" s="1"/>
      <c r="B300" s="1"/>
      <c r="C300" s="1"/>
      <c r="D300" s="1"/>
      <c r="E300" s="1"/>
      <c r="F300" s="1"/>
      <c r="G300" s="1"/>
      <c r="H300" s="1"/>
      <c r="I300" s="1"/>
      <c r="J300" s="1"/>
      <c r="K300" s="1"/>
      <c r="L300" s="1"/>
      <c r="M300" s="1"/>
      <c r="N300" s="1"/>
    </row>
    <row r="301" ht="15.75" customHeight="1">
      <c r="A301" s="1"/>
      <c r="B301" s="1"/>
      <c r="C301" s="1"/>
      <c r="D301" s="1"/>
      <c r="E301" s="1"/>
      <c r="F301" s="1"/>
      <c r="G301" s="1"/>
      <c r="H301" s="1"/>
      <c r="I301" s="1"/>
      <c r="J301" s="1"/>
      <c r="K301" s="1"/>
      <c r="L301" s="1"/>
      <c r="M301" s="1"/>
      <c r="N301" s="1"/>
    </row>
    <row r="302" ht="15.75" customHeight="1">
      <c r="A302" s="1"/>
      <c r="B302" s="1"/>
      <c r="C302" s="1"/>
      <c r="D302" s="1"/>
      <c r="E302" s="1"/>
      <c r="F302" s="1"/>
      <c r="G302" s="1"/>
      <c r="H302" s="1"/>
      <c r="I302" s="1"/>
      <c r="J302" s="1"/>
      <c r="K302" s="1"/>
      <c r="L302" s="1"/>
      <c r="M302" s="1"/>
      <c r="N302" s="1"/>
    </row>
    <row r="303" ht="15.75" customHeight="1">
      <c r="A303" s="1"/>
      <c r="B303" s="1"/>
      <c r="C303" s="1"/>
      <c r="D303" s="1"/>
      <c r="E303" s="1"/>
      <c r="F303" s="1"/>
      <c r="G303" s="1"/>
      <c r="H303" s="1"/>
      <c r="I303" s="1"/>
      <c r="J303" s="1"/>
      <c r="K303" s="1"/>
      <c r="L303" s="1"/>
      <c r="M303" s="1"/>
      <c r="N303" s="1"/>
    </row>
    <row r="304" ht="15.75" customHeight="1">
      <c r="A304" s="1"/>
      <c r="B304" s="1"/>
      <c r="C304" s="1"/>
      <c r="D304" s="1"/>
      <c r="E304" s="1"/>
      <c r="F304" s="1"/>
      <c r="G304" s="1"/>
      <c r="H304" s="1"/>
      <c r="I304" s="1"/>
      <c r="J304" s="1"/>
      <c r="K304" s="1"/>
      <c r="L304" s="1"/>
      <c r="M304" s="1"/>
      <c r="N304" s="1"/>
    </row>
    <row r="305" ht="15.75" customHeight="1">
      <c r="A305" s="1"/>
      <c r="B305" s="1"/>
      <c r="C305" s="1"/>
      <c r="D305" s="1"/>
      <c r="E305" s="1"/>
      <c r="F305" s="1"/>
      <c r="G305" s="1"/>
      <c r="H305" s="1"/>
      <c r="I305" s="1"/>
      <c r="J305" s="1"/>
      <c r="K305" s="1"/>
      <c r="L305" s="1"/>
      <c r="M305" s="1"/>
      <c r="N305" s="1"/>
    </row>
    <row r="306" ht="15.75" customHeight="1">
      <c r="A306" s="1"/>
      <c r="B306" s="1"/>
      <c r="C306" s="1"/>
      <c r="D306" s="1"/>
      <c r="E306" s="1"/>
      <c r="F306" s="1"/>
      <c r="G306" s="1"/>
      <c r="H306" s="1"/>
      <c r="I306" s="1"/>
      <c r="J306" s="1"/>
      <c r="K306" s="1"/>
      <c r="L306" s="1"/>
      <c r="M306" s="1"/>
      <c r="N306" s="1"/>
    </row>
    <row r="307" ht="15.75" customHeight="1">
      <c r="A307" s="1"/>
      <c r="B307" s="1"/>
      <c r="C307" s="1"/>
      <c r="D307" s="1"/>
      <c r="E307" s="1"/>
      <c r="F307" s="1"/>
      <c r="G307" s="1"/>
      <c r="H307" s="1"/>
      <c r="I307" s="1"/>
      <c r="J307" s="1"/>
      <c r="K307" s="1"/>
      <c r="L307" s="1"/>
      <c r="M307" s="1"/>
      <c r="N307" s="1"/>
    </row>
    <row r="308" ht="15.75" customHeight="1">
      <c r="A308" s="1"/>
      <c r="B308" s="1"/>
      <c r="C308" s="1"/>
      <c r="D308" s="1"/>
      <c r="E308" s="1"/>
      <c r="F308" s="1"/>
      <c r="G308" s="1"/>
      <c r="H308" s="1"/>
      <c r="I308" s="1"/>
      <c r="J308" s="1"/>
      <c r="K308" s="1"/>
      <c r="L308" s="1"/>
      <c r="M308" s="1"/>
      <c r="N308" s="1"/>
    </row>
    <row r="309" ht="15.75" customHeight="1">
      <c r="A309" s="1"/>
      <c r="B309" s="1"/>
      <c r="C309" s="1"/>
      <c r="D309" s="1"/>
      <c r="E309" s="1"/>
      <c r="F309" s="1"/>
      <c r="G309" s="1"/>
      <c r="H309" s="1"/>
      <c r="I309" s="1"/>
      <c r="J309" s="1"/>
      <c r="K309" s="1"/>
      <c r="L309" s="1"/>
      <c r="M309" s="1"/>
      <c r="N309" s="1"/>
    </row>
    <row r="310" ht="15.75" customHeight="1">
      <c r="A310" s="1"/>
      <c r="B310" s="1"/>
      <c r="C310" s="1"/>
      <c r="D310" s="1"/>
      <c r="E310" s="1"/>
      <c r="F310" s="1"/>
      <c r="G310" s="1"/>
      <c r="H310" s="1"/>
      <c r="I310" s="1"/>
      <c r="J310" s="1"/>
      <c r="K310" s="1"/>
      <c r="L310" s="1"/>
      <c r="M310" s="1"/>
      <c r="N310" s="1"/>
    </row>
    <row r="311" ht="15.75" customHeight="1">
      <c r="A311" s="1"/>
      <c r="B311" s="1"/>
      <c r="C311" s="1"/>
      <c r="D311" s="1"/>
      <c r="E311" s="1"/>
      <c r="F311" s="1"/>
      <c r="G311" s="1"/>
      <c r="H311" s="1"/>
      <c r="I311" s="1"/>
      <c r="J311" s="1"/>
      <c r="K311" s="1"/>
      <c r="L311" s="1"/>
      <c r="M311" s="1"/>
      <c r="N311" s="1"/>
    </row>
    <row r="312" ht="15.75" customHeight="1">
      <c r="A312" s="1"/>
      <c r="B312" s="1"/>
      <c r="C312" s="1"/>
      <c r="D312" s="1"/>
      <c r="E312" s="1"/>
      <c r="F312" s="1"/>
      <c r="G312" s="1"/>
      <c r="H312" s="1"/>
      <c r="I312" s="1"/>
      <c r="J312" s="1"/>
      <c r="K312" s="1"/>
      <c r="L312" s="1"/>
      <c r="M312" s="1"/>
      <c r="N312" s="1"/>
    </row>
    <row r="313" ht="15.75" customHeight="1">
      <c r="A313" s="1"/>
      <c r="B313" s="1"/>
      <c r="C313" s="1"/>
      <c r="D313" s="1"/>
      <c r="E313" s="1"/>
      <c r="F313" s="1"/>
      <c r="G313" s="1"/>
      <c r="H313" s="1"/>
      <c r="I313" s="1"/>
      <c r="J313" s="1"/>
      <c r="K313" s="1"/>
      <c r="L313" s="1"/>
      <c r="M313" s="1"/>
      <c r="N313" s="1"/>
    </row>
    <row r="314" ht="15.75" customHeight="1">
      <c r="A314" s="1"/>
      <c r="B314" s="1"/>
      <c r="C314" s="1"/>
      <c r="D314" s="1"/>
      <c r="E314" s="1"/>
      <c r="F314" s="1"/>
      <c r="G314" s="1"/>
      <c r="H314" s="1"/>
      <c r="I314" s="1"/>
      <c r="J314" s="1"/>
      <c r="K314" s="1"/>
      <c r="L314" s="1"/>
      <c r="M314" s="1"/>
      <c r="N314" s="1"/>
    </row>
    <row r="315" ht="15.75" customHeight="1">
      <c r="A315" s="1"/>
      <c r="B315" s="1"/>
      <c r="C315" s="1"/>
      <c r="D315" s="1"/>
      <c r="E315" s="1"/>
      <c r="F315" s="1"/>
      <c r="G315" s="1"/>
      <c r="H315" s="1"/>
      <c r="I315" s="1"/>
      <c r="J315" s="1"/>
      <c r="K315" s="1"/>
      <c r="L315" s="1"/>
      <c r="M315" s="1"/>
      <c r="N315" s="1"/>
    </row>
    <row r="316" ht="15.75" customHeight="1">
      <c r="A316" s="1"/>
      <c r="B316" s="1"/>
      <c r="C316" s="1"/>
      <c r="D316" s="1"/>
      <c r="E316" s="1"/>
      <c r="F316" s="1"/>
      <c r="G316" s="1"/>
      <c r="H316" s="1"/>
      <c r="I316" s="1"/>
      <c r="J316" s="1"/>
      <c r="K316" s="1"/>
      <c r="L316" s="1"/>
      <c r="M316" s="1"/>
      <c r="N316" s="1"/>
    </row>
    <row r="317" ht="15.75" customHeight="1">
      <c r="A317" s="1"/>
      <c r="B317" s="1"/>
      <c r="C317" s="1"/>
      <c r="D317" s="1"/>
      <c r="E317" s="1"/>
      <c r="F317" s="1"/>
      <c r="G317" s="1"/>
      <c r="H317" s="1"/>
      <c r="I317" s="1"/>
      <c r="J317" s="1"/>
      <c r="K317" s="1"/>
      <c r="L317" s="1"/>
      <c r="M317" s="1"/>
      <c r="N317" s="1"/>
    </row>
    <row r="318" ht="15.75" customHeight="1">
      <c r="A318" s="1"/>
      <c r="B318" s="1"/>
      <c r="C318" s="1"/>
      <c r="D318" s="1"/>
      <c r="E318" s="1"/>
      <c r="F318" s="1"/>
      <c r="G318" s="1"/>
      <c r="H318" s="1"/>
      <c r="I318" s="1"/>
      <c r="J318" s="1"/>
      <c r="K318" s="1"/>
      <c r="L318" s="1"/>
      <c r="M318" s="1"/>
      <c r="N318" s="1"/>
    </row>
    <row r="319" ht="15.75" customHeight="1">
      <c r="A319" s="1"/>
      <c r="B319" s="1"/>
      <c r="C319" s="1"/>
      <c r="D319" s="1"/>
      <c r="E319" s="1"/>
      <c r="F319" s="1"/>
      <c r="G319" s="1"/>
      <c r="H319" s="1"/>
      <c r="I319" s="1"/>
      <c r="J319" s="1"/>
      <c r="K319" s="1"/>
      <c r="L319" s="1"/>
      <c r="M319" s="1"/>
      <c r="N319" s="1"/>
    </row>
    <row r="320" ht="15.75" customHeight="1">
      <c r="A320" s="1"/>
      <c r="B320" s="1"/>
      <c r="C320" s="1"/>
      <c r="D320" s="1"/>
      <c r="E320" s="1"/>
      <c r="F320" s="1"/>
      <c r="G320" s="1"/>
      <c r="H320" s="1"/>
      <c r="I320" s="1"/>
      <c r="J320" s="1"/>
      <c r="K320" s="1"/>
      <c r="L320" s="1"/>
      <c r="M320" s="1"/>
      <c r="N320" s="1"/>
    </row>
    <row r="321" ht="15.75" customHeight="1">
      <c r="A321" s="1"/>
      <c r="B321" s="1"/>
      <c r="C321" s="1"/>
      <c r="D321" s="1"/>
      <c r="E321" s="1"/>
      <c r="F321" s="1"/>
      <c r="G321" s="1"/>
      <c r="H321" s="1"/>
      <c r="I321" s="1"/>
      <c r="J321" s="1"/>
      <c r="K321" s="1"/>
      <c r="L321" s="1"/>
      <c r="M321" s="1"/>
      <c r="N321" s="1"/>
    </row>
    <row r="322" ht="15.75" customHeight="1">
      <c r="A322" s="1"/>
      <c r="B322" s="1"/>
      <c r="C322" s="1"/>
      <c r="D322" s="1"/>
      <c r="E322" s="1"/>
      <c r="F322" s="1"/>
      <c r="G322" s="1"/>
      <c r="H322" s="1"/>
      <c r="I322" s="1"/>
      <c r="J322" s="1"/>
      <c r="K322" s="1"/>
      <c r="L322" s="1"/>
      <c r="M322" s="1"/>
      <c r="N322" s="1"/>
    </row>
    <row r="323" ht="15.75" customHeight="1">
      <c r="A323" s="1"/>
      <c r="B323" s="1"/>
      <c r="C323" s="1"/>
      <c r="D323" s="1"/>
      <c r="E323" s="1"/>
      <c r="F323" s="1"/>
      <c r="G323" s="1"/>
      <c r="H323" s="1"/>
      <c r="I323" s="1"/>
      <c r="J323" s="1"/>
      <c r="K323" s="1"/>
      <c r="L323" s="1"/>
      <c r="M323" s="1"/>
      <c r="N323" s="1"/>
    </row>
    <row r="324" ht="15.75" customHeight="1">
      <c r="A324" s="1"/>
      <c r="B324" s="1"/>
      <c r="C324" s="1"/>
      <c r="D324" s="1"/>
      <c r="E324" s="1"/>
      <c r="F324" s="1"/>
      <c r="G324" s="1"/>
      <c r="H324" s="1"/>
      <c r="I324" s="1"/>
      <c r="J324" s="1"/>
      <c r="K324" s="1"/>
      <c r="L324" s="1"/>
      <c r="M324" s="1"/>
      <c r="N324" s="1"/>
    </row>
    <row r="325" ht="15.75" customHeight="1">
      <c r="A325" s="1"/>
      <c r="B325" s="1"/>
      <c r="C325" s="1"/>
      <c r="D325" s="1"/>
      <c r="E325" s="1"/>
      <c r="F325" s="1"/>
      <c r="G325" s="1"/>
      <c r="H325" s="1"/>
      <c r="I325" s="1"/>
      <c r="J325" s="1"/>
      <c r="K325" s="1"/>
      <c r="L325" s="1"/>
      <c r="M325" s="1"/>
      <c r="N325" s="1"/>
    </row>
    <row r="326" ht="15.75" customHeight="1">
      <c r="A326" s="1"/>
      <c r="B326" s="1"/>
      <c r="C326" s="1"/>
      <c r="D326" s="1"/>
      <c r="E326" s="1"/>
      <c r="F326" s="1"/>
      <c r="G326" s="1"/>
      <c r="H326" s="1"/>
      <c r="I326" s="1"/>
      <c r="J326" s="1"/>
      <c r="K326" s="1"/>
      <c r="L326" s="1"/>
      <c r="M326" s="1"/>
      <c r="N326" s="1"/>
    </row>
    <row r="327" ht="15.75" customHeight="1">
      <c r="A327" s="1"/>
      <c r="B327" s="1"/>
      <c r="C327" s="1"/>
      <c r="D327" s="1"/>
      <c r="E327" s="1"/>
      <c r="F327" s="1"/>
      <c r="G327" s="1"/>
      <c r="H327" s="1"/>
      <c r="I327" s="1"/>
      <c r="J327" s="1"/>
      <c r="K327" s="1"/>
      <c r="L327" s="1"/>
      <c r="M327" s="1"/>
      <c r="N327" s="1"/>
    </row>
    <row r="328" ht="15.75" customHeight="1">
      <c r="A328" s="1"/>
      <c r="B328" s="1"/>
      <c r="C328" s="1"/>
      <c r="D328" s="1"/>
      <c r="E328" s="1"/>
      <c r="F328" s="1"/>
      <c r="G328" s="1"/>
      <c r="H328" s="1"/>
      <c r="I328" s="1"/>
      <c r="J328" s="1"/>
      <c r="K328" s="1"/>
      <c r="L328" s="1"/>
      <c r="M328" s="1"/>
      <c r="N328" s="1"/>
    </row>
    <row r="329" ht="15.75" customHeight="1">
      <c r="A329" s="1"/>
      <c r="B329" s="1"/>
      <c r="C329" s="1"/>
      <c r="D329" s="1"/>
      <c r="E329" s="1"/>
      <c r="F329" s="1"/>
      <c r="G329" s="1"/>
      <c r="H329" s="1"/>
      <c r="I329" s="1"/>
      <c r="J329" s="1"/>
      <c r="K329" s="1"/>
      <c r="L329" s="1"/>
      <c r="M329" s="1"/>
      <c r="N329" s="1"/>
    </row>
    <row r="330" ht="15.75" customHeight="1">
      <c r="A330" s="1"/>
      <c r="B330" s="1"/>
      <c r="C330" s="1"/>
      <c r="D330" s="1"/>
      <c r="E330" s="1"/>
      <c r="F330" s="1"/>
      <c r="G330" s="1"/>
      <c r="H330" s="1"/>
      <c r="I330" s="1"/>
      <c r="J330" s="1"/>
      <c r="K330" s="1"/>
      <c r="L330" s="1"/>
      <c r="M330" s="1"/>
      <c r="N330" s="1"/>
    </row>
    <row r="331" ht="15.75" customHeight="1">
      <c r="A331" s="1"/>
      <c r="B331" s="1"/>
      <c r="C331" s="1"/>
      <c r="D331" s="1"/>
      <c r="E331" s="1"/>
      <c r="F331" s="1"/>
      <c r="G331" s="1"/>
      <c r="H331" s="1"/>
      <c r="I331" s="1"/>
      <c r="J331" s="1"/>
      <c r="K331" s="1"/>
      <c r="L331" s="1"/>
      <c r="M331" s="1"/>
      <c r="N331" s="1"/>
    </row>
    <row r="332" ht="15.75" customHeight="1">
      <c r="A332" s="1"/>
      <c r="B332" s="1"/>
      <c r="C332" s="1"/>
      <c r="D332" s="1"/>
      <c r="E332" s="1"/>
      <c r="F332" s="1"/>
      <c r="G332" s="1"/>
      <c r="H332" s="1"/>
      <c r="I332" s="1"/>
      <c r="J332" s="1"/>
      <c r="K332" s="1"/>
      <c r="L332" s="1"/>
      <c r="M332" s="1"/>
      <c r="N332" s="1"/>
    </row>
    <row r="333" ht="15.75" customHeight="1">
      <c r="A333" s="1"/>
      <c r="B333" s="1"/>
      <c r="C333" s="1"/>
      <c r="D333" s="1"/>
      <c r="E333" s="1"/>
      <c r="F333" s="1"/>
      <c r="G333" s="1"/>
      <c r="H333" s="1"/>
      <c r="I333" s="1"/>
      <c r="J333" s="1"/>
      <c r="K333" s="1"/>
      <c r="L333" s="1"/>
      <c r="M333" s="1"/>
      <c r="N333" s="1"/>
    </row>
    <row r="334" ht="15.75" customHeight="1">
      <c r="A334" s="1"/>
      <c r="B334" s="1"/>
      <c r="C334" s="1"/>
      <c r="D334" s="1"/>
      <c r="E334" s="1"/>
      <c r="F334" s="1"/>
      <c r="G334" s="1"/>
      <c r="H334" s="1"/>
      <c r="I334" s="1"/>
      <c r="J334" s="1"/>
      <c r="K334" s="1"/>
      <c r="L334" s="1"/>
      <c r="M334" s="1"/>
      <c r="N334" s="1"/>
    </row>
    <row r="335" ht="15.75" customHeight="1">
      <c r="A335" s="1"/>
      <c r="B335" s="1"/>
      <c r="C335" s="1"/>
      <c r="D335" s="1"/>
      <c r="E335" s="1"/>
      <c r="F335" s="1"/>
      <c r="G335" s="1"/>
      <c r="H335" s="1"/>
      <c r="I335" s="1"/>
      <c r="J335" s="1"/>
      <c r="K335" s="1"/>
      <c r="L335" s="1"/>
      <c r="M335" s="1"/>
      <c r="N335" s="1"/>
    </row>
    <row r="336" ht="15.75" customHeight="1">
      <c r="A336" s="1"/>
      <c r="B336" s="1"/>
      <c r="C336" s="1"/>
      <c r="D336" s="1"/>
      <c r="E336" s="1"/>
      <c r="F336" s="1"/>
      <c r="G336" s="1"/>
      <c r="H336" s="1"/>
      <c r="I336" s="1"/>
      <c r="J336" s="1"/>
      <c r="K336" s="1"/>
      <c r="L336" s="1"/>
      <c r="M336" s="1"/>
      <c r="N336" s="1"/>
    </row>
    <row r="337" ht="15.75" customHeight="1">
      <c r="A337" s="1"/>
      <c r="B337" s="1"/>
      <c r="C337" s="1"/>
      <c r="D337" s="1"/>
      <c r="E337" s="1"/>
      <c r="F337" s="1"/>
      <c r="G337" s="1"/>
      <c r="H337" s="1"/>
      <c r="I337" s="1"/>
      <c r="J337" s="1"/>
      <c r="K337" s="1"/>
      <c r="L337" s="1"/>
      <c r="M337" s="1"/>
      <c r="N337" s="1"/>
    </row>
    <row r="338" ht="15.75" customHeight="1">
      <c r="A338" s="1"/>
      <c r="B338" s="1"/>
      <c r="C338" s="1"/>
      <c r="D338" s="1"/>
      <c r="E338" s="1"/>
      <c r="F338" s="1"/>
      <c r="G338" s="1"/>
      <c r="H338" s="1"/>
      <c r="I338" s="1"/>
      <c r="J338" s="1"/>
      <c r="K338" s="1"/>
      <c r="L338" s="1"/>
      <c r="M338" s="1"/>
      <c r="N338" s="1"/>
    </row>
    <row r="339" ht="15.75" customHeight="1">
      <c r="A339" s="1"/>
      <c r="B339" s="1"/>
      <c r="C339" s="1"/>
      <c r="D339" s="1"/>
      <c r="E339" s="1"/>
      <c r="F339" s="1"/>
      <c r="G339" s="1"/>
      <c r="H339" s="1"/>
      <c r="I339" s="1"/>
      <c r="J339" s="1"/>
      <c r="K339" s="1"/>
      <c r="L339" s="1"/>
      <c r="M339" s="1"/>
      <c r="N339" s="1"/>
    </row>
    <row r="340" ht="15.75" customHeight="1">
      <c r="A340" s="1"/>
      <c r="B340" s="1"/>
      <c r="C340" s="1"/>
      <c r="D340" s="1"/>
      <c r="E340" s="1"/>
      <c r="F340" s="1"/>
      <c r="G340" s="1"/>
      <c r="H340" s="1"/>
      <c r="I340" s="1"/>
      <c r="J340" s="1"/>
      <c r="K340" s="1"/>
      <c r="L340" s="1"/>
      <c r="M340" s="1"/>
      <c r="N340" s="1"/>
    </row>
    <row r="341" ht="15.75" customHeight="1">
      <c r="A341" s="1"/>
      <c r="B341" s="1"/>
      <c r="C341" s="1"/>
      <c r="D341" s="1"/>
      <c r="E341" s="1"/>
      <c r="F341" s="1"/>
      <c r="G341" s="1"/>
      <c r="H341" s="1"/>
      <c r="I341" s="1"/>
      <c r="J341" s="1"/>
      <c r="K341" s="1"/>
      <c r="L341" s="1"/>
      <c r="M341" s="1"/>
      <c r="N341" s="1"/>
    </row>
    <row r="342" ht="15.75" customHeight="1">
      <c r="A342" s="1"/>
      <c r="B342" s="1"/>
      <c r="C342" s="1"/>
      <c r="D342" s="1"/>
      <c r="E342" s="1"/>
      <c r="F342" s="1"/>
      <c r="G342" s="1"/>
      <c r="H342" s="1"/>
      <c r="I342" s="1"/>
      <c r="J342" s="1"/>
      <c r="K342" s="1"/>
      <c r="L342" s="1"/>
      <c r="M342" s="1"/>
      <c r="N342" s="1"/>
    </row>
    <row r="343" ht="15.75" customHeight="1">
      <c r="A343" s="1"/>
      <c r="B343" s="1"/>
      <c r="C343" s="1"/>
      <c r="D343" s="1"/>
      <c r="E343" s="1"/>
      <c r="F343" s="1"/>
      <c r="G343" s="1"/>
      <c r="H343" s="1"/>
      <c r="I343" s="1"/>
      <c r="J343" s="1"/>
      <c r="K343" s="1"/>
      <c r="L343" s="1"/>
      <c r="M343" s="1"/>
      <c r="N343" s="1"/>
    </row>
    <row r="344" ht="15.75" customHeight="1">
      <c r="A344" s="1"/>
      <c r="B344" s="1"/>
      <c r="C344" s="1"/>
      <c r="D344" s="1"/>
      <c r="E344" s="1"/>
      <c r="F344" s="1"/>
      <c r="G344" s="1"/>
      <c r="H344" s="1"/>
      <c r="I344" s="1"/>
      <c r="J344" s="1"/>
      <c r="K344" s="1"/>
      <c r="L344" s="1"/>
      <c r="M344" s="1"/>
      <c r="N344" s="1"/>
    </row>
    <row r="345" ht="15.75" customHeight="1">
      <c r="A345" s="1"/>
      <c r="B345" s="1"/>
      <c r="C345" s="1"/>
      <c r="D345" s="1"/>
      <c r="E345" s="1"/>
      <c r="F345" s="1"/>
      <c r="G345" s="1"/>
      <c r="H345" s="1"/>
      <c r="I345" s="1"/>
      <c r="J345" s="1"/>
      <c r="K345" s="1"/>
      <c r="L345" s="1"/>
      <c r="M345" s="1"/>
      <c r="N345" s="1"/>
    </row>
    <row r="346" ht="15.75" customHeight="1">
      <c r="A346" s="1"/>
      <c r="B346" s="1"/>
      <c r="C346" s="1"/>
      <c r="D346" s="1"/>
      <c r="E346" s="1"/>
      <c r="F346" s="1"/>
      <c r="G346" s="1"/>
      <c r="H346" s="1"/>
      <c r="I346" s="1"/>
      <c r="J346" s="1"/>
      <c r="K346" s="1"/>
      <c r="L346" s="1"/>
      <c r="M346" s="1"/>
      <c r="N346" s="1"/>
    </row>
    <row r="347" ht="15.75" customHeight="1">
      <c r="A347" s="1"/>
      <c r="B347" s="1"/>
      <c r="C347" s="1"/>
      <c r="D347" s="1"/>
      <c r="E347" s="1"/>
      <c r="F347" s="1"/>
      <c r="G347" s="1"/>
      <c r="H347" s="1"/>
      <c r="I347" s="1"/>
      <c r="J347" s="1"/>
      <c r="K347" s="1"/>
      <c r="L347" s="1"/>
      <c r="M347" s="1"/>
      <c r="N347" s="1"/>
    </row>
    <row r="348" ht="15.75" customHeight="1">
      <c r="A348" s="1"/>
      <c r="B348" s="1"/>
      <c r="C348" s="1"/>
      <c r="D348" s="1"/>
      <c r="E348" s="1"/>
      <c r="F348" s="1"/>
      <c r="G348" s="1"/>
      <c r="H348" s="1"/>
      <c r="I348" s="1"/>
      <c r="J348" s="1"/>
      <c r="K348" s="1"/>
      <c r="L348" s="1"/>
      <c r="M348" s="1"/>
      <c r="N348" s="1"/>
    </row>
    <row r="349" ht="15.75" customHeight="1">
      <c r="A349" s="1"/>
      <c r="B349" s="1"/>
      <c r="C349" s="1"/>
      <c r="D349" s="1"/>
      <c r="E349" s="1"/>
      <c r="F349" s="1"/>
      <c r="G349" s="1"/>
      <c r="H349" s="1"/>
      <c r="I349" s="1"/>
      <c r="J349" s="1"/>
      <c r="K349" s="1"/>
      <c r="L349" s="1"/>
      <c r="M349" s="1"/>
      <c r="N349" s="1"/>
    </row>
    <row r="350" ht="15.75" customHeight="1">
      <c r="A350" s="1"/>
      <c r="B350" s="1"/>
      <c r="C350" s="1"/>
      <c r="D350" s="1"/>
      <c r="E350" s="1"/>
      <c r="F350" s="1"/>
      <c r="G350" s="1"/>
      <c r="H350" s="1"/>
      <c r="I350" s="1"/>
      <c r="J350" s="1"/>
      <c r="K350" s="1"/>
      <c r="L350" s="1"/>
      <c r="M350" s="1"/>
      <c r="N350" s="1"/>
    </row>
    <row r="351" ht="15.75" customHeight="1">
      <c r="A351" s="1"/>
      <c r="B351" s="1"/>
      <c r="C351" s="1"/>
      <c r="D351" s="1"/>
      <c r="E351" s="1"/>
      <c r="F351" s="1"/>
      <c r="G351" s="1"/>
      <c r="H351" s="1"/>
      <c r="I351" s="1"/>
      <c r="J351" s="1"/>
      <c r="K351" s="1"/>
      <c r="L351" s="1"/>
      <c r="M351" s="1"/>
      <c r="N351" s="1"/>
    </row>
    <row r="352" ht="15.75" customHeight="1">
      <c r="A352" s="1"/>
      <c r="B352" s="1"/>
      <c r="C352" s="1"/>
      <c r="D352" s="1"/>
      <c r="E352" s="1"/>
      <c r="F352" s="1"/>
      <c r="G352" s="1"/>
      <c r="H352" s="1"/>
      <c r="I352" s="1"/>
      <c r="J352" s="1"/>
      <c r="K352" s="1"/>
      <c r="L352" s="1"/>
      <c r="M352" s="1"/>
      <c r="N352" s="1"/>
    </row>
    <row r="353" ht="15.75" customHeight="1">
      <c r="A353" s="1"/>
      <c r="B353" s="1"/>
      <c r="C353" s="1"/>
      <c r="D353" s="1"/>
      <c r="E353" s="1"/>
      <c r="F353" s="1"/>
      <c r="G353" s="1"/>
      <c r="H353" s="1"/>
      <c r="I353" s="1"/>
      <c r="J353" s="1"/>
      <c r="K353" s="1"/>
      <c r="L353" s="1"/>
      <c r="M353" s="1"/>
      <c r="N353" s="1"/>
    </row>
    <row r="354" ht="15.75" customHeight="1">
      <c r="A354" s="1"/>
      <c r="B354" s="1"/>
      <c r="C354" s="1"/>
      <c r="D354" s="1"/>
      <c r="E354" s="1"/>
      <c r="F354" s="1"/>
      <c r="G354" s="1"/>
      <c r="H354" s="1"/>
      <c r="I354" s="1"/>
      <c r="J354" s="1"/>
      <c r="K354" s="1"/>
      <c r="L354" s="1"/>
      <c r="M354" s="1"/>
      <c r="N354" s="1"/>
    </row>
    <row r="355" ht="15.75" customHeight="1">
      <c r="A355" s="1"/>
      <c r="B355" s="1"/>
      <c r="C355" s="1"/>
      <c r="D355" s="1"/>
      <c r="E355" s="1"/>
      <c r="F355" s="1"/>
      <c r="G355" s="1"/>
      <c r="H355" s="1"/>
      <c r="I355" s="1"/>
      <c r="J355" s="1"/>
      <c r="K355" s="1"/>
      <c r="L355" s="1"/>
      <c r="M355" s="1"/>
      <c r="N355" s="1"/>
    </row>
    <row r="356" ht="15.75" customHeight="1">
      <c r="A356" s="1"/>
      <c r="B356" s="1"/>
      <c r="C356" s="1"/>
      <c r="D356" s="1"/>
      <c r="E356" s="1"/>
      <c r="F356" s="1"/>
      <c r="G356" s="1"/>
      <c r="H356" s="1"/>
      <c r="I356" s="1"/>
      <c r="J356" s="1"/>
      <c r="K356" s="1"/>
      <c r="L356" s="1"/>
      <c r="M356" s="1"/>
      <c r="N356" s="1"/>
    </row>
    <row r="357" ht="15.75" customHeight="1">
      <c r="A357" s="1"/>
      <c r="B357" s="1"/>
      <c r="C357" s="1"/>
      <c r="D357" s="1"/>
      <c r="E357" s="1"/>
      <c r="F357" s="1"/>
      <c r="G357" s="1"/>
      <c r="H357" s="1"/>
      <c r="I357" s="1"/>
      <c r="J357" s="1"/>
      <c r="K357" s="1"/>
      <c r="L357" s="1"/>
      <c r="M357" s="1"/>
      <c r="N357" s="1"/>
    </row>
    <row r="358" ht="15.75" customHeight="1">
      <c r="A358" s="1"/>
      <c r="B358" s="1"/>
      <c r="C358" s="1"/>
      <c r="D358" s="1"/>
      <c r="E358" s="1"/>
      <c r="F358" s="1"/>
      <c r="G358" s="1"/>
      <c r="H358" s="1"/>
      <c r="I358" s="1"/>
      <c r="J358" s="1"/>
      <c r="K358" s="1"/>
      <c r="L358" s="1"/>
      <c r="M358" s="1"/>
      <c r="N358" s="1"/>
    </row>
    <row r="359" ht="15.75" customHeight="1">
      <c r="A359" s="1"/>
      <c r="B359" s="1"/>
      <c r="C359" s="1"/>
      <c r="D359" s="1"/>
      <c r="E359" s="1"/>
      <c r="F359" s="1"/>
      <c r="G359" s="1"/>
      <c r="H359" s="1"/>
      <c r="I359" s="1"/>
      <c r="J359" s="1"/>
      <c r="K359" s="1"/>
      <c r="L359" s="1"/>
      <c r="M359" s="1"/>
      <c r="N359" s="1"/>
    </row>
    <row r="360" ht="15.75" customHeight="1">
      <c r="A360" s="1"/>
      <c r="B360" s="1"/>
      <c r="C360" s="1"/>
      <c r="D360" s="1"/>
      <c r="E360" s="1"/>
      <c r="F360" s="1"/>
      <c r="G360" s="1"/>
      <c r="H360" s="1"/>
      <c r="I360" s="1"/>
      <c r="J360" s="1"/>
      <c r="K360" s="1"/>
      <c r="L360" s="1"/>
      <c r="M360" s="1"/>
      <c r="N360" s="1"/>
    </row>
    <row r="361" ht="15.75" customHeight="1">
      <c r="A361" s="1"/>
      <c r="B361" s="1"/>
      <c r="C361" s="1"/>
      <c r="D361" s="1"/>
      <c r="E361" s="1"/>
      <c r="F361" s="1"/>
      <c r="G361" s="1"/>
      <c r="H361" s="1"/>
      <c r="I361" s="1"/>
      <c r="J361" s="1"/>
      <c r="K361" s="1"/>
      <c r="L361" s="1"/>
      <c r="M361" s="1"/>
      <c r="N361" s="1"/>
    </row>
    <row r="362" ht="15.75" customHeight="1">
      <c r="A362" s="1"/>
      <c r="B362" s="1"/>
      <c r="C362" s="1"/>
      <c r="D362" s="1"/>
      <c r="E362" s="1"/>
      <c r="F362" s="1"/>
      <c r="G362" s="1"/>
      <c r="H362" s="1"/>
      <c r="I362" s="1"/>
      <c r="J362" s="1"/>
      <c r="K362" s="1"/>
      <c r="L362" s="1"/>
      <c r="M362" s="1"/>
      <c r="N362" s="1"/>
    </row>
    <row r="363" ht="15.75" customHeight="1">
      <c r="A363" s="1"/>
      <c r="B363" s="1"/>
      <c r="C363" s="1"/>
      <c r="D363" s="1"/>
      <c r="E363" s="1"/>
      <c r="F363" s="1"/>
      <c r="G363" s="1"/>
      <c r="H363" s="1"/>
      <c r="I363" s="1"/>
      <c r="J363" s="1"/>
      <c r="K363" s="1"/>
      <c r="L363" s="1"/>
      <c r="M363" s="1"/>
      <c r="N363" s="1"/>
    </row>
    <row r="364" ht="15.75" customHeight="1">
      <c r="A364" s="1"/>
      <c r="B364" s="1"/>
      <c r="C364" s="1"/>
      <c r="D364" s="1"/>
      <c r="E364" s="1"/>
      <c r="F364" s="1"/>
      <c r="G364" s="1"/>
      <c r="H364" s="1"/>
      <c r="I364" s="1"/>
      <c r="J364" s="1"/>
      <c r="K364" s="1"/>
      <c r="L364" s="1"/>
      <c r="M364" s="1"/>
      <c r="N364" s="1"/>
    </row>
    <row r="365" ht="15.75" customHeight="1">
      <c r="A365" s="1"/>
      <c r="B365" s="1"/>
      <c r="C365" s="1"/>
      <c r="D365" s="1"/>
      <c r="E365" s="1"/>
      <c r="F365" s="1"/>
      <c r="G365" s="1"/>
      <c r="H365" s="1"/>
      <c r="I365" s="1"/>
      <c r="J365" s="1"/>
      <c r="K365" s="1"/>
      <c r="L365" s="1"/>
      <c r="M365" s="1"/>
      <c r="N365" s="1"/>
    </row>
    <row r="366" ht="15.75" customHeight="1">
      <c r="A366" s="1"/>
      <c r="B366" s="1"/>
      <c r="C366" s="1"/>
      <c r="D366" s="1"/>
      <c r="E366" s="1"/>
      <c r="F366" s="1"/>
      <c r="G366" s="1"/>
      <c r="H366" s="1"/>
      <c r="I366" s="1"/>
      <c r="J366" s="1"/>
      <c r="K366" s="1"/>
      <c r="L366" s="1"/>
      <c r="M366" s="1"/>
      <c r="N366" s="1"/>
    </row>
    <row r="367" ht="15.75" customHeight="1">
      <c r="A367" s="1"/>
      <c r="B367" s="1"/>
      <c r="C367" s="1"/>
      <c r="D367" s="1"/>
      <c r="E367" s="1"/>
      <c r="F367" s="1"/>
      <c r="G367" s="1"/>
      <c r="H367" s="1"/>
      <c r="I367" s="1"/>
      <c r="J367" s="1"/>
      <c r="K367" s="1"/>
      <c r="L367" s="1"/>
      <c r="M367" s="1"/>
      <c r="N367" s="1"/>
    </row>
    <row r="368" ht="15.75" customHeight="1">
      <c r="A368" s="1"/>
      <c r="B368" s="1"/>
      <c r="C368" s="1"/>
      <c r="D368" s="1"/>
      <c r="E368" s="1"/>
      <c r="F368" s="1"/>
      <c r="G368" s="1"/>
      <c r="H368" s="1"/>
      <c r="I368" s="1"/>
      <c r="J368" s="1"/>
      <c r="K368" s="1"/>
      <c r="L368" s="1"/>
      <c r="M368" s="1"/>
      <c r="N368" s="1"/>
    </row>
    <row r="369" ht="15.75" customHeight="1">
      <c r="A369" s="1"/>
      <c r="B369" s="1"/>
      <c r="C369" s="1"/>
      <c r="D369" s="1"/>
      <c r="E369" s="1"/>
      <c r="F369" s="1"/>
      <c r="G369" s="1"/>
      <c r="H369" s="1"/>
      <c r="I369" s="1"/>
      <c r="J369" s="1"/>
      <c r="K369" s="1"/>
      <c r="L369" s="1"/>
      <c r="M369" s="1"/>
      <c r="N369" s="1"/>
    </row>
    <row r="370" ht="15.75" customHeight="1">
      <c r="A370" s="1"/>
      <c r="B370" s="1"/>
      <c r="C370" s="1"/>
      <c r="D370" s="1"/>
      <c r="E370" s="1"/>
      <c r="F370" s="1"/>
      <c r="G370" s="1"/>
      <c r="H370" s="1"/>
      <c r="I370" s="1"/>
      <c r="J370" s="1"/>
      <c r="K370" s="1"/>
      <c r="L370" s="1"/>
      <c r="M370" s="1"/>
      <c r="N370" s="1"/>
    </row>
    <row r="371" ht="15.75" customHeight="1">
      <c r="A371" s="1"/>
      <c r="B371" s="1"/>
      <c r="C371" s="1"/>
      <c r="D371" s="1"/>
      <c r="E371" s="1"/>
      <c r="F371" s="1"/>
      <c r="G371" s="1"/>
      <c r="H371" s="1"/>
      <c r="I371" s="1"/>
      <c r="J371" s="1"/>
      <c r="K371" s="1"/>
      <c r="L371" s="1"/>
      <c r="M371" s="1"/>
      <c r="N371" s="1"/>
    </row>
    <row r="372" ht="15.75" customHeight="1">
      <c r="A372" s="1"/>
      <c r="B372" s="1"/>
      <c r="C372" s="1"/>
      <c r="D372" s="1"/>
      <c r="E372" s="1"/>
      <c r="F372" s="1"/>
      <c r="G372" s="1"/>
      <c r="H372" s="1"/>
      <c r="I372" s="1"/>
      <c r="J372" s="1"/>
      <c r="K372" s="1"/>
      <c r="L372" s="1"/>
      <c r="M372" s="1"/>
      <c r="N372" s="1"/>
    </row>
    <row r="373" ht="15.75" customHeight="1">
      <c r="A373" s="1"/>
      <c r="B373" s="1"/>
      <c r="C373" s="1"/>
      <c r="D373" s="1"/>
      <c r="E373" s="1"/>
      <c r="F373" s="1"/>
      <c r="G373" s="1"/>
      <c r="H373" s="1"/>
      <c r="I373" s="1"/>
      <c r="J373" s="1"/>
      <c r="K373" s="1"/>
      <c r="L373" s="1"/>
      <c r="M373" s="1"/>
      <c r="N373" s="1"/>
    </row>
    <row r="374" ht="15.75" customHeight="1">
      <c r="A374" s="1"/>
      <c r="B374" s="1"/>
      <c r="C374" s="1"/>
      <c r="D374" s="1"/>
      <c r="E374" s="1"/>
      <c r="F374" s="1"/>
      <c r="G374" s="1"/>
      <c r="H374" s="1"/>
      <c r="I374" s="1"/>
      <c r="J374" s="1"/>
      <c r="K374" s="1"/>
      <c r="L374" s="1"/>
      <c r="M374" s="1"/>
      <c r="N374" s="1"/>
    </row>
    <row r="375" ht="15.75" customHeight="1">
      <c r="A375" s="1"/>
      <c r="B375" s="1"/>
      <c r="C375" s="1"/>
      <c r="D375" s="1"/>
      <c r="E375" s="1"/>
      <c r="F375" s="1"/>
      <c r="G375" s="1"/>
      <c r="H375" s="1"/>
      <c r="I375" s="1"/>
      <c r="J375" s="1"/>
      <c r="K375" s="1"/>
      <c r="L375" s="1"/>
      <c r="M375" s="1"/>
      <c r="N375" s="1"/>
    </row>
    <row r="376" ht="15.75" customHeight="1">
      <c r="A376" s="1"/>
      <c r="B376" s="1"/>
      <c r="C376" s="1"/>
      <c r="D376" s="1"/>
      <c r="E376" s="1"/>
      <c r="F376" s="1"/>
      <c r="G376" s="1"/>
      <c r="H376" s="1"/>
      <c r="I376" s="1"/>
      <c r="J376" s="1"/>
      <c r="K376" s="1"/>
      <c r="L376" s="1"/>
      <c r="M376" s="1"/>
      <c r="N376" s="1"/>
    </row>
    <row r="377" ht="15.75" customHeight="1">
      <c r="A377" s="1"/>
      <c r="B377" s="1"/>
      <c r="C377" s="1"/>
      <c r="D377" s="1"/>
      <c r="E377" s="1"/>
      <c r="F377" s="1"/>
      <c r="G377" s="1"/>
      <c r="H377" s="1"/>
      <c r="I377" s="1"/>
      <c r="J377" s="1"/>
      <c r="K377" s="1"/>
      <c r="L377" s="1"/>
      <c r="M377" s="1"/>
      <c r="N377" s="1"/>
    </row>
    <row r="378" ht="15.75" customHeight="1">
      <c r="A378" s="1"/>
      <c r="B378" s="1"/>
      <c r="C378" s="1"/>
      <c r="D378" s="1"/>
      <c r="E378" s="1"/>
      <c r="F378" s="1"/>
      <c r="G378" s="1"/>
      <c r="H378" s="1"/>
      <c r="I378" s="1"/>
      <c r="J378" s="1"/>
      <c r="K378" s="1"/>
      <c r="L378" s="1"/>
      <c r="M378" s="1"/>
      <c r="N378" s="1"/>
    </row>
    <row r="379" ht="15.75" customHeight="1">
      <c r="A379" s="1"/>
      <c r="B379" s="1"/>
      <c r="C379" s="1"/>
      <c r="D379" s="1"/>
      <c r="E379" s="1"/>
      <c r="F379" s="1"/>
      <c r="G379" s="1"/>
      <c r="H379" s="1"/>
      <c r="I379" s="1"/>
      <c r="J379" s="1"/>
      <c r="K379" s="1"/>
      <c r="L379" s="1"/>
      <c r="M379" s="1"/>
      <c r="N379" s="1"/>
    </row>
    <row r="380" ht="15.75" customHeight="1">
      <c r="A380" s="1"/>
      <c r="B380" s="1"/>
      <c r="C380" s="1"/>
      <c r="D380" s="1"/>
      <c r="E380" s="1"/>
      <c r="F380" s="1"/>
      <c r="G380" s="1"/>
      <c r="H380" s="1"/>
      <c r="I380" s="1"/>
      <c r="J380" s="1"/>
      <c r="K380" s="1"/>
      <c r="L380" s="1"/>
      <c r="M380" s="1"/>
      <c r="N380" s="1"/>
    </row>
    <row r="381" ht="15.75" customHeight="1">
      <c r="A381" s="1"/>
      <c r="B381" s="1"/>
      <c r="C381" s="1"/>
      <c r="D381" s="1"/>
      <c r="E381" s="1"/>
      <c r="F381" s="1"/>
      <c r="G381" s="1"/>
      <c r="H381" s="1"/>
      <c r="I381" s="1"/>
      <c r="J381" s="1"/>
      <c r="K381" s="1"/>
      <c r="L381" s="1"/>
      <c r="M381" s="1"/>
      <c r="N381" s="1"/>
    </row>
    <row r="382" ht="15.75" customHeight="1">
      <c r="A382" s="1"/>
      <c r="B382" s="1"/>
      <c r="C382" s="1"/>
      <c r="D382" s="1"/>
      <c r="E382" s="1"/>
      <c r="F382" s="1"/>
      <c r="G382" s="1"/>
      <c r="H382" s="1"/>
      <c r="I382" s="1"/>
      <c r="J382" s="1"/>
      <c r="K382" s="1"/>
      <c r="L382" s="1"/>
      <c r="M382" s="1"/>
      <c r="N382" s="1"/>
    </row>
    <row r="383" ht="15.75" customHeight="1">
      <c r="A383" s="1"/>
      <c r="B383" s="1"/>
      <c r="C383" s="1"/>
      <c r="D383" s="1"/>
      <c r="E383" s="1"/>
      <c r="F383" s="1"/>
      <c r="G383" s="1"/>
      <c r="H383" s="1"/>
      <c r="I383" s="1"/>
      <c r="J383" s="1"/>
      <c r="K383" s="1"/>
      <c r="L383" s="1"/>
      <c r="M383" s="1"/>
      <c r="N383" s="1"/>
    </row>
    <row r="384" ht="15.75" customHeight="1">
      <c r="A384" s="1"/>
      <c r="B384" s="1"/>
      <c r="C384" s="1"/>
      <c r="D384" s="1"/>
      <c r="E384" s="1"/>
      <c r="F384" s="1"/>
      <c r="G384" s="1"/>
      <c r="H384" s="1"/>
      <c r="I384" s="1"/>
      <c r="J384" s="1"/>
      <c r="K384" s="1"/>
      <c r="L384" s="1"/>
      <c r="M384" s="1"/>
      <c r="N384" s="1"/>
    </row>
    <row r="385" ht="15.75" customHeight="1">
      <c r="A385" s="1"/>
      <c r="B385" s="1"/>
      <c r="C385" s="1"/>
      <c r="D385" s="1"/>
      <c r="E385" s="1"/>
      <c r="F385" s="1"/>
      <c r="G385" s="1"/>
      <c r="H385" s="1"/>
      <c r="I385" s="1"/>
      <c r="J385" s="1"/>
      <c r="K385" s="1"/>
      <c r="L385" s="1"/>
      <c r="M385" s="1"/>
      <c r="N385" s="1"/>
    </row>
    <row r="386" ht="15.75" customHeight="1">
      <c r="A386" s="1"/>
      <c r="B386" s="1"/>
      <c r="C386" s="1"/>
      <c r="D386" s="1"/>
      <c r="E386" s="1"/>
      <c r="F386" s="1"/>
      <c r="G386" s="1"/>
      <c r="H386" s="1"/>
      <c r="I386" s="1"/>
      <c r="J386" s="1"/>
      <c r="K386" s="1"/>
      <c r="L386" s="1"/>
      <c r="M386" s="1"/>
      <c r="N386" s="1"/>
    </row>
    <row r="387" ht="15.75" customHeight="1">
      <c r="A387" s="1"/>
      <c r="B387" s="1"/>
      <c r="C387" s="1"/>
      <c r="D387" s="1"/>
      <c r="E387" s="1"/>
      <c r="F387" s="1"/>
      <c r="G387" s="1"/>
      <c r="H387" s="1"/>
      <c r="I387" s="1"/>
      <c r="J387" s="1"/>
      <c r="K387" s="1"/>
      <c r="L387" s="1"/>
      <c r="M387" s="1"/>
      <c r="N387" s="1"/>
    </row>
    <row r="388" ht="15.75" customHeight="1">
      <c r="A388" s="1"/>
      <c r="B388" s="1"/>
      <c r="C388" s="1"/>
      <c r="D388" s="1"/>
      <c r="E388" s="1"/>
      <c r="F388" s="1"/>
      <c r="G388" s="1"/>
      <c r="H388" s="1"/>
      <c r="I388" s="1"/>
      <c r="J388" s="1"/>
      <c r="K388" s="1"/>
      <c r="L388" s="1"/>
      <c r="M388" s="1"/>
      <c r="N388" s="1"/>
    </row>
    <row r="389" ht="15.75" customHeight="1">
      <c r="A389" s="1"/>
      <c r="B389" s="1"/>
      <c r="C389" s="1"/>
      <c r="D389" s="1"/>
      <c r="E389" s="1"/>
      <c r="F389" s="1"/>
      <c r="G389" s="1"/>
      <c r="H389" s="1"/>
      <c r="I389" s="1"/>
      <c r="J389" s="1"/>
      <c r="K389" s="1"/>
      <c r="L389" s="1"/>
      <c r="M389" s="1"/>
      <c r="N389" s="1"/>
    </row>
    <row r="390" ht="15.75" customHeight="1">
      <c r="A390" s="1"/>
      <c r="B390" s="1"/>
      <c r="C390" s="1"/>
      <c r="D390" s="1"/>
      <c r="E390" s="1"/>
      <c r="F390" s="1"/>
      <c r="G390" s="1"/>
      <c r="H390" s="1"/>
      <c r="I390" s="1"/>
      <c r="J390" s="1"/>
      <c r="K390" s="1"/>
      <c r="L390" s="1"/>
      <c r="M390" s="1"/>
      <c r="N390" s="1"/>
    </row>
    <row r="391" ht="15.75" customHeight="1">
      <c r="A391" s="1"/>
      <c r="B391" s="1"/>
      <c r="C391" s="1"/>
      <c r="D391" s="1"/>
      <c r="E391" s="1"/>
      <c r="F391" s="1"/>
      <c r="G391" s="1"/>
      <c r="H391" s="1"/>
      <c r="I391" s="1"/>
      <c r="J391" s="1"/>
      <c r="K391" s="1"/>
      <c r="L391" s="1"/>
      <c r="M391" s="1"/>
      <c r="N391" s="1"/>
    </row>
    <row r="392" ht="15.75" customHeight="1">
      <c r="A392" s="1"/>
      <c r="B392" s="1"/>
      <c r="C392" s="1"/>
      <c r="D392" s="1"/>
      <c r="E392" s="1"/>
      <c r="F392" s="1"/>
      <c r="G392" s="1"/>
      <c r="H392" s="1"/>
      <c r="I392" s="1"/>
      <c r="J392" s="1"/>
      <c r="K392" s="1"/>
      <c r="L392" s="1"/>
      <c r="M392" s="1"/>
      <c r="N392" s="1"/>
    </row>
    <row r="393" ht="15.75" customHeight="1">
      <c r="A393" s="1"/>
      <c r="B393" s="1"/>
      <c r="C393" s="1"/>
      <c r="D393" s="1"/>
      <c r="E393" s="1"/>
      <c r="F393" s="1"/>
      <c r="G393" s="1"/>
      <c r="H393" s="1"/>
      <c r="I393" s="1"/>
      <c r="J393" s="1"/>
      <c r="K393" s="1"/>
      <c r="L393" s="1"/>
      <c r="M393" s="1"/>
      <c r="N393" s="1"/>
    </row>
    <row r="394" ht="15.75" customHeight="1">
      <c r="A394" s="1"/>
      <c r="B394" s="1"/>
      <c r="C394" s="1"/>
      <c r="D394" s="1"/>
      <c r="E394" s="1"/>
      <c r="F394" s="1"/>
      <c r="G394" s="1"/>
      <c r="H394" s="1"/>
      <c r="I394" s="1"/>
      <c r="J394" s="1"/>
      <c r="K394" s="1"/>
      <c r="L394" s="1"/>
      <c r="M394" s="1"/>
      <c r="N394" s="1"/>
    </row>
    <row r="395" ht="15.75" customHeight="1">
      <c r="A395" s="1"/>
      <c r="B395" s="1"/>
      <c r="C395" s="1"/>
      <c r="D395" s="1"/>
      <c r="E395" s="1"/>
      <c r="F395" s="1"/>
      <c r="G395" s="1"/>
      <c r="H395" s="1"/>
      <c r="I395" s="1"/>
      <c r="J395" s="1"/>
      <c r="K395" s="1"/>
      <c r="L395" s="1"/>
      <c r="M395" s="1"/>
      <c r="N395" s="1"/>
    </row>
    <row r="396" ht="15.75" customHeight="1">
      <c r="A396" s="1"/>
      <c r="B396" s="1"/>
      <c r="C396" s="1"/>
      <c r="D396" s="1"/>
      <c r="E396" s="1"/>
      <c r="F396" s="1"/>
      <c r="G396" s="1"/>
      <c r="H396" s="1"/>
      <c r="I396" s="1"/>
      <c r="J396" s="1"/>
      <c r="K396" s="1"/>
      <c r="L396" s="1"/>
      <c r="M396" s="1"/>
      <c r="N396" s="1"/>
    </row>
    <row r="397" ht="15.75" customHeight="1">
      <c r="A397" s="1"/>
      <c r="B397" s="1"/>
      <c r="C397" s="1"/>
      <c r="D397" s="1"/>
      <c r="E397" s="1"/>
      <c r="F397" s="1"/>
      <c r="G397" s="1"/>
      <c r="H397" s="1"/>
      <c r="I397" s="1"/>
      <c r="J397" s="1"/>
      <c r="K397" s="1"/>
      <c r="L397" s="1"/>
      <c r="M397" s="1"/>
      <c r="N397" s="1"/>
    </row>
    <row r="398" ht="15.75" customHeight="1">
      <c r="A398" s="1"/>
      <c r="B398" s="1"/>
      <c r="C398" s="1"/>
      <c r="D398" s="1"/>
      <c r="E398" s="1"/>
      <c r="F398" s="1"/>
      <c r="G398" s="1"/>
      <c r="H398" s="1"/>
      <c r="I398" s="1"/>
      <c r="J398" s="1"/>
      <c r="K398" s="1"/>
      <c r="L398" s="1"/>
      <c r="M398" s="1"/>
      <c r="N398" s="1"/>
    </row>
    <row r="399" ht="15.75" customHeight="1">
      <c r="A399" s="1"/>
      <c r="B399" s="1"/>
      <c r="C399" s="1"/>
      <c r="D399" s="1"/>
      <c r="E399" s="1"/>
      <c r="F399" s="1"/>
      <c r="G399" s="1"/>
      <c r="H399" s="1"/>
      <c r="I399" s="1"/>
      <c r="J399" s="1"/>
      <c r="K399" s="1"/>
      <c r="L399" s="1"/>
      <c r="M399" s="1"/>
      <c r="N399" s="1"/>
    </row>
    <row r="400" ht="15.75" customHeight="1">
      <c r="A400" s="1"/>
      <c r="B400" s="1"/>
      <c r="C400" s="1"/>
      <c r="D400" s="1"/>
      <c r="E400" s="1"/>
      <c r="F400" s="1"/>
      <c r="G400" s="1"/>
      <c r="H400" s="1"/>
      <c r="I400" s="1"/>
      <c r="J400" s="1"/>
      <c r="K400" s="1"/>
      <c r="L400" s="1"/>
      <c r="M400" s="1"/>
      <c r="N400" s="1"/>
    </row>
    <row r="401" ht="15.75" customHeight="1">
      <c r="A401" s="1"/>
      <c r="B401" s="1"/>
      <c r="C401" s="1"/>
      <c r="D401" s="1"/>
      <c r="E401" s="1"/>
      <c r="F401" s="1"/>
      <c r="G401" s="1"/>
      <c r="H401" s="1"/>
      <c r="I401" s="1"/>
      <c r="J401" s="1"/>
      <c r="K401" s="1"/>
      <c r="L401" s="1"/>
      <c r="M401" s="1"/>
      <c r="N401" s="1"/>
    </row>
    <row r="402" ht="15.75" customHeight="1">
      <c r="A402" s="1"/>
      <c r="B402" s="1"/>
      <c r="C402" s="1"/>
      <c r="D402" s="1"/>
      <c r="E402" s="1"/>
      <c r="F402" s="1"/>
      <c r="G402" s="1"/>
      <c r="H402" s="1"/>
      <c r="I402" s="1"/>
      <c r="J402" s="1"/>
      <c r="K402" s="1"/>
      <c r="L402" s="1"/>
      <c r="M402" s="1"/>
      <c r="N402" s="1"/>
    </row>
    <row r="403" ht="15.75" customHeight="1">
      <c r="A403" s="1"/>
      <c r="B403" s="1"/>
      <c r="C403" s="1"/>
      <c r="D403" s="1"/>
      <c r="E403" s="1"/>
      <c r="F403" s="1"/>
      <c r="G403" s="1"/>
      <c r="H403" s="1"/>
      <c r="I403" s="1"/>
      <c r="J403" s="1"/>
      <c r="K403" s="1"/>
      <c r="L403" s="1"/>
      <c r="M403" s="1"/>
      <c r="N403" s="1"/>
    </row>
    <row r="404" ht="15.75" customHeight="1">
      <c r="A404" s="1"/>
      <c r="B404" s="1"/>
      <c r="C404" s="1"/>
      <c r="D404" s="1"/>
      <c r="E404" s="1"/>
      <c r="F404" s="1"/>
      <c r="G404" s="1"/>
      <c r="H404" s="1"/>
      <c r="I404" s="1"/>
      <c r="J404" s="1"/>
      <c r="K404" s="1"/>
      <c r="L404" s="1"/>
      <c r="M404" s="1"/>
      <c r="N404" s="1"/>
    </row>
    <row r="405" ht="15.75" customHeight="1">
      <c r="A405" s="1"/>
      <c r="B405" s="1"/>
      <c r="C405" s="1"/>
      <c r="D405" s="1"/>
      <c r="E405" s="1"/>
      <c r="F405" s="1"/>
      <c r="G405" s="1"/>
      <c r="H405" s="1"/>
      <c r="I405" s="1"/>
      <c r="J405" s="1"/>
      <c r="K405" s="1"/>
      <c r="L405" s="1"/>
      <c r="M405" s="1"/>
      <c r="N405" s="1"/>
    </row>
    <row r="406" ht="15.75" customHeight="1">
      <c r="A406" s="1"/>
      <c r="B406" s="1"/>
      <c r="C406" s="1"/>
      <c r="D406" s="1"/>
      <c r="E406" s="1"/>
      <c r="F406" s="1"/>
      <c r="G406" s="1"/>
      <c r="H406" s="1"/>
      <c r="I406" s="1"/>
      <c r="J406" s="1"/>
      <c r="K406" s="1"/>
      <c r="L406" s="1"/>
      <c r="M406" s="1"/>
      <c r="N406" s="1"/>
    </row>
    <row r="407" ht="15.75" customHeight="1">
      <c r="A407" s="1"/>
      <c r="B407" s="1"/>
      <c r="C407" s="1"/>
      <c r="D407" s="1"/>
      <c r="E407" s="1"/>
      <c r="F407" s="1"/>
      <c r="G407" s="1"/>
      <c r="H407" s="1"/>
      <c r="I407" s="1"/>
      <c r="J407" s="1"/>
      <c r="K407" s="1"/>
      <c r="L407" s="1"/>
      <c r="M407" s="1"/>
      <c r="N407" s="1"/>
    </row>
    <row r="408" ht="15.75" customHeight="1">
      <c r="A408" s="1"/>
      <c r="B408" s="1"/>
      <c r="C408" s="1"/>
      <c r="D408" s="1"/>
      <c r="E408" s="1"/>
      <c r="F408" s="1"/>
      <c r="G408" s="1"/>
      <c r="H408" s="1"/>
      <c r="I408" s="1"/>
      <c r="J408" s="1"/>
      <c r="K408" s="1"/>
      <c r="L408" s="1"/>
      <c r="M408" s="1"/>
      <c r="N408" s="1"/>
    </row>
    <row r="409" ht="15.75" customHeight="1">
      <c r="A409" s="1"/>
      <c r="B409" s="1"/>
      <c r="C409" s="1"/>
      <c r="D409" s="1"/>
      <c r="E409" s="1"/>
      <c r="F409" s="1"/>
      <c r="G409" s="1"/>
      <c r="H409" s="1"/>
      <c r="I409" s="1"/>
      <c r="J409" s="1"/>
      <c r="K409" s="1"/>
      <c r="L409" s="1"/>
      <c r="M409" s="1"/>
      <c r="N409" s="1"/>
    </row>
    <row r="410" ht="15.75" customHeight="1">
      <c r="A410" s="1"/>
      <c r="B410" s="1"/>
      <c r="C410" s="1"/>
      <c r="D410" s="1"/>
      <c r="E410" s="1"/>
      <c r="F410" s="1"/>
      <c r="G410" s="1"/>
      <c r="H410" s="1"/>
      <c r="I410" s="1"/>
      <c r="J410" s="1"/>
      <c r="K410" s="1"/>
      <c r="L410" s="1"/>
      <c r="M410" s="1"/>
      <c r="N410" s="1"/>
    </row>
    <row r="411" ht="15.75" customHeight="1">
      <c r="A411" s="1"/>
      <c r="B411" s="1"/>
      <c r="C411" s="1"/>
      <c r="D411" s="1"/>
      <c r="E411" s="1"/>
      <c r="F411" s="1"/>
      <c r="G411" s="1"/>
      <c r="H411" s="1"/>
      <c r="I411" s="1"/>
      <c r="J411" s="1"/>
      <c r="K411" s="1"/>
      <c r="L411" s="1"/>
      <c r="M411" s="1"/>
      <c r="N411" s="1"/>
    </row>
    <row r="412" ht="15.75" customHeight="1">
      <c r="A412" s="1"/>
      <c r="B412" s="1"/>
      <c r="C412" s="1"/>
      <c r="D412" s="1"/>
      <c r="E412" s="1"/>
      <c r="F412" s="1"/>
      <c r="G412" s="1"/>
      <c r="H412" s="1"/>
      <c r="I412" s="1"/>
      <c r="J412" s="1"/>
      <c r="K412" s="1"/>
      <c r="L412" s="1"/>
      <c r="M412" s="1"/>
      <c r="N412" s="1"/>
    </row>
    <row r="413" ht="15.75" customHeight="1">
      <c r="A413" s="1"/>
      <c r="B413" s="1"/>
      <c r="C413" s="1"/>
      <c r="D413" s="1"/>
      <c r="E413" s="1"/>
      <c r="F413" s="1"/>
      <c r="G413" s="1"/>
      <c r="H413" s="1"/>
      <c r="I413" s="1"/>
      <c r="J413" s="1"/>
      <c r="K413" s="1"/>
      <c r="L413" s="1"/>
      <c r="M413" s="1"/>
      <c r="N413" s="1"/>
    </row>
    <row r="414" ht="15.75" customHeight="1">
      <c r="A414" s="1"/>
      <c r="B414" s="1"/>
      <c r="C414" s="1"/>
      <c r="D414" s="1"/>
      <c r="E414" s="1"/>
      <c r="F414" s="1"/>
      <c r="G414" s="1"/>
      <c r="H414" s="1"/>
      <c r="I414" s="1"/>
      <c r="J414" s="1"/>
      <c r="K414" s="1"/>
      <c r="L414" s="1"/>
      <c r="M414" s="1"/>
      <c r="N414" s="1"/>
    </row>
    <row r="415" ht="15.75" customHeight="1">
      <c r="A415" s="1"/>
      <c r="B415" s="1"/>
      <c r="C415" s="1"/>
      <c r="D415" s="1"/>
      <c r="E415" s="1"/>
      <c r="F415" s="1"/>
      <c r="G415" s="1"/>
      <c r="H415" s="1"/>
      <c r="I415" s="1"/>
      <c r="J415" s="1"/>
      <c r="K415" s="1"/>
      <c r="L415" s="1"/>
      <c r="M415" s="1"/>
      <c r="N415" s="1"/>
    </row>
    <row r="416" ht="15.75" customHeight="1">
      <c r="A416" s="1"/>
      <c r="B416" s="1"/>
      <c r="C416" s="1"/>
      <c r="D416" s="1"/>
      <c r="E416" s="1"/>
      <c r="F416" s="1"/>
      <c r="G416" s="1"/>
      <c r="H416" s="1"/>
      <c r="I416" s="1"/>
      <c r="J416" s="1"/>
      <c r="K416" s="1"/>
      <c r="L416" s="1"/>
      <c r="M416" s="1"/>
      <c r="N416" s="1"/>
    </row>
    <row r="417" ht="15.75" customHeight="1">
      <c r="A417" s="1"/>
      <c r="B417" s="1"/>
      <c r="C417" s="1"/>
      <c r="D417" s="1"/>
      <c r="E417" s="1"/>
      <c r="F417" s="1"/>
      <c r="G417" s="1"/>
      <c r="H417" s="1"/>
      <c r="I417" s="1"/>
      <c r="J417" s="1"/>
      <c r="K417" s="1"/>
      <c r="L417" s="1"/>
      <c r="M417" s="1"/>
      <c r="N417" s="1"/>
    </row>
    <row r="418" ht="15.75" customHeight="1">
      <c r="A418" s="1"/>
      <c r="B418" s="1"/>
      <c r="C418" s="1"/>
      <c r="D418" s="1"/>
      <c r="E418" s="1"/>
      <c r="F418" s="1"/>
      <c r="G418" s="1"/>
      <c r="H418" s="1"/>
      <c r="I418" s="1"/>
      <c r="J418" s="1"/>
      <c r="K418" s="1"/>
      <c r="L418" s="1"/>
      <c r="M418" s="1"/>
      <c r="N418" s="1"/>
    </row>
    <row r="419" ht="15.75" customHeight="1">
      <c r="A419" s="1"/>
      <c r="B419" s="1"/>
      <c r="C419" s="1"/>
      <c r="D419" s="1"/>
      <c r="E419" s="1"/>
      <c r="F419" s="1"/>
      <c r="G419" s="1"/>
      <c r="H419" s="1"/>
      <c r="I419" s="1"/>
      <c r="J419" s="1"/>
      <c r="K419" s="1"/>
      <c r="L419" s="1"/>
      <c r="M419" s="1"/>
      <c r="N419" s="1"/>
    </row>
    <row r="420" ht="15.75" customHeight="1">
      <c r="A420" s="1"/>
      <c r="B420" s="1"/>
      <c r="C420" s="1"/>
      <c r="D420" s="1"/>
      <c r="E420" s="1"/>
      <c r="F420" s="1"/>
      <c r="G420" s="1"/>
      <c r="H420" s="1"/>
      <c r="I420" s="1"/>
      <c r="J420" s="1"/>
      <c r="K420" s="1"/>
      <c r="L420" s="1"/>
      <c r="M420" s="1"/>
      <c r="N420" s="1"/>
    </row>
    <row r="421" ht="15.75" customHeight="1">
      <c r="A421" s="1"/>
      <c r="B421" s="1"/>
      <c r="C421" s="1"/>
      <c r="D421" s="1"/>
      <c r="E421" s="1"/>
      <c r="F421" s="1"/>
      <c r="G421" s="1"/>
      <c r="H421" s="1"/>
      <c r="I421" s="1"/>
      <c r="J421" s="1"/>
      <c r="K421" s="1"/>
      <c r="L421" s="1"/>
      <c r="M421" s="1"/>
      <c r="N421" s="1"/>
    </row>
    <row r="422" ht="15.75" customHeight="1">
      <c r="A422" s="1"/>
      <c r="B422" s="1"/>
      <c r="C422" s="1"/>
      <c r="D422" s="1"/>
      <c r="E422" s="1"/>
      <c r="F422" s="1"/>
      <c r="G422" s="1"/>
      <c r="H422" s="1"/>
      <c r="I422" s="1"/>
      <c r="J422" s="1"/>
      <c r="K422" s="1"/>
      <c r="L422" s="1"/>
      <c r="M422" s="1"/>
      <c r="N422" s="1"/>
    </row>
    <row r="423" ht="15.75" customHeight="1">
      <c r="A423" s="1"/>
      <c r="B423" s="1"/>
      <c r="C423" s="1"/>
      <c r="D423" s="1"/>
      <c r="E423" s="1"/>
      <c r="F423" s="1"/>
      <c r="G423" s="1"/>
      <c r="H423" s="1"/>
      <c r="I423" s="1"/>
      <c r="J423" s="1"/>
      <c r="K423" s="1"/>
      <c r="L423" s="1"/>
      <c r="M423" s="1"/>
      <c r="N423" s="1"/>
    </row>
    <row r="424" ht="15.75" customHeight="1">
      <c r="A424" s="1"/>
      <c r="B424" s="1"/>
      <c r="C424" s="1"/>
      <c r="D424" s="1"/>
      <c r="E424" s="1"/>
      <c r="F424" s="1"/>
      <c r="G424" s="1"/>
      <c r="H424" s="1"/>
      <c r="I424" s="1"/>
      <c r="J424" s="1"/>
      <c r="K424" s="1"/>
      <c r="L424" s="1"/>
      <c r="M424" s="1"/>
      <c r="N424" s="1"/>
    </row>
    <row r="425" ht="15.75" customHeight="1">
      <c r="A425" s="1"/>
      <c r="B425" s="1"/>
      <c r="C425" s="1"/>
      <c r="D425" s="1"/>
      <c r="E425" s="1"/>
      <c r="F425" s="1"/>
      <c r="G425" s="1"/>
      <c r="H425" s="1"/>
      <c r="I425" s="1"/>
      <c r="J425" s="1"/>
      <c r="K425" s="1"/>
      <c r="L425" s="1"/>
      <c r="M425" s="1"/>
      <c r="N425" s="1"/>
    </row>
    <row r="426" ht="15.75" customHeight="1">
      <c r="A426" s="1"/>
      <c r="B426" s="1"/>
      <c r="C426" s="1"/>
      <c r="D426" s="1"/>
      <c r="E426" s="1"/>
      <c r="F426" s="1"/>
      <c r="G426" s="1"/>
      <c r="H426" s="1"/>
      <c r="I426" s="1"/>
      <c r="J426" s="1"/>
      <c r="K426" s="1"/>
      <c r="L426" s="1"/>
      <c r="M426" s="1"/>
      <c r="N426" s="1"/>
    </row>
    <row r="427" ht="15.75" customHeight="1">
      <c r="A427" s="1"/>
      <c r="B427" s="1"/>
      <c r="C427" s="1"/>
      <c r="D427" s="1"/>
      <c r="E427" s="1"/>
      <c r="F427" s="1"/>
      <c r="G427" s="1"/>
      <c r="H427" s="1"/>
      <c r="I427" s="1"/>
      <c r="J427" s="1"/>
      <c r="K427" s="1"/>
      <c r="L427" s="1"/>
      <c r="M427" s="1"/>
      <c r="N427" s="1"/>
    </row>
    <row r="428" ht="15.75" customHeight="1">
      <c r="A428" s="1"/>
      <c r="B428" s="1"/>
      <c r="C428" s="1"/>
      <c r="D428" s="1"/>
      <c r="E428" s="1"/>
      <c r="F428" s="1"/>
      <c r="G428" s="1"/>
      <c r="H428" s="1"/>
      <c r="I428" s="1"/>
      <c r="J428" s="1"/>
      <c r="K428" s="1"/>
      <c r="L428" s="1"/>
      <c r="M428" s="1"/>
      <c r="N428" s="1"/>
    </row>
    <row r="429" ht="15.75" customHeight="1">
      <c r="A429" s="1"/>
      <c r="B429" s="1"/>
      <c r="C429" s="1"/>
      <c r="D429" s="1"/>
      <c r="E429" s="1"/>
      <c r="F429" s="1"/>
      <c r="G429" s="1"/>
      <c r="H429" s="1"/>
      <c r="I429" s="1"/>
      <c r="J429" s="1"/>
      <c r="K429" s="1"/>
      <c r="L429" s="1"/>
      <c r="M429" s="1"/>
      <c r="N429" s="1"/>
    </row>
    <row r="430" ht="15.75" customHeight="1">
      <c r="A430" s="1"/>
      <c r="B430" s="1"/>
      <c r="C430" s="1"/>
      <c r="D430" s="1"/>
      <c r="E430" s="1"/>
      <c r="F430" s="1"/>
      <c r="G430" s="1"/>
      <c r="H430" s="1"/>
      <c r="I430" s="1"/>
      <c r="J430" s="1"/>
      <c r="K430" s="1"/>
      <c r="L430" s="1"/>
      <c r="M430" s="1"/>
      <c r="N430" s="1"/>
    </row>
    <row r="431" ht="15.75" customHeight="1">
      <c r="A431" s="1"/>
      <c r="B431" s="1"/>
      <c r="C431" s="1"/>
      <c r="D431" s="1"/>
      <c r="E431" s="1"/>
      <c r="F431" s="1"/>
      <c r="G431" s="1"/>
      <c r="H431" s="1"/>
      <c r="I431" s="1"/>
      <c r="J431" s="1"/>
      <c r="K431" s="1"/>
      <c r="L431" s="1"/>
      <c r="M431" s="1"/>
      <c r="N431" s="1"/>
    </row>
    <row r="432" ht="15.75" customHeight="1">
      <c r="A432" s="1"/>
      <c r="B432" s="1"/>
      <c r="C432" s="1"/>
      <c r="D432" s="1"/>
      <c r="E432" s="1"/>
      <c r="F432" s="1"/>
      <c r="G432" s="1"/>
      <c r="H432" s="1"/>
      <c r="I432" s="1"/>
      <c r="J432" s="1"/>
      <c r="K432" s="1"/>
      <c r="L432" s="1"/>
      <c r="M432" s="1"/>
      <c r="N432" s="1"/>
    </row>
    <row r="433" ht="15.75" customHeight="1">
      <c r="A433" s="1"/>
      <c r="B433" s="1"/>
      <c r="C433" s="1"/>
      <c r="D433" s="1"/>
      <c r="E433" s="1"/>
      <c r="F433" s="1"/>
      <c r="G433" s="1"/>
      <c r="H433" s="1"/>
      <c r="I433" s="1"/>
      <c r="J433" s="1"/>
      <c r="K433" s="1"/>
      <c r="L433" s="1"/>
      <c r="M433" s="1"/>
      <c r="N433" s="1"/>
    </row>
    <row r="434" ht="15.75" customHeight="1">
      <c r="A434" s="1"/>
      <c r="B434" s="1"/>
      <c r="C434" s="1"/>
      <c r="D434" s="1"/>
      <c r="E434" s="1"/>
      <c r="F434" s="1"/>
      <c r="G434" s="1"/>
      <c r="H434" s="1"/>
      <c r="I434" s="1"/>
      <c r="J434" s="1"/>
      <c r="K434" s="1"/>
      <c r="L434" s="1"/>
      <c r="M434" s="1"/>
      <c r="N434" s="1"/>
    </row>
    <row r="435" ht="15.75" customHeight="1">
      <c r="A435" s="1"/>
      <c r="B435" s="1"/>
      <c r="C435" s="1"/>
      <c r="D435" s="1"/>
      <c r="E435" s="1"/>
      <c r="F435" s="1"/>
      <c r="G435" s="1"/>
      <c r="H435" s="1"/>
      <c r="I435" s="1"/>
      <c r="J435" s="1"/>
      <c r="K435" s="1"/>
      <c r="L435" s="1"/>
      <c r="M435" s="1"/>
      <c r="N435" s="1"/>
    </row>
    <row r="436" ht="15.75" customHeight="1">
      <c r="A436" s="1"/>
      <c r="B436" s="1"/>
      <c r="C436" s="1"/>
      <c r="D436" s="1"/>
      <c r="E436" s="1"/>
      <c r="F436" s="1"/>
      <c r="G436" s="1"/>
      <c r="H436" s="1"/>
      <c r="I436" s="1"/>
      <c r="J436" s="1"/>
      <c r="K436" s="1"/>
      <c r="L436" s="1"/>
      <c r="M436" s="1"/>
      <c r="N436" s="1"/>
    </row>
    <row r="437" ht="15.75" customHeight="1">
      <c r="A437" s="1"/>
      <c r="B437" s="1"/>
      <c r="C437" s="1"/>
      <c r="D437" s="1"/>
      <c r="E437" s="1"/>
      <c r="F437" s="1"/>
      <c r="G437" s="1"/>
      <c r="H437" s="1"/>
      <c r="I437" s="1"/>
      <c r="J437" s="1"/>
      <c r="K437" s="1"/>
      <c r="L437" s="1"/>
      <c r="M437" s="1"/>
      <c r="N437" s="1"/>
    </row>
    <row r="438" ht="15.75" customHeight="1">
      <c r="A438" s="1"/>
      <c r="B438" s="1"/>
      <c r="C438" s="1"/>
      <c r="D438" s="1"/>
      <c r="E438" s="1"/>
      <c r="F438" s="1"/>
      <c r="G438" s="1"/>
      <c r="H438" s="1"/>
      <c r="I438" s="1"/>
      <c r="J438" s="1"/>
      <c r="K438" s="1"/>
      <c r="L438" s="1"/>
      <c r="M438" s="1"/>
      <c r="N438" s="1"/>
    </row>
    <row r="439" ht="15.75" customHeight="1">
      <c r="A439" s="1"/>
      <c r="B439" s="1"/>
      <c r="C439" s="1"/>
      <c r="D439" s="1"/>
      <c r="E439" s="1"/>
      <c r="F439" s="1"/>
      <c r="G439" s="1"/>
      <c r="H439" s="1"/>
      <c r="I439" s="1"/>
      <c r="J439" s="1"/>
      <c r="K439" s="1"/>
      <c r="L439" s="1"/>
      <c r="M439" s="1"/>
      <c r="N439" s="1"/>
    </row>
    <row r="440" ht="15.75" customHeight="1">
      <c r="A440" s="1"/>
      <c r="B440" s="1"/>
      <c r="C440" s="1"/>
      <c r="D440" s="1"/>
      <c r="E440" s="1"/>
      <c r="F440" s="1"/>
      <c r="G440" s="1"/>
      <c r="H440" s="1"/>
      <c r="I440" s="1"/>
      <c r="J440" s="1"/>
      <c r="K440" s="1"/>
      <c r="L440" s="1"/>
      <c r="M440" s="1"/>
      <c r="N440" s="1"/>
    </row>
    <row r="441" ht="15.75" customHeight="1">
      <c r="A441" s="1"/>
      <c r="B441" s="1"/>
      <c r="C441" s="1"/>
      <c r="D441" s="1"/>
      <c r="E441" s="1"/>
      <c r="F441" s="1"/>
      <c r="G441" s="1"/>
      <c r="H441" s="1"/>
      <c r="I441" s="1"/>
      <c r="J441" s="1"/>
      <c r="K441" s="1"/>
      <c r="L441" s="1"/>
      <c r="M441" s="1"/>
      <c r="N441" s="1"/>
    </row>
    <row r="442" ht="15.75" customHeight="1">
      <c r="A442" s="1"/>
      <c r="B442" s="1"/>
      <c r="C442" s="1"/>
      <c r="D442" s="1"/>
      <c r="E442" s="1"/>
      <c r="F442" s="1"/>
      <c r="G442" s="1"/>
      <c r="H442" s="1"/>
      <c r="I442" s="1"/>
      <c r="J442" s="1"/>
      <c r="K442" s="1"/>
      <c r="L442" s="1"/>
      <c r="M442" s="1"/>
      <c r="N442" s="1"/>
    </row>
    <row r="443" ht="15.75" customHeight="1">
      <c r="A443" s="1"/>
      <c r="B443" s="1"/>
      <c r="C443" s="1"/>
      <c r="D443" s="1"/>
      <c r="E443" s="1"/>
      <c r="F443" s="1"/>
      <c r="G443" s="1"/>
      <c r="H443" s="1"/>
      <c r="I443" s="1"/>
      <c r="J443" s="1"/>
      <c r="K443" s="1"/>
      <c r="L443" s="1"/>
      <c r="M443" s="1"/>
      <c r="N443" s="1"/>
    </row>
    <row r="444" ht="15.75" customHeight="1">
      <c r="A444" s="1"/>
      <c r="B444" s="1"/>
      <c r="C444" s="1"/>
      <c r="D444" s="1"/>
      <c r="E444" s="1"/>
      <c r="F444" s="1"/>
      <c r="G444" s="1"/>
      <c r="H444" s="1"/>
      <c r="I444" s="1"/>
      <c r="J444" s="1"/>
      <c r="K444" s="1"/>
      <c r="L444" s="1"/>
      <c r="M444" s="1"/>
      <c r="N444" s="1"/>
    </row>
    <row r="445" ht="15.75" customHeight="1">
      <c r="A445" s="1"/>
      <c r="B445" s="1"/>
      <c r="C445" s="1"/>
      <c r="D445" s="1"/>
      <c r="E445" s="1"/>
      <c r="F445" s="1"/>
      <c r="G445" s="1"/>
      <c r="H445" s="1"/>
      <c r="I445" s="1"/>
      <c r="J445" s="1"/>
      <c r="K445" s="1"/>
      <c r="L445" s="1"/>
      <c r="M445" s="1"/>
      <c r="N445" s="1"/>
    </row>
    <row r="446" ht="15.75" customHeight="1">
      <c r="A446" s="1"/>
      <c r="B446" s="1"/>
      <c r="C446" s="1"/>
      <c r="D446" s="1"/>
      <c r="E446" s="1"/>
      <c r="F446" s="1"/>
      <c r="G446" s="1"/>
      <c r="H446" s="1"/>
      <c r="I446" s="1"/>
      <c r="J446" s="1"/>
      <c r="K446" s="1"/>
      <c r="L446" s="1"/>
      <c r="M446" s="1"/>
      <c r="N446" s="1"/>
    </row>
    <row r="447" ht="15.75" customHeight="1">
      <c r="A447" s="1"/>
      <c r="B447" s="1"/>
      <c r="C447" s="1"/>
      <c r="D447" s="1"/>
      <c r="E447" s="1"/>
      <c r="F447" s="1"/>
      <c r="G447" s="1"/>
      <c r="H447" s="1"/>
      <c r="I447" s="1"/>
      <c r="J447" s="1"/>
      <c r="K447" s="1"/>
      <c r="L447" s="1"/>
      <c r="M447" s="1"/>
      <c r="N447" s="1"/>
    </row>
    <row r="448" ht="15.75" customHeight="1">
      <c r="A448" s="1"/>
      <c r="B448" s="1"/>
      <c r="C448" s="1"/>
      <c r="D448" s="1"/>
      <c r="E448" s="1"/>
      <c r="F448" s="1"/>
      <c r="G448" s="1"/>
      <c r="H448" s="1"/>
      <c r="I448" s="1"/>
      <c r="J448" s="1"/>
      <c r="K448" s="1"/>
      <c r="L448" s="1"/>
      <c r="M448" s="1"/>
      <c r="N448" s="1"/>
    </row>
    <row r="449" ht="15.75" customHeight="1">
      <c r="A449" s="1"/>
      <c r="B449" s="1"/>
      <c r="C449" s="1"/>
      <c r="D449" s="1"/>
      <c r="E449" s="1"/>
      <c r="F449" s="1"/>
      <c r="G449" s="1"/>
      <c r="H449" s="1"/>
      <c r="I449" s="1"/>
      <c r="J449" s="1"/>
      <c r="K449" s="1"/>
      <c r="L449" s="1"/>
      <c r="M449" s="1"/>
      <c r="N449" s="1"/>
    </row>
    <row r="450" ht="15.75" customHeight="1">
      <c r="A450" s="1"/>
      <c r="B450" s="1"/>
      <c r="C450" s="1"/>
      <c r="D450" s="1"/>
      <c r="E450" s="1"/>
      <c r="F450" s="1"/>
      <c r="G450" s="1"/>
      <c r="H450" s="1"/>
      <c r="I450" s="1"/>
      <c r="J450" s="1"/>
      <c r="K450" s="1"/>
      <c r="L450" s="1"/>
      <c r="M450" s="1"/>
      <c r="N450" s="1"/>
    </row>
    <row r="451" ht="15.75" customHeight="1">
      <c r="A451" s="1"/>
      <c r="B451" s="1"/>
      <c r="C451" s="1"/>
      <c r="D451" s="1"/>
      <c r="E451" s="1"/>
      <c r="F451" s="1"/>
      <c r="G451" s="1"/>
      <c r="H451" s="1"/>
      <c r="I451" s="1"/>
      <c r="J451" s="1"/>
      <c r="K451" s="1"/>
      <c r="L451" s="1"/>
      <c r="M451" s="1"/>
      <c r="N451" s="1"/>
    </row>
    <row r="452" ht="15.75" customHeight="1">
      <c r="A452" s="1"/>
      <c r="B452" s="1"/>
      <c r="C452" s="1"/>
      <c r="D452" s="1"/>
      <c r="E452" s="1"/>
      <c r="F452" s="1"/>
      <c r="G452" s="1"/>
      <c r="H452" s="1"/>
      <c r="I452" s="1"/>
      <c r="J452" s="1"/>
      <c r="K452" s="1"/>
      <c r="L452" s="1"/>
      <c r="M452" s="1"/>
      <c r="N452" s="1"/>
    </row>
    <row r="453" ht="15.75" customHeight="1">
      <c r="A453" s="1"/>
      <c r="B453" s="1"/>
      <c r="C453" s="1"/>
      <c r="D453" s="1"/>
      <c r="E453" s="1"/>
      <c r="F453" s="1"/>
      <c r="G453" s="1"/>
      <c r="H453" s="1"/>
      <c r="I453" s="1"/>
      <c r="J453" s="1"/>
      <c r="K453" s="1"/>
      <c r="L453" s="1"/>
      <c r="M453" s="1"/>
      <c r="N453" s="1"/>
    </row>
    <row r="454" ht="15.75" customHeight="1">
      <c r="A454" s="1"/>
      <c r="B454" s="1"/>
      <c r="C454" s="1"/>
      <c r="D454" s="1"/>
      <c r="E454" s="1"/>
      <c r="F454" s="1"/>
      <c r="G454" s="1"/>
      <c r="H454" s="1"/>
      <c r="I454" s="1"/>
      <c r="J454" s="1"/>
      <c r="K454" s="1"/>
      <c r="L454" s="1"/>
      <c r="M454" s="1"/>
      <c r="N454" s="1"/>
    </row>
    <row r="455" ht="15.75" customHeight="1">
      <c r="A455" s="1"/>
      <c r="B455" s="1"/>
      <c r="C455" s="1"/>
      <c r="D455" s="1"/>
      <c r="E455" s="1"/>
      <c r="F455" s="1"/>
      <c r="G455" s="1"/>
      <c r="H455" s="1"/>
      <c r="I455" s="1"/>
      <c r="J455" s="1"/>
      <c r="K455" s="1"/>
      <c r="L455" s="1"/>
      <c r="M455" s="1"/>
      <c r="N455" s="1"/>
    </row>
    <row r="456" ht="15.75" customHeight="1">
      <c r="A456" s="1"/>
      <c r="B456" s="1"/>
      <c r="C456" s="1"/>
      <c r="D456" s="1"/>
      <c r="E456" s="1"/>
      <c r="F456" s="1"/>
      <c r="G456" s="1"/>
      <c r="H456" s="1"/>
      <c r="I456" s="1"/>
      <c r="J456" s="1"/>
      <c r="K456" s="1"/>
      <c r="L456" s="1"/>
      <c r="M456" s="1"/>
      <c r="N456" s="1"/>
    </row>
    <row r="457" ht="15.75" customHeight="1">
      <c r="A457" s="1"/>
      <c r="B457" s="1"/>
      <c r="C457" s="1"/>
      <c r="D457" s="1"/>
      <c r="E457" s="1"/>
      <c r="F457" s="1"/>
      <c r="G457" s="1"/>
      <c r="H457" s="1"/>
      <c r="I457" s="1"/>
      <c r="J457" s="1"/>
      <c r="K457" s="1"/>
      <c r="L457" s="1"/>
      <c r="M457" s="1"/>
      <c r="N457" s="1"/>
    </row>
    <row r="458" ht="15.75" customHeight="1">
      <c r="A458" s="1"/>
      <c r="B458" s="1"/>
      <c r="C458" s="1"/>
      <c r="D458" s="1"/>
      <c r="E458" s="1"/>
      <c r="F458" s="1"/>
      <c r="G458" s="1"/>
      <c r="H458" s="1"/>
      <c r="I458" s="1"/>
      <c r="J458" s="1"/>
      <c r="K458" s="1"/>
      <c r="L458" s="1"/>
      <c r="M458" s="1"/>
      <c r="N458" s="1"/>
    </row>
    <row r="459" ht="15.75" customHeight="1">
      <c r="A459" s="1"/>
      <c r="B459" s="1"/>
      <c r="C459" s="1"/>
      <c r="D459" s="1"/>
      <c r="E459" s="1"/>
      <c r="F459" s="1"/>
      <c r="G459" s="1"/>
      <c r="H459" s="1"/>
      <c r="I459" s="1"/>
      <c r="J459" s="1"/>
      <c r="K459" s="1"/>
      <c r="L459" s="1"/>
      <c r="M459" s="1"/>
      <c r="N459" s="1"/>
    </row>
    <row r="460" ht="15.75" customHeight="1">
      <c r="A460" s="1"/>
      <c r="B460" s="1"/>
      <c r="C460" s="1"/>
      <c r="D460" s="1"/>
      <c r="E460" s="1"/>
      <c r="F460" s="1"/>
      <c r="G460" s="1"/>
      <c r="H460" s="1"/>
      <c r="I460" s="1"/>
      <c r="J460" s="1"/>
      <c r="K460" s="1"/>
      <c r="L460" s="1"/>
      <c r="M460" s="1"/>
      <c r="N460" s="1"/>
    </row>
    <row r="461" ht="15.75" customHeight="1">
      <c r="A461" s="1"/>
      <c r="B461" s="1"/>
      <c r="C461" s="1"/>
      <c r="D461" s="1"/>
      <c r="E461" s="1"/>
      <c r="F461" s="1"/>
      <c r="G461" s="1"/>
      <c r="H461" s="1"/>
      <c r="I461" s="1"/>
      <c r="J461" s="1"/>
      <c r="K461" s="1"/>
      <c r="L461" s="1"/>
      <c r="M461" s="1"/>
      <c r="N461" s="1"/>
    </row>
    <row r="462" ht="15.75" customHeight="1">
      <c r="A462" s="1"/>
      <c r="B462" s="1"/>
      <c r="C462" s="1"/>
      <c r="D462" s="1"/>
      <c r="E462" s="1"/>
      <c r="F462" s="1"/>
      <c r="G462" s="1"/>
      <c r="H462" s="1"/>
      <c r="I462" s="1"/>
      <c r="J462" s="1"/>
      <c r="K462" s="1"/>
      <c r="L462" s="1"/>
      <c r="M462" s="1"/>
      <c r="N462" s="1"/>
    </row>
    <row r="463" ht="15.75" customHeight="1">
      <c r="A463" s="1"/>
      <c r="B463" s="1"/>
      <c r="C463" s="1"/>
      <c r="D463" s="1"/>
      <c r="E463" s="1"/>
      <c r="F463" s="1"/>
      <c r="G463" s="1"/>
      <c r="H463" s="1"/>
      <c r="I463" s="1"/>
      <c r="J463" s="1"/>
      <c r="K463" s="1"/>
      <c r="L463" s="1"/>
      <c r="M463" s="1"/>
      <c r="N463" s="1"/>
    </row>
    <row r="464" ht="15.75" customHeight="1">
      <c r="A464" s="1"/>
      <c r="B464" s="1"/>
      <c r="C464" s="1"/>
      <c r="D464" s="1"/>
      <c r="E464" s="1"/>
      <c r="F464" s="1"/>
      <c r="G464" s="1"/>
      <c r="H464" s="1"/>
      <c r="I464" s="1"/>
      <c r="J464" s="1"/>
      <c r="K464" s="1"/>
      <c r="L464" s="1"/>
      <c r="M464" s="1"/>
      <c r="N464" s="1"/>
    </row>
    <row r="465" ht="15.75" customHeight="1">
      <c r="A465" s="1"/>
      <c r="B465" s="1"/>
      <c r="C465" s="1"/>
      <c r="D465" s="1"/>
      <c r="E465" s="1"/>
      <c r="F465" s="1"/>
      <c r="G465" s="1"/>
      <c r="H465" s="1"/>
      <c r="I465" s="1"/>
      <c r="J465" s="1"/>
      <c r="K465" s="1"/>
      <c r="L465" s="1"/>
      <c r="M465" s="1"/>
      <c r="N465" s="1"/>
    </row>
    <row r="466" ht="15.75" customHeight="1">
      <c r="A466" s="1"/>
      <c r="B466" s="1"/>
      <c r="C466" s="1"/>
      <c r="D466" s="1"/>
      <c r="E466" s="1"/>
      <c r="F466" s="1"/>
      <c r="G466" s="1"/>
      <c r="H466" s="1"/>
      <c r="I466" s="1"/>
      <c r="J466" s="1"/>
      <c r="K466" s="1"/>
      <c r="L466" s="1"/>
      <c r="M466" s="1"/>
      <c r="N466" s="1"/>
    </row>
    <row r="467" ht="15.75" customHeight="1">
      <c r="A467" s="1"/>
      <c r="B467" s="1"/>
      <c r="C467" s="1"/>
      <c r="D467" s="1"/>
      <c r="E467" s="1"/>
      <c r="F467" s="1"/>
      <c r="G467" s="1"/>
      <c r="H467" s="1"/>
      <c r="I467" s="1"/>
      <c r="J467" s="1"/>
      <c r="K467" s="1"/>
      <c r="L467" s="1"/>
      <c r="M467" s="1"/>
      <c r="N467" s="1"/>
    </row>
    <row r="468" ht="15.75" customHeight="1">
      <c r="A468" s="1"/>
      <c r="B468" s="1"/>
      <c r="C468" s="1"/>
      <c r="D468" s="1"/>
      <c r="E468" s="1"/>
      <c r="F468" s="1"/>
      <c r="G468" s="1"/>
      <c r="H468" s="1"/>
      <c r="I468" s="1"/>
      <c r="J468" s="1"/>
      <c r="K468" s="1"/>
      <c r="L468" s="1"/>
      <c r="M468" s="1"/>
      <c r="N468" s="1"/>
    </row>
    <row r="469" ht="15.75" customHeight="1">
      <c r="A469" s="1"/>
      <c r="B469" s="1"/>
      <c r="C469" s="1"/>
      <c r="D469" s="1"/>
      <c r="E469" s="1"/>
      <c r="F469" s="1"/>
      <c r="G469" s="1"/>
      <c r="H469" s="1"/>
      <c r="I469" s="1"/>
      <c r="J469" s="1"/>
      <c r="K469" s="1"/>
      <c r="L469" s="1"/>
      <c r="M469" s="1"/>
      <c r="N469" s="1"/>
    </row>
    <row r="470" ht="15.75" customHeight="1">
      <c r="A470" s="1"/>
      <c r="B470" s="1"/>
      <c r="C470" s="1"/>
      <c r="D470" s="1"/>
      <c r="E470" s="1"/>
      <c r="F470" s="1"/>
      <c r="G470" s="1"/>
      <c r="H470" s="1"/>
      <c r="I470" s="1"/>
      <c r="J470" s="1"/>
      <c r="K470" s="1"/>
      <c r="L470" s="1"/>
      <c r="M470" s="1"/>
      <c r="N470" s="1"/>
    </row>
    <row r="471" ht="15.75" customHeight="1">
      <c r="A471" s="1"/>
      <c r="B471" s="1"/>
      <c r="C471" s="1"/>
      <c r="D471" s="1"/>
      <c r="E471" s="1"/>
      <c r="F471" s="1"/>
      <c r="G471" s="1"/>
      <c r="H471" s="1"/>
      <c r="I471" s="1"/>
      <c r="J471" s="1"/>
      <c r="K471" s="1"/>
      <c r="L471" s="1"/>
      <c r="M471" s="1"/>
      <c r="N471" s="1"/>
    </row>
    <row r="472" ht="15.75" customHeight="1">
      <c r="A472" s="1"/>
      <c r="B472" s="1"/>
      <c r="C472" s="1"/>
      <c r="D472" s="1"/>
      <c r="E472" s="1"/>
      <c r="F472" s="1"/>
      <c r="G472" s="1"/>
      <c r="H472" s="1"/>
      <c r="I472" s="1"/>
      <c r="J472" s="1"/>
      <c r="K472" s="1"/>
      <c r="L472" s="1"/>
      <c r="M472" s="1"/>
      <c r="N472" s="1"/>
    </row>
    <row r="473" ht="15.75" customHeight="1">
      <c r="A473" s="1"/>
      <c r="B473" s="1"/>
      <c r="C473" s="1"/>
      <c r="D473" s="1"/>
      <c r="E473" s="1"/>
      <c r="F473" s="1"/>
      <c r="G473" s="1"/>
      <c r="H473" s="1"/>
      <c r="I473" s="1"/>
      <c r="J473" s="1"/>
      <c r="K473" s="1"/>
      <c r="L473" s="1"/>
      <c r="M473" s="1"/>
      <c r="N473" s="1"/>
    </row>
    <row r="474" ht="15.75" customHeight="1">
      <c r="A474" s="1"/>
      <c r="B474" s="1"/>
      <c r="C474" s="1"/>
      <c r="D474" s="1"/>
      <c r="E474" s="1"/>
      <c r="F474" s="1"/>
      <c r="G474" s="1"/>
      <c r="H474" s="1"/>
      <c r="I474" s="1"/>
      <c r="J474" s="1"/>
      <c r="K474" s="1"/>
      <c r="L474" s="1"/>
      <c r="M474" s="1"/>
      <c r="N474" s="1"/>
    </row>
    <row r="475" ht="15.75" customHeight="1">
      <c r="A475" s="1"/>
      <c r="B475" s="1"/>
      <c r="C475" s="1"/>
      <c r="D475" s="1"/>
      <c r="E475" s="1"/>
      <c r="F475" s="1"/>
      <c r="G475" s="1"/>
      <c r="H475" s="1"/>
      <c r="I475" s="1"/>
      <c r="J475" s="1"/>
      <c r="K475" s="1"/>
      <c r="L475" s="1"/>
      <c r="M475" s="1"/>
      <c r="N475" s="1"/>
    </row>
    <row r="476" ht="15.75" customHeight="1">
      <c r="A476" s="1"/>
      <c r="B476" s="1"/>
      <c r="C476" s="1"/>
      <c r="D476" s="1"/>
      <c r="E476" s="1"/>
      <c r="F476" s="1"/>
      <c r="G476" s="1"/>
      <c r="H476" s="1"/>
      <c r="I476" s="1"/>
      <c r="J476" s="1"/>
      <c r="K476" s="1"/>
      <c r="L476" s="1"/>
      <c r="M476" s="1"/>
      <c r="N476" s="1"/>
    </row>
    <row r="477" ht="15.75" customHeight="1">
      <c r="A477" s="1"/>
      <c r="B477" s="1"/>
      <c r="C477" s="1"/>
      <c r="D477" s="1"/>
      <c r="E477" s="1"/>
      <c r="F477" s="1"/>
      <c r="G477" s="1"/>
      <c r="H477" s="1"/>
      <c r="I477" s="1"/>
      <c r="J477" s="1"/>
      <c r="K477" s="1"/>
      <c r="L477" s="1"/>
      <c r="M477" s="1"/>
      <c r="N477" s="1"/>
    </row>
    <row r="478" ht="15.75" customHeight="1">
      <c r="A478" s="1"/>
      <c r="B478" s="1"/>
      <c r="C478" s="1"/>
      <c r="D478" s="1"/>
      <c r="E478" s="1"/>
      <c r="F478" s="1"/>
      <c r="G478" s="1"/>
      <c r="H478" s="1"/>
      <c r="I478" s="1"/>
      <c r="J478" s="1"/>
      <c r="K478" s="1"/>
      <c r="L478" s="1"/>
      <c r="M478" s="1"/>
      <c r="N478" s="1"/>
    </row>
    <row r="479" ht="15.75" customHeight="1">
      <c r="A479" s="1"/>
      <c r="B479" s="1"/>
      <c r="C479" s="1"/>
      <c r="D479" s="1"/>
      <c r="E479" s="1"/>
      <c r="F479" s="1"/>
      <c r="G479" s="1"/>
      <c r="H479" s="1"/>
      <c r="I479" s="1"/>
      <c r="J479" s="1"/>
      <c r="K479" s="1"/>
      <c r="L479" s="1"/>
      <c r="M479" s="1"/>
      <c r="N479" s="1"/>
    </row>
    <row r="480" ht="15.75" customHeight="1">
      <c r="A480" s="1"/>
      <c r="B480" s="1"/>
      <c r="C480" s="1"/>
      <c r="D480" s="1"/>
      <c r="E480" s="1"/>
      <c r="F480" s="1"/>
      <c r="G480" s="1"/>
      <c r="H480" s="1"/>
      <c r="I480" s="1"/>
      <c r="J480" s="1"/>
      <c r="K480" s="1"/>
      <c r="L480" s="1"/>
      <c r="M480" s="1"/>
      <c r="N480" s="1"/>
    </row>
    <row r="481" ht="15.75" customHeight="1">
      <c r="A481" s="1"/>
      <c r="B481" s="1"/>
      <c r="C481" s="1"/>
      <c r="D481" s="1"/>
      <c r="E481" s="1"/>
      <c r="F481" s="1"/>
      <c r="G481" s="1"/>
      <c r="H481" s="1"/>
      <c r="I481" s="1"/>
      <c r="J481" s="1"/>
      <c r="K481" s="1"/>
      <c r="L481" s="1"/>
      <c r="M481" s="1"/>
      <c r="N481" s="1"/>
    </row>
    <row r="482" ht="15.75" customHeight="1">
      <c r="A482" s="1"/>
      <c r="B482" s="1"/>
      <c r="C482" s="1"/>
      <c r="D482" s="1"/>
      <c r="E482" s="1"/>
      <c r="F482" s="1"/>
      <c r="G482" s="1"/>
      <c r="H482" s="1"/>
      <c r="I482" s="1"/>
      <c r="J482" s="1"/>
      <c r="K482" s="1"/>
      <c r="L482" s="1"/>
      <c r="M482" s="1"/>
      <c r="N482" s="1"/>
    </row>
    <row r="483" ht="15.75" customHeight="1">
      <c r="A483" s="1"/>
      <c r="B483" s="1"/>
      <c r="C483" s="1"/>
      <c r="D483" s="1"/>
      <c r="E483" s="1"/>
      <c r="F483" s="1"/>
      <c r="G483" s="1"/>
      <c r="H483" s="1"/>
      <c r="I483" s="1"/>
      <c r="J483" s="1"/>
      <c r="K483" s="1"/>
      <c r="L483" s="1"/>
      <c r="M483" s="1"/>
      <c r="N483" s="1"/>
    </row>
    <row r="484" ht="15.75" customHeight="1">
      <c r="A484" s="1"/>
      <c r="B484" s="1"/>
      <c r="C484" s="1"/>
      <c r="D484" s="1"/>
      <c r="E484" s="1"/>
      <c r="F484" s="1"/>
      <c r="G484" s="1"/>
      <c r="H484" s="1"/>
      <c r="I484" s="1"/>
      <c r="J484" s="1"/>
      <c r="K484" s="1"/>
      <c r="L484" s="1"/>
      <c r="M484" s="1"/>
      <c r="N484" s="1"/>
    </row>
    <row r="485" ht="15.75" customHeight="1">
      <c r="A485" s="1"/>
      <c r="B485" s="1"/>
      <c r="C485" s="1"/>
      <c r="D485" s="1"/>
      <c r="E485" s="1"/>
      <c r="F485" s="1"/>
      <c r="G485" s="1"/>
      <c r="H485" s="1"/>
      <c r="I485" s="1"/>
      <c r="J485" s="1"/>
      <c r="K485" s="1"/>
      <c r="L485" s="1"/>
      <c r="M485" s="1"/>
      <c r="N485" s="1"/>
    </row>
    <row r="486" ht="15.75" customHeight="1">
      <c r="A486" s="1"/>
      <c r="B486" s="1"/>
      <c r="C486" s="1"/>
      <c r="D486" s="1"/>
      <c r="E486" s="1"/>
      <c r="F486" s="1"/>
      <c r="G486" s="1"/>
      <c r="H486" s="1"/>
      <c r="I486" s="1"/>
      <c r="J486" s="1"/>
      <c r="K486" s="1"/>
      <c r="L486" s="1"/>
      <c r="M486" s="1"/>
      <c r="N486" s="1"/>
    </row>
    <row r="487" ht="15.75" customHeight="1">
      <c r="A487" s="1"/>
      <c r="B487" s="1"/>
      <c r="C487" s="1"/>
      <c r="D487" s="1"/>
      <c r="E487" s="1"/>
      <c r="F487" s="1"/>
      <c r="G487" s="1"/>
      <c r="H487" s="1"/>
      <c r="I487" s="1"/>
      <c r="J487" s="1"/>
      <c r="K487" s="1"/>
      <c r="L487" s="1"/>
      <c r="M487" s="1"/>
      <c r="N487" s="1"/>
    </row>
    <row r="488" ht="15.75" customHeight="1">
      <c r="A488" s="1"/>
      <c r="B488" s="1"/>
      <c r="C488" s="1"/>
      <c r="D488" s="1"/>
      <c r="E488" s="1"/>
      <c r="F488" s="1"/>
      <c r="G488" s="1"/>
      <c r="H488" s="1"/>
      <c r="I488" s="1"/>
      <c r="J488" s="1"/>
      <c r="K488" s="1"/>
      <c r="L488" s="1"/>
      <c r="M488" s="1"/>
      <c r="N488" s="1"/>
    </row>
    <row r="489" ht="15.75" customHeight="1">
      <c r="A489" s="1"/>
      <c r="B489" s="1"/>
      <c r="C489" s="1"/>
      <c r="D489" s="1"/>
      <c r="E489" s="1"/>
      <c r="F489" s="1"/>
      <c r="G489" s="1"/>
      <c r="H489" s="1"/>
      <c r="I489" s="1"/>
      <c r="J489" s="1"/>
      <c r="K489" s="1"/>
      <c r="L489" s="1"/>
      <c r="M489" s="1"/>
      <c r="N489" s="1"/>
    </row>
    <row r="490" ht="15.75" customHeight="1">
      <c r="A490" s="1"/>
      <c r="B490" s="1"/>
      <c r="C490" s="1"/>
      <c r="D490" s="1"/>
      <c r="E490" s="1"/>
      <c r="F490" s="1"/>
      <c r="G490" s="1"/>
      <c r="H490" s="1"/>
      <c r="I490" s="1"/>
      <c r="J490" s="1"/>
      <c r="K490" s="1"/>
      <c r="L490" s="1"/>
      <c r="M490" s="1"/>
      <c r="N490" s="1"/>
    </row>
    <row r="491" ht="15.75" customHeight="1">
      <c r="A491" s="1"/>
      <c r="B491" s="1"/>
      <c r="C491" s="1"/>
      <c r="D491" s="1"/>
      <c r="E491" s="1"/>
      <c r="F491" s="1"/>
      <c r="G491" s="1"/>
      <c r="H491" s="1"/>
      <c r="I491" s="1"/>
      <c r="J491" s="1"/>
      <c r="K491" s="1"/>
      <c r="L491" s="1"/>
      <c r="M491" s="1"/>
      <c r="N491" s="1"/>
    </row>
    <row r="492" ht="15.75" customHeight="1">
      <c r="A492" s="1"/>
      <c r="B492" s="1"/>
      <c r="C492" s="1"/>
      <c r="D492" s="1"/>
      <c r="E492" s="1"/>
      <c r="F492" s="1"/>
      <c r="G492" s="1"/>
      <c r="H492" s="1"/>
      <c r="I492" s="1"/>
      <c r="J492" s="1"/>
      <c r="K492" s="1"/>
      <c r="L492" s="1"/>
      <c r="M492" s="1"/>
      <c r="N492" s="1"/>
    </row>
    <row r="493" ht="15.75" customHeight="1">
      <c r="A493" s="1"/>
      <c r="B493" s="1"/>
      <c r="C493" s="1"/>
      <c r="D493" s="1"/>
      <c r="E493" s="1"/>
      <c r="F493" s="1"/>
      <c r="G493" s="1"/>
      <c r="H493" s="1"/>
      <c r="I493" s="1"/>
      <c r="J493" s="1"/>
      <c r="K493" s="1"/>
      <c r="L493" s="1"/>
      <c r="M493" s="1"/>
      <c r="N493" s="1"/>
    </row>
    <row r="494" ht="15.75" customHeight="1">
      <c r="A494" s="1"/>
      <c r="B494" s="1"/>
      <c r="C494" s="1"/>
      <c r="D494" s="1"/>
      <c r="E494" s="1"/>
      <c r="F494" s="1"/>
      <c r="G494" s="1"/>
      <c r="H494" s="1"/>
      <c r="I494" s="1"/>
      <c r="J494" s="1"/>
      <c r="K494" s="1"/>
      <c r="L494" s="1"/>
      <c r="M494" s="1"/>
      <c r="N494" s="1"/>
    </row>
    <row r="495" ht="15.75" customHeight="1">
      <c r="A495" s="1"/>
      <c r="B495" s="1"/>
      <c r="C495" s="1"/>
      <c r="D495" s="1"/>
      <c r="E495" s="1"/>
      <c r="F495" s="1"/>
      <c r="G495" s="1"/>
      <c r="H495" s="1"/>
      <c r="I495" s="1"/>
      <c r="J495" s="1"/>
      <c r="K495" s="1"/>
      <c r="L495" s="1"/>
      <c r="M495" s="1"/>
      <c r="N495" s="1"/>
    </row>
    <row r="496" ht="15.75" customHeight="1">
      <c r="A496" s="1"/>
      <c r="B496" s="1"/>
      <c r="C496" s="1"/>
      <c r="D496" s="1"/>
      <c r="E496" s="1"/>
      <c r="F496" s="1"/>
      <c r="G496" s="1"/>
      <c r="H496" s="1"/>
      <c r="I496" s="1"/>
      <c r="J496" s="1"/>
      <c r="K496" s="1"/>
      <c r="L496" s="1"/>
      <c r="M496" s="1"/>
      <c r="N496" s="1"/>
    </row>
    <row r="497" ht="15.75" customHeight="1">
      <c r="A497" s="1"/>
      <c r="B497" s="1"/>
      <c r="C497" s="1"/>
      <c r="D497" s="1"/>
      <c r="E497" s="1"/>
      <c r="F497" s="1"/>
      <c r="G497" s="1"/>
      <c r="H497" s="1"/>
      <c r="I497" s="1"/>
      <c r="J497" s="1"/>
      <c r="K497" s="1"/>
      <c r="L497" s="1"/>
      <c r="M497" s="1"/>
      <c r="N497" s="1"/>
    </row>
    <row r="498" ht="15.75" customHeight="1">
      <c r="A498" s="1"/>
      <c r="B498" s="1"/>
      <c r="C498" s="1"/>
      <c r="D498" s="1"/>
      <c r="E498" s="1"/>
      <c r="F498" s="1"/>
      <c r="G498" s="1"/>
      <c r="H498" s="1"/>
      <c r="I498" s="1"/>
      <c r="J498" s="1"/>
      <c r="K498" s="1"/>
      <c r="L498" s="1"/>
      <c r="M498" s="1"/>
      <c r="N498" s="1"/>
    </row>
    <row r="499" ht="15.75" customHeight="1">
      <c r="A499" s="1"/>
      <c r="B499" s="1"/>
      <c r="C499" s="1"/>
      <c r="D499" s="1"/>
      <c r="E499" s="1"/>
      <c r="F499" s="1"/>
      <c r="G499" s="1"/>
      <c r="H499" s="1"/>
      <c r="I499" s="1"/>
      <c r="J499" s="1"/>
      <c r="K499" s="1"/>
      <c r="L499" s="1"/>
      <c r="M499" s="1"/>
      <c r="N499" s="1"/>
    </row>
    <row r="500" ht="15.75" customHeight="1">
      <c r="A500" s="1"/>
      <c r="B500" s="1"/>
      <c r="C500" s="1"/>
      <c r="D500" s="1"/>
      <c r="E500" s="1"/>
      <c r="F500" s="1"/>
      <c r="G500" s="1"/>
      <c r="H500" s="1"/>
      <c r="I500" s="1"/>
      <c r="J500" s="1"/>
      <c r="K500" s="1"/>
      <c r="L500" s="1"/>
      <c r="M500" s="1"/>
      <c r="N500" s="1"/>
    </row>
    <row r="501" ht="15.75" customHeight="1">
      <c r="A501" s="1"/>
      <c r="B501" s="1"/>
      <c r="C501" s="1"/>
      <c r="D501" s="1"/>
      <c r="E501" s="1"/>
      <c r="F501" s="1"/>
      <c r="G501" s="1"/>
      <c r="H501" s="1"/>
      <c r="I501" s="1"/>
      <c r="J501" s="1"/>
      <c r="K501" s="1"/>
      <c r="L501" s="1"/>
      <c r="M501" s="1"/>
      <c r="N501" s="1"/>
    </row>
    <row r="502" ht="15.75" customHeight="1">
      <c r="A502" s="1"/>
      <c r="B502" s="1"/>
      <c r="C502" s="1"/>
      <c r="D502" s="1"/>
      <c r="E502" s="1"/>
      <c r="F502" s="1"/>
      <c r="G502" s="1"/>
      <c r="H502" s="1"/>
      <c r="I502" s="1"/>
      <c r="J502" s="1"/>
      <c r="K502" s="1"/>
      <c r="L502" s="1"/>
      <c r="M502" s="1"/>
      <c r="N502" s="1"/>
    </row>
    <row r="503" ht="15.75" customHeight="1">
      <c r="A503" s="1"/>
      <c r="B503" s="1"/>
      <c r="C503" s="1"/>
      <c r="D503" s="1"/>
      <c r="E503" s="1"/>
      <c r="F503" s="1"/>
      <c r="G503" s="1"/>
      <c r="H503" s="1"/>
      <c r="I503" s="1"/>
      <c r="J503" s="1"/>
      <c r="K503" s="1"/>
      <c r="L503" s="1"/>
      <c r="M503" s="1"/>
      <c r="N503" s="1"/>
    </row>
    <row r="504" ht="15.75" customHeight="1">
      <c r="A504" s="1"/>
      <c r="B504" s="1"/>
      <c r="C504" s="1"/>
      <c r="D504" s="1"/>
      <c r="E504" s="1"/>
      <c r="F504" s="1"/>
      <c r="G504" s="1"/>
      <c r="H504" s="1"/>
      <c r="I504" s="1"/>
      <c r="J504" s="1"/>
      <c r="K504" s="1"/>
      <c r="L504" s="1"/>
      <c r="M504" s="1"/>
      <c r="N504" s="1"/>
    </row>
    <row r="505" ht="15.75" customHeight="1">
      <c r="A505" s="1"/>
      <c r="B505" s="1"/>
      <c r="C505" s="1"/>
      <c r="D505" s="1"/>
      <c r="E505" s="1"/>
      <c r="F505" s="1"/>
      <c r="G505" s="1"/>
      <c r="H505" s="1"/>
      <c r="I505" s="1"/>
      <c r="J505" s="1"/>
      <c r="K505" s="1"/>
      <c r="L505" s="1"/>
      <c r="M505" s="1"/>
      <c r="N505" s="1"/>
    </row>
    <row r="506" ht="15.75" customHeight="1">
      <c r="A506" s="1"/>
      <c r="B506" s="1"/>
      <c r="C506" s="1"/>
      <c r="D506" s="1"/>
      <c r="E506" s="1"/>
      <c r="F506" s="1"/>
      <c r="G506" s="1"/>
      <c r="H506" s="1"/>
      <c r="I506" s="1"/>
      <c r="J506" s="1"/>
      <c r="K506" s="1"/>
      <c r="L506" s="1"/>
      <c r="M506" s="1"/>
      <c r="N506" s="1"/>
    </row>
    <row r="507" ht="15.75" customHeight="1">
      <c r="A507" s="1"/>
      <c r="B507" s="1"/>
      <c r="C507" s="1"/>
      <c r="D507" s="1"/>
      <c r="E507" s="1"/>
      <c r="F507" s="1"/>
      <c r="G507" s="1"/>
      <c r="H507" s="1"/>
      <c r="I507" s="1"/>
      <c r="J507" s="1"/>
      <c r="K507" s="1"/>
      <c r="L507" s="1"/>
      <c r="M507" s="1"/>
      <c r="N507" s="1"/>
    </row>
    <row r="508" ht="15.75" customHeight="1">
      <c r="A508" s="1"/>
      <c r="B508" s="1"/>
      <c r="C508" s="1"/>
      <c r="D508" s="1"/>
      <c r="E508" s="1"/>
      <c r="F508" s="1"/>
      <c r="G508" s="1"/>
      <c r="H508" s="1"/>
      <c r="I508" s="1"/>
      <c r="J508" s="1"/>
      <c r="K508" s="1"/>
      <c r="L508" s="1"/>
      <c r="M508" s="1"/>
      <c r="N508" s="1"/>
    </row>
    <row r="509" ht="15.75" customHeight="1">
      <c r="A509" s="1"/>
      <c r="B509" s="1"/>
      <c r="C509" s="1"/>
      <c r="D509" s="1"/>
      <c r="E509" s="1"/>
      <c r="F509" s="1"/>
      <c r="G509" s="1"/>
      <c r="H509" s="1"/>
      <c r="I509" s="1"/>
      <c r="J509" s="1"/>
      <c r="K509" s="1"/>
      <c r="L509" s="1"/>
      <c r="M509" s="1"/>
      <c r="N509" s="1"/>
    </row>
    <row r="510" ht="15.75" customHeight="1">
      <c r="A510" s="1"/>
      <c r="B510" s="1"/>
      <c r="C510" s="1"/>
      <c r="D510" s="1"/>
      <c r="E510" s="1"/>
      <c r="F510" s="1"/>
      <c r="G510" s="1"/>
      <c r="H510" s="1"/>
      <c r="I510" s="1"/>
      <c r="J510" s="1"/>
      <c r="K510" s="1"/>
      <c r="L510" s="1"/>
      <c r="M510" s="1"/>
      <c r="N510" s="1"/>
    </row>
    <row r="511" ht="15.75" customHeight="1">
      <c r="A511" s="1"/>
      <c r="B511" s="1"/>
      <c r="C511" s="1"/>
      <c r="D511" s="1"/>
      <c r="E511" s="1"/>
      <c r="F511" s="1"/>
      <c r="G511" s="1"/>
      <c r="H511" s="1"/>
      <c r="I511" s="1"/>
      <c r="J511" s="1"/>
      <c r="K511" s="1"/>
      <c r="L511" s="1"/>
      <c r="M511" s="1"/>
      <c r="N511" s="1"/>
    </row>
    <row r="512" ht="15.75" customHeight="1">
      <c r="A512" s="1"/>
      <c r="B512" s="1"/>
      <c r="C512" s="1"/>
      <c r="D512" s="1"/>
      <c r="E512" s="1"/>
      <c r="F512" s="1"/>
      <c r="G512" s="1"/>
      <c r="H512" s="1"/>
      <c r="I512" s="1"/>
      <c r="J512" s="1"/>
      <c r="K512" s="1"/>
      <c r="L512" s="1"/>
      <c r="M512" s="1"/>
      <c r="N512" s="1"/>
    </row>
    <row r="513" ht="15.75" customHeight="1">
      <c r="A513" s="1"/>
      <c r="B513" s="1"/>
      <c r="C513" s="1"/>
      <c r="D513" s="1"/>
      <c r="E513" s="1"/>
      <c r="F513" s="1"/>
      <c r="G513" s="1"/>
      <c r="H513" s="1"/>
      <c r="I513" s="1"/>
      <c r="J513" s="1"/>
      <c r="K513" s="1"/>
      <c r="L513" s="1"/>
      <c r="M513" s="1"/>
      <c r="N513" s="1"/>
    </row>
    <row r="514" ht="15.75" customHeight="1">
      <c r="A514" s="1"/>
      <c r="B514" s="1"/>
      <c r="C514" s="1"/>
      <c r="D514" s="1"/>
      <c r="E514" s="1"/>
      <c r="F514" s="1"/>
      <c r="G514" s="1"/>
      <c r="H514" s="1"/>
      <c r="I514" s="1"/>
      <c r="J514" s="1"/>
      <c r="K514" s="1"/>
      <c r="L514" s="1"/>
      <c r="M514" s="1"/>
      <c r="N514" s="1"/>
    </row>
    <row r="515" ht="15.75" customHeight="1">
      <c r="A515" s="1"/>
      <c r="B515" s="1"/>
      <c r="C515" s="1"/>
      <c r="D515" s="1"/>
      <c r="E515" s="1"/>
      <c r="F515" s="1"/>
      <c r="G515" s="1"/>
      <c r="H515" s="1"/>
      <c r="I515" s="1"/>
      <c r="J515" s="1"/>
      <c r="K515" s="1"/>
      <c r="L515" s="1"/>
      <c r="M515" s="1"/>
      <c r="N515" s="1"/>
    </row>
    <row r="516" ht="15.75" customHeight="1">
      <c r="A516" s="1"/>
      <c r="B516" s="1"/>
      <c r="C516" s="1"/>
      <c r="D516" s="1"/>
      <c r="E516" s="1"/>
      <c r="F516" s="1"/>
      <c r="G516" s="1"/>
      <c r="H516" s="1"/>
      <c r="I516" s="1"/>
      <c r="J516" s="1"/>
      <c r="K516" s="1"/>
      <c r="L516" s="1"/>
      <c r="M516" s="1"/>
      <c r="N516" s="1"/>
    </row>
    <row r="517" ht="15.75" customHeight="1">
      <c r="A517" s="1"/>
      <c r="B517" s="1"/>
      <c r="C517" s="1"/>
      <c r="D517" s="1"/>
      <c r="E517" s="1"/>
      <c r="F517" s="1"/>
      <c r="G517" s="1"/>
      <c r="H517" s="1"/>
      <c r="I517" s="1"/>
      <c r="J517" s="1"/>
      <c r="K517" s="1"/>
      <c r="L517" s="1"/>
      <c r="M517" s="1"/>
      <c r="N517" s="1"/>
    </row>
    <row r="518" ht="15.75" customHeight="1">
      <c r="A518" s="1"/>
      <c r="B518" s="1"/>
      <c r="C518" s="1"/>
      <c r="D518" s="1"/>
      <c r="E518" s="1"/>
      <c r="F518" s="1"/>
      <c r="G518" s="1"/>
      <c r="H518" s="1"/>
      <c r="I518" s="1"/>
      <c r="J518" s="1"/>
      <c r="K518" s="1"/>
      <c r="L518" s="1"/>
      <c r="M518" s="1"/>
      <c r="N518" s="1"/>
    </row>
    <row r="519" ht="15.75" customHeight="1">
      <c r="A519" s="1"/>
      <c r="B519" s="1"/>
      <c r="C519" s="1"/>
      <c r="D519" s="1"/>
      <c r="E519" s="1"/>
      <c r="F519" s="1"/>
      <c r="G519" s="1"/>
      <c r="H519" s="1"/>
      <c r="I519" s="1"/>
      <c r="J519" s="1"/>
      <c r="K519" s="1"/>
      <c r="L519" s="1"/>
      <c r="M519" s="1"/>
      <c r="N519" s="1"/>
    </row>
    <row r="520" ht="15.75" customHeight="1">
      <c r="A520" s="1"/>
      <c r="B520" s="1"/>
      <c r="C520" s="1"/>
      <c r="D520" s="1"/>
      <c r="E520" s="1"/>
      <c r="F520" s="1"/>
      <c r="G520" s="1"/>
      <c r="H520" s="1"/>
      <c r="I520" s="1"/>
      <c r="J520" s="1"/>
      <c r="K520" s="1"/>
      <c r="L520" s="1"/>
      <c r="M520" s="1"/>
      <c r="N520" s="1"/>
    </row>
    <row r="521" ht="15.75" customHeight="1">
      <c r="A521" s="1"/>
      <c r="B521" s="1"/>
      <c r="C521" s="1"/>
      <c r="D521" s="1"/>
      <c r="E521" s="1"/>
      <c r="F521" s="1"/>
      <c r="G521" s="1"/>
      <c r="H521" s="1"/>
      <c r="I521" s="1"/>
      <c r="J521" s="1"/>
      <c r="K521" s="1"/>
      <c r="L521" s="1"/>
      <c r="M521" s="1"/>
      <c r="N521" s="1"/>
    </row>
    <row r="522" ht="15.75" customHeight="1">
      <c r="A522" s="1"/>
      <c r="B522" s="1"/>
      <c r="C522" s="1"/>
      <c r="D522" s="1"/>
      <c r="E522" s="1"/>
      <c r="F522" s="1"/>
      <c r="G522" s="1"/>
      <c r="H522" s="1"/>
      <c r="I522" s="1"/>
      <c r="J522" s="1"/>
      <c r="K522" s="1"/>
      <c r="L522" s="1"/>
      <c r="M522" s="1"/>
      <c r="N522" s="1"/>
    </row>
    <row r="523" ht="15.75" customHeight="1">
      <c r="A523" s="1"/>
      <c r="B523" s="1"/>
      <c r="C523" s="1"/>
      <c r="D523" s="1"/>
      <c r="E523" s="1"/>
      <c r="F523" s="1"/>
      <c r="G523" s="1"/>
      <c r="H523" s="1"/>
      <c r="I523" s="1"/>
      <c r="J523" s="1"/>
      <c r="K523" s="1"/>
      <c r="L523" s="1"/>
      <c r="M523" s="1"/>
      <c r="N523" s="1"/>
    </row>
    <row r="524" ht="15.75" customHeight="1">
      <c r="A524" s="1"/>
      <c r="B524" s="1"/>
      <c r="C524" s="1"/>
      <c r="D524" s="1"/>
      <c r="E524" s="1"/>
      <c r="F524" s="1"/>
      <c r="G524" s="1"/>
      <c r="H524" s="1"/>
      <c r="I524" s="1"/>
      <c r="J524" s="1"/>
      <c r="K524" s="1"/>
      <c r="L524" s="1"/>
      <c r="M524" s="1"/>
      <c r="N524" s="1"/>
    </row>
    <row r="525" ht="15.75" customHeight="1">
      <c r="A525" s="1"/>
      <c r="B525" s="1"/>
      <c r="C525" s="1"/>
      <c r="D525" s="1"/>
      <c r="E525" s="1"/>
      <c r="F525" s="1"/>
      <c r="G525" s="1"/>
      <c r="H525" s="1"/>
      <c r="I525" s="1"/>
      <c r="J525" s="1"/>
      <c r="K525" s="1"/>
      <c r="L525" s="1"/>
      <c r="M525" s="1"/>
      <c r="N525" s="1"/>
    </row>
    <row r="526" ht="15.75" customHeight="1">
      <c r="A526" s="1"/>
      <c r="B526" s="1"/>
      <c r="C526" s="1"/>
      <c r="D526" s="1"/>
      <c r="E526" s="1"/>
      <c r="F526" s="1"/>
      <c r="G526" s="1"/>
      <c r="H526" s="1"/>
      <c r="I526" s="1"/>
      <c r="J526" s="1"/>
      <c r="K526" s="1"/>
      <c r="L526" s="1"/>
      <c r="M526" s="1"/>
      <c r="N526" s="1"/>
    </row>
    <row r="527" ht="15.75" customHeight="1">
      <c r="A527" s="1"/>
      <c r="B527" s="1"/>
      <c r="C527" s="1"/>
      <c r="D527" s="1"/>
      <c r="E527" s="1"/>
      <c r="F527" s="1"/>
      <c r="G527" s="1"/>
      <c r="H527" s="1"/>
      <c r="I527" s="1"/>
      <c r="J527" s="1"/>
      <c r="K527" s="1"/>
      <c r="L527" s="1"/>
      <c r="M527" s="1"/>
      <c r="N527" s="1"/>
    </row>
    <row r="528" ht="15.75" customHeight="1">
      <c r="A528" s="1"/>
      <c r="B528" s="1"/>
      <c r="C528" s="1"/>
      <c r="D528" s="1"/>
      <c r="E528" s="1"/>
      <c r="F528" s="1"/>
      <c r="G528" s="1"/>
      <c r="H528" s="1"/>
      <c r="I528" s="1"/>
      <c r="J528" s="1"/>
      <c r="K528" s="1"/>
      <c r="L528" s="1"/>
      <c r="M528" s="1"/>
      <c r="N528" s="1"/>
    </row>
    <row r="529" ht="15.75" customHeight="1">
      <c r="A529" s="1"/>
      <c r="B529" s="1"/>
      <c r="C529" s="1"/>
      <c r="D529" s="1"/>
      <c r="E529" s="1"/>
      <c r="F529" s="1"/>
      <c r="G529" s="1"/>
      <c r="H529" s="1"/>
      <c r="I529" s="1"/>
      <c r="J529" s="1"/>
      <c r="K529" s="1"/>
      <c r="L529" s="1"/>
      <c r="M529" s="1"/>
      <c r="N529" s="1"/>
    </row>
    <row r="530" ht="15.75" customHeight="1">
      <c r="A530" s="1"/>
      <c r="B530" s="1"/>
      <c r="C530" s="1"/>
      <c r="D530" s="1"/>
      <c r="E530" s="1"/>
      <c r="F530" s="1"/>
      <c r="G530" s="1"/>
      <c r="H530" s="1"/>
      <c r="I530" s="1"/>
      <c r="J530" s="1"/>
      <c r="K530" s="1"/>
      <c r="L530" s="1"/>
      <c r="M530" s="1"/>
      <c r="N530" s="1"/>
    </row>
    <row r="531" ht="15.75" customHeight="1">
      <c r="A531" s="1"/>
      <c r="B531" s="1"/>
      <c r="C531" s="1"/>
      <c r="D531" s="1"/>
      <c r="E531" s="1"/>
      <c r="F531" s="1"/>
      <c r="G531" s="1"/>
      <c r="H531" s="1"/>
      <c r="I531" s="1"/>
      <c r="J531" s="1"/>
      <c r="K531" s="1"/>
      <c r="L531" s="1"/>
      <c r="M531" s="1"/>
      <c r="N531" s="1"/>
    </row>
    <row r="532" ht="15.75" customHeight="1">
      <c r="A532" s="1"/>
      <c r="B532" s="1"/>
      <c r="C532" s="1"/>
      <c r="D532" s="1"/>
      <c r="E532" s="1"/>
      <c r="F532" s="1"/>
      <c r="G532" s="1"/>
      <c r="H532" s="1"/>
      <c r="I532" s="1"/>
      <c r="J532" s="1"/>
      <c r="K532" s="1"/>
      <c r="L532" s="1"/>
      <c r="M532" s="1"/>
      <c r="N532" s="1"/>
    </row>
    <row r="533" ht="15.75" customHeight="1">
      <c r="A533" s="1"/>
      <c r="B533" s="1"/>
      <c r="C533" s="1"/>
      <c r="D533" s="1"/>
      <c r="E533" s="1"/>
      <c r="F533" s="1"/>
      <c r="G533" s="1"/>
      <c r="H533" s="1"/>
      <c r="I533" s="1"/>
      <c r="J533" s="1"/>
      <c r="K533" s="1"/>
      <c r="L533" s="1"/>
      <c r="M533" s="1"/>
      <c r="N533" s="1"/>
    </row>
    <row r="534" ht="15.75" customHeight="1">
      <c r="A534" s="1"/>
      <c r="B534" s="1"/>
      <c r="C534" s="1"/>
      <c r="D534" s="1"/>
      <c r="E534" s="1"/>
      <c r="F534" s="1"/>
      <c r="G534" s="1"/>
      <c r="H534" s="1"/>
      <c r="I534" s="1"/>
      <c r="J534" s="1"/>
      <c r="K534" s="1"/>
      <c r="L534" s="1"/>
      <c r="M534" s="1"/>
      <c r="N534" s="1"/>
    </row>
    <row r="535" ht="15.75" customHeight="1">
      <c r="A535" s="1"/>
      <c r="B535" s="1"/>
      <c r="C535" s="1"/>
      <c r="D535" s="1"/>
      <c r="E535" s="1"/>
      <c r="F535" s="1"/>
      <c r="G535" s="1"/>
      <c r="H535" s="1"/>
      <c r="I535" s="1"/>
      <c r="J535" s="1"/>
      <c r="K535" s="1"/>
      <c r="L535" s="1"/>
      <c r="M535" s="1"/>
      <c r="N535" s="1"/>
    </row>
    <row r="536" ht="15.75" customHeight="1">
      <c r="A536" s="1"/>
      <c r="B536" s="1"/>
      <c r="C536" s="1"/>
      <c r="D536" s="1"/>
      <c r="E536" s="1"/>
      <c r="F536" s="1"/>
      <c r="G536" s="1"/>
      <c r="H536" s="1"/>
      <c r="I536" s="1"/>
      <c r="J536" s="1"/>
      <c r="K536" s="1"/>
      <c r="L536" s="1"/>
      <c r="M536" s="1"/>
      <c r="N536" s="1"/>
    </row>
    <row r="537" ht="15.75" customHeight="1">
      <c r="A537" s="1"/>
      <c r="B537" s="1"/>
      <c r="C537" s="1"/>
      <c r="D537" s="1"/>
      <c r="E537" s="1"/>
      <c r="F537" s="1"/>
      <c r="G537" s="1"/>
      <c r="H537" s="1"/>
      <c r="I537" s="1"/>
      <c r="J537" s="1"/>
      <c r="K537" s="1"/>
      <c r="L537" s="1"/>
      <c r="M537" s="1"/>
      <c r="N537" s="1"/>
    </row>
    <row r="538" ht="15.75" customHeight="1">
      <c r="A538" s="1"/>
      <c r="B538" s="1"/>
      <c r="C538" s="1"/>
      <c r="D538" s="1"/>
      <c r="E538" s="1"/>
      <c r="F538" s="1"/>
      <c r="G538" s="1"/>
      <c r="H538" s="1"/>
      <c r="I538" s="1"/>
      <c r="J538" s="1"/>
      <c r="K538" s="1"/>
      <c r="L538" s="1"/>
      <c r="M538" s="1"/>
      <c r="N538" s="1"/>
    </row>
    <row r="539" ht="15.75" customHeight="1">
      <c r="A539" s="1"/>
      <c r="B539" s="1"/>
      <c r="C539" s="1"/>
      <c r="D539" s="1"/>
      <c r="E539" s="1"/>
      <c r="F539" s="1"/>
      <c r="G539" s="1"/>
      <c r="H539" s="1"/>
      <c r="I539" s="1"/>
      <c r="J539" s="1"/>
      <c r="K539" s="1"/>
      <c r="L539" s="1"/>
      <c r="M539" s="1"/>
      <c r="N539" s="1"/>
    </row>
    <row r="540" ht="15.75" customHeight="1">
      <c r="A540" s="1"/>
      <c r="B540" s="1"/>
      <c r="C540" s="1"/>
      <c r="D540" s="1"/>
      <c r="E540" s="1"/>
      <c r="F540" s="1"/>
      <c r="G540" s="1"/>
      <c r="H540" s="1"/>
      <c r="I540" s="1"/>
      <c r="J540" s="1"/>
      <c r="K540" s="1"/>
      <c r="L540" s="1"/>
      <c r="M540" s="1"/>
      <c r="N540" s="1"/>
    </row>
    <row r="541" ht="15.75" customHeight="1">
      <c r="A541" s="1"/>
      <c r="B541" s="1"/>
      <c r="C541" s="1"/>
      <c r="D541" s="1"/>
      <c r="E541" s="1"/>
      <c r="F541" s="1"/>
      <c r="G541" s="1"/>
      <c r="H541" s="1"/>
      <c r="I541" s="1"/>
      <c r="J541" s="1"/>
      <c r="K541" s="1"/>
      <c r="L541" s="1"/>
      <c r="M541" s="1"/>
      <c r="N541" s="1"/>
    </row>
    <row r="542" ht="15.75" customHeight="1">
      <c r="A542" s="1"/>
      <c r="B542" s="1"/>
      <c r="C542" s="1"/>
      <c r="D542" s="1"/>
      <c r="E542" s="1"/>
      <c r="F542" s="1"/>
      <c r="G542" s="1"/>
      <c r="H542" s="1"/>
      <c r="I542" s="1"/>
      <c r="J542" s="1"/>
      <c r="K542" s="1"/>
      <c r="L542" s="1"/>
      <c r="M542" s="1"/>
      <c r="N542" s="1"/>
    </row>
    <row r="543" ht="15.75" customHeight="1">
      <c r="A543" s="1"/>
      <c r="B543" s="1"/>
      <c r="C543" s="1"/>
      <c r="D543" s="1"/>
      <c r="E543" s="1"/>
      <c r="F543" s="1"/>
      <c r="G543" s="1"/>
      <c r="H543" s="1"/>
      <c r="I543" s="1"/>
      <c r="J543" s="1"/>
      <c r="K543" s="1"/>
      <c r="L543" s="1"/>
      <c r="M543" s="1"/>
      <c r="N543" s="1"/>
    </row>
    <row r="544" ht="15.75" customHeight="1">
      <c r="A544" s="1"/>
      <c r="B544" s="1"/>
      <c r="C544" s="1"/>
      <c r="D544" s="1"/>
      <c r="E544" s="1"/>
      <c r="F544" s="1"/>
      <c r="G544" s="1"/>
      <c r="H544" s="1"/>
      <c r="I544" s="1"/>
      <c r="J544" s="1"/>
      <c r="K544" s="1"/>
      <c r="L544" s="1"/>
      <c r="M544" s="1"/>
      <c r="N544" s="1"/>
    </row>
    <row r="545" ht="15.75" customHeight="1">
      <c r="A545" s="1"/>
      <c r="B545" s="1"/>
      <c r="C545" s="1"/>
      <c r="D545" s="1"/>
      <c r="E545" s="1"/>
      <c r="F545" s="1"/>
      <c r="G545" s="1"/>
      <c r="H545" s="1"/>
      <c r="I545" s="1"/>
      <c r="J545" s="1"/>
      <c r="K545" s="1"/>
      <c r="L545" s="1"/>
      <c r="M545" s="1"/>
      <c r="N545" s="1"/>
    </row>
    <row r="546" ht="15.75" customHeight="1">
      <c r="A546" s="1"/>
      <c r="B546" s="1"/>
      <c r="C546" s="1"/>
      <c r="D546" s="1"/>
      <c r="E546" s="1"/>
      <c r="F546" s="1"/>
      <c r="G546" s="1"/>
      <c r="H546" s="1"/>
      <c r="I546" s="1"/>
      <c r="J546" s="1"/>
      <c r="K546" s="1"/>
      <c r="L546" s="1"/>
      <c r="M546" s="1"/>
      <c r="N546" s="1"/>
    </row>
    <row r="547" ht="15.75" customHeight="1">
      <c r="A547" s="1"/>
      <c r="B547" s="1"/>
      <c r="C547" s="1"/>
      <c r="D547" s="1"/>
      <c r="E547" s="1"/>
      <c r="F547" s="1"/>
      <c r="G547" s="1"/>
      <c r="H547" s="1"/>
      <c r="I547" s="1"/>
      <c r="J547" s="1"/>
      <c r="K547" s="1"/>
      <c r="L547" s="1"/>
      <c r="M547" s="1"/>
      <c r="N547" s="1"/>
    </row>
    <row r="548" ht="15.75" customHeight="1">
      <c r="A548" s="1"/>
      <c r="B548" s="1"/>
      <c r="C548" s="1"/>
      <c r="D548" s="1"/>
      <c r="E548" s="1"/>
      <c r="F548" s="1"/>
      <c r="G548" s="1"/>
      <c r="H548" s="1"/>
      <c r="I548" s="1"/>
      <c r="J548" s="1"/>
      <c r="K548" s="1"/>
      <c r="L548" s="1"/>
      <c r="M548" s="1"/>
      <c r="N548" s="1"/>
    </row>
    <row r="549" ht="15.75" customHeight="1">
      <c r="A549" s="1"/>
      <c r="B549" s="1"/>
      <c r="C549" s="1"/>
      <c r="D549" s="1"/>
      <c r="E549" s="1"/>
      <c r="F549" s="1"/>
      <c r="G549" s="1"/>
      <c r="H549" s="1"/>
      <c r="I549" s="1"/>
      <c r="J549" s="1"/>
      <c r="K549" s="1"/>
      <c r="L549" s="1"/>
      <c r="M549" s="1"/>
      <c r="N549" s="1"/>
    </row>
    <row r="550" ht="15.75" customHeight="1">
      <c r="A550" s="1"/>
      <c r="B550" s="1"/>
      <c r="C550" s="1"/>
      <c r="D550" s="1"/>
      <c r="E550" s="1"/>
      <c r="F550" s="1"/>
      <c r="G550" s="1"/>
      <c r="H550" s="1"/>
      <c r="I550" s="1"/>
      <c r="J550" s="1"/>
      <c r="K550" s="1"/>
      <c r="L550" s="1"/>
      <c r="M550" s="1"/>
      <c r="N550" s="1"/>
    </row>
    <row r="551" ht="15.75" customHeight="1">
      <c r="A551" s="1"/>
      <c r="B551" s="1"/>
      <c r="C551" s="1"/>
      <c r="D551" s="1"/>
      <c r="E551" s="1"/>
      <c r="F551" s="1"/>
      <c r="G551" s="1"/>
      <c r="H551" s="1"/>
      <c r="I551" s="1"/>
      <c r="J551" s="1"/>
      <c r="K551" s="1"/>
      <c r="L551" s="1"/>
      <c r="M551" s="1"/>
      <c r="N551" s="1"/>
    </row>
    <row r="552" ht="15.75" customHeight="1">
      <c r="A552" s="1"/>
      <c r="B552" s="1"/>
      <c r="C552" s="1"/>
      <c r="D552" s="1"/>
      <c r="E552" s="1"/>
      <c r="F552" s="1"/>
      <c r="G552" s="1"/>
      <c r="H552" s="1"/>
      <c r="I552" s="1"/>
      <c r="J552" s="1"/>
      <c r="K552" s="1"/>
      <c r="L552" s="1"/>
      <c r="M552" s="1"/>
      <c r="N552" s="1"/>
    </row>
    <row r="553" ht="15.75" customHeight="1">
      <c r="A553" s="1"/>
      <c r="B553" s="1"/>
      <c r="C553" s="1"/>
      <c r="D553" s="1"/>
      <c r="E553" s="1"/>
      <c r="F553" s="1"/>
      <c r="G553" s="1"/>
      <c r="H553" s="1"/>
      <c r="I553" s="1"/>
      <c r="J553" s="1"/>
      <c r="K553" s="1"/>
      <c r="L553" s="1"/>
      <c r="M553" s="1"/>
      <c r="N553" s="1"/>
    </row>
    <row r="554" ht="15.75" customHeight="1">
      <c r="A554" s="1"/>
      <c r="B554" s="1"/>
      <c r="C554" s="1"/>
      <c r="D554" s="1"/>
      <c r="E554" s="1"/>
      <c r="F554" s="1"/>
      <c r="G554" s="1"/>
      <c r="H554" s="1"/>
      <c r="I554" s="1"/>
      <c r="J554" s="1"/>
      <c r="K554" s="1"/>
      <c r="L554" s="1"/>
      <c r="M554" s="1"/>
      <c r="N554" s="1"/>
    </row>
    <row r="555" ht="15.75" customHeight="1">
      <c r="A555" s="1"/>
      <c r="B555" s="1"/>
      <c r="C555" s="1"/>
      <c r="D555" s="1"/>
      <c r="E555" s="1"/>
      <c r="F555" s="1"/>
      <c r="G555" s="1"/>
      <c r="H555" s="1"/>
      <c r="I555" s="1"/>
      <c r="J555" s="1"/>
      <c r="K555" s="1"/>
      <c r="L555" s="1"/>
      <c r="M555" s="1"/>
      <c r="N555" s="1"/>
    </row>
    <row r="556" ht="15.75" customHeight="1">
      <c r="A556" s="1"/>
      <c r="B556" s="1"/>
      <c r="C556" s="1"/>
      <c r="D556" s="1"/>
      <c r="E556" s="1"/>
      <c r="F556" s="1"/>
      <c r="G556" s="1"/>
      <c r="H556" s="1"/>
      <c r="I556" s="1"/>
      <c r="J556" s="1"/>
      <c r="K556" s="1"/>
      <c r="L556" s="1"/>
      <c r="M556" s="1"/>
      <c r="N556" s="1"/>
    </row>
    <row r="557" ht="15.75" customHeight="1">
      <c r="A557" s="1"/>
      <c r="B557" s="1"/>
      <c r="C557" s="1"/>
      <c r="D557" s="1"/>
      <c r="E557" s="1"/>
      <c r="F557" s="1"/>
      <c r="G557" s="1"/>
      <c r="H557" s="1"/>
      <c r="I557" s="1"/>
      <c r="J557" s="1"/>
      <c r="K557" s="1"/>
      <c r="L557" s="1"/>
      <c r="M557" s="1"/>
      <c r="N557" s="1"/>
    </row>
    <row r="558" ht="15.75" customHeight="1">
      <c r="A558" s="1"/>
      <c r="B558" s="1"/>
      <c r="C558" s="1"/>
      <c r="D558" s="1"/>
      <c r="E558" s="1"/>
      <c r="F558" s="1"/>
      <c r="G558" s="1"/>
      <c r="H558" s="1"/>
      <c r="I558" s="1"/>
      <c r="J558" s="1"/>
      <c r="K558" s="1"/>
      <c r="L558" s="1"/>
      <c r="M558" s="1"/>
      <c r="N558" s="1"/>
    </row>
    <row r="559" ht="15.75" customHeight="1">
      <c r="A559" s="1"/>
      <c r="B559" s="1"/>
      <c r="C559" s="1"/>
      <c r="D559" s="1"/>
      <c r="E559" s="1"/>
      <c r="F559" s="1"/>
      <c r="G559" s="1"/>
      <c r="H559" s="1"/>
      <c r="I559" s="1"/>
      <c r="J559" s="1"/>
      <c r="K559" s="1"/>
      <c r="L559" s="1"/>
      <c r="M559" s="1"/>
      <c r="N559" s="1"/>
    </row>
    <row r="560" ht="15.75" customHeight="1">
      <c r="A560" s="1"/>
      <c r="B560" s="1"/>
      <c r="C560" s="1"/>
      <c r="D560" s="1"/>
      <c r="E560" s="1"/>
      <c r="F560" s="1"/>
      <c r="G560" s="1"/>
      <c r="H560" s="1"/>
      <c r="I560" s="1"/>
      <c r="J560" s="1"/>
      <c r="K560" s="1"/>
      <c r="L560" s="1"/>
      <c r="M560" s="1"/>
      <c r="N560" s="1"/>
    </row>
    <row r="561" ht="15.75" customHeight="1">
      <c r="A561" s="1"/>
      <c r="B561" s="1"/>
      <c r="C561" s="1"/>
      <c r="D561" s="1"/>
      <c r="E561" s="1"/>
      <c r="F561" s="1"/>
      <c r="G561" s="1"/>
      <c r="H561" s="1"/>
      <c r="I561" s="1"/>
      <c r="J561" s="1"/>
      <c r="K561" s="1"/>
      <c r="L561" s="1"/>
      <c r="M561" s="1"/>
      <c r="N561" s="1"/>
    </row>
    <row r="562" ht="15.75" customHeight="1">
      <c r="A562" s="1"/>
      <c r="B562" s="1"/>
      <c r="C562" s="1"/>
      <c r="D562" s="1"/>
      <c r="E562" s="1"/>
      <c r="F562" s="1"/>
      <c r="G562" s="1"/>
      <c r="H562" s="1"/>
      <c r="I562" s="1"/>
      <c r="J562" s="1"/>
      <c r="K562" s="1"/>
      <c r="L562" s="1"/>
      <c r="M562" s="1"/>
      <c r="N562" s="1"/>
    </row>
    <row r="563" ht="15.75" customHeight="1">
      <c r="A563" s="1"/>
      <c r="B563" s="1"/>
      <c r="C563" s="1"/>
      <c r="D563" s="1"/>
      <c r="E563" s="1"/>
      <c r="F563" s="1"/>
      <c r="G563" s="1"/>
      <c r="H563" s="1"/>
      <c r="I563" s="1"/>
      <c r="J563" s="1"/>
      <c r="K563" s="1"/>
      <c r="L563" s="1"/>
      <c r="M563" s="1"/>
      <c r="N563" s="1"/>
    </row>
    <row r="564" ht="15.75" customHeight="1">
      <c r="A564" s="1"/>
      <c r="B564" s="1"/>
      <c r="C564" s="1"/>
      <c r="D564" s="1"/>
      <c r="E564" s="1"/>
      <c r="F564" s="1"/>
      <c r="G564" s="1"/>
      <c r="H564" s="1"/>
      <c r="I564" s="1"/>
      <c r="J564" s="1"/>
      <c r="K564" s="1"/>
      <c r="L564" s="1"/>
      <c r="M564" s="1"/>
      <c r="N564" s="1"/>
    </row>
    <row r="565" ht="15.75" customHeight="1">
      <c r="A565" s="1"/>
      <c r="B565" s="1"/>
      <c r="C565" s="1"/>
      <c r="D565" s="1"/>
      <c r="E565" s="1"/>
      <c r="F565" s="1"/>
      <c r="G565" s="1"/>
      <c r="H565" s="1"/>
      <c r="I565" s="1"/>
      <c r="J565" s="1"/>
      <c r="K565" s="1"/>
      <c r="L565" s="1"/>
      <c r="M565" s="1"/>
      <c r="N565" s="1"/>
    </row>
    <row r="566" ht="15.75" customHeight="1">
      <c r="A566" s="1"/>
      <c r="B566" s="1"/>
      <c r="C566" s="1"/>
      <c r="D566" s="1"/>
      <c r="E566" s="1"/>
      <c r="F566" s="1"/>
      <c r="G566" s="1"/>
      <c r="H566" s="1"/>
      <c r="I566" s="1"/>
      <c r="J566" s="1"/>
      <c r="K566" s="1"/>
      <c r="L566" s="1"/>
      <c r="M566" s="1"/>
      <c r="N566" s="1"/>
    </row>
    <row r="567" ht="15.75" customHeight="1">
      <c r="A567" s="1"/>
      <c r="B567" s="1"/>
      <c r="C567" s="1"/>
      <c r="D567" s="1"/>
      <c r="E567" s="1"/>
      <c r="F567" s="1"/>
      <c r="G567" s="1"/>
      <c r="H567" s="1"/>
      <c r="I567" s="1"/>
      <c r="J567" s="1"/>
      <c r="K567" s="1"/>
      <c r="L567" s="1"/>
      <c r="M567" s="1"/>
      <c r="N567" s="1"/>
    </row>
    <row r="568" ht="15.75" customHeight="1">
      <c r="A568" s="1"/>
      <c r="B568" s="1"/>
      <c r="C568" s="1"/>
      <c r="D568" s="1"/>
      <c r="E568" s="1"/>
      <c r="F568" s="1"/>
      <c r="G568" s="1"/>
      <c r="H568" s="1"/>
      <c r="I568" s="1"/>
      <c r="J568" s="1"/>
      <c r="K568" s="1"/>
      <c r="L568" s="1"/>
      <c r="M568" s="1"/>
      <c r="N568" s="1"/>
    </row>
    <row r="569" ht="15.75" customHeight="1">
      <c r="A569" s="1"/>
      <c r="B569" s="1"/>
      <c r="C569" s="1"/>
      <c r="D569" s="1"/>
      <c r="E569" s="1"/>
      <c r="F569" s="1"/>
      <c r="G569" s="1"/>
      <c r="H569" s="1"/>
      <c r="I569" s="1"/>
      <c r="J569" s="1"/>
      <c r="K569" s="1"/>
      <c r="L569" s="1"/>
      <c r="M569" s="1"/>
      <c r="N569" s="1"/>
    </row>
    <row r="570" ht="15.75" customHeight="1">
      <c r="A570" s="1"/>
      <c r="B570" s="1"/>
      <c r="C570" s="1"/>
      <c r="D570" s="1"/>
      <c r="E570" s="1"/>
      <c r="F570" s="1"/>
      <c r="G570" s="1"/>
      <c r="H570" s="1"/>
      <c r="I570" s="1"/>
      <c r="J570" s="1"/>
      <c r="K570" s="1"/>
      <c r="L570" s="1"/>
      <c r="M570" s="1"/>
      <c r="N570" s="1"/>
    </row>
    <row r="571" ht="15.75" customHeight="1">
      <c r="A571" s="1"/>
      <c r="B571" s="1"/>
      <c r="C571" s="1"/>
      <c r="D571" s="1"/>
      <c r="E571" s="1"/>
      <c r="F571" s="1"/>
      <c r="G571" s="1"/>
      <c r="H571" s="1"/>
      <c r="I571" s="1"/>
      <c r="J571" s="1"/>
      <c r="K571" s="1"/>
      <c r="L571" s="1"/>
      <c r="M571" s="1"/>
      <c r="N571" s="1"/>
    </row>
    <row r="572" ht="15.75" customHeight="1">
      <c r="A572" s="1"/>
      <c r="B572" s="1"/>
      <c r="C572" s="1"/>
      <c r="D572" s="1"/>
      <c r="E572" s="1"/>
      <c r="F572" s="1"/>
      <c r="G572" s="1"/>
      <c r="H572" s="1"/>
      <c r="I572" s="1"/>
      <c r="J572" s="1"/>
      <c r="K572" s="1"/>
      <c r="L572" s="1"/>
      <c r="M572" s="1"/>
      <c r="N572" s="1"/>
    </row>
    <row r="573" ht="15.75" customHeight="1">
      <c r="A573" s="1"/>
      <c r="B573" s="1"/>
      <c r="C573" s="1"/>
      <c r="D573" s="1"/>
      <c r="E573" s="1"/>
      <c r="F573" s="1"/>
      <c r="G573" s="1"/>
      <c r="H573" s="1"/>
      <c r="I573" s="1"/>
      <c r="J573" s="1"/>
      <c r="K573" s="1"/>
      <c r="L573" s="1"/>
      <c r="M573" s="1"/>
      <c r="N573" s="1"/>
    </row>
    <row r="574" ht="15.75" customHeight="1">
      <c r="A574" s="1"/>
      <c r="B574" s="1"/>
      <c r="C574" s="1"/>
      <c r="D574" s="1"/>
      <c r="E574" s="1"/>
      <c r="F574" s="1"/>
      <c r="G574" s="1"/>
      <c r="H574" s="1"/>
      <c r="I574" s="1"/>
      <c r="J574" s="1"/>
      <c r="K574" s="1"/>
      <c r="L574" s="1"/>
      <c r="M574" s="1"/>
      <c r="N574" s="1"/>
    </row>
    <row r="575" ht="15.75" customHeight="1">
      <c r="A575" s="1"/>
      <c r="B575" s="1"/>
      <c r="C575" s="1"/>
      <c r="D575" s="1"/>
      <c r="E575" s="1"/>
      <c r="F575" s="1"/>
      <c r="G575" s="1"/>
      <c r="H575" s="1"/>
      <c r="I575" s="1"/>
      <c r="J575" s="1"/>
      <c r="K575" s="1"/>
      <c r="L575" s="1"/>
      <c r="M575" s="1"/>
      <c r="N575" s="1"/>
    </row>
    <row r="576" ht="15.75" customHeight="1">
      <c r="A576" s="1"/>
      <c r="B576" s="1"/>
      <c r="C576" s="1"/>
      <c r="D576" s="1"/>
      <c r="E576" s="1"/>
      <c r="F576" s="1"/>
      <c r="G576" s="1"/>
      <c r="H576" s="1"/>
      <c r="I576" s="1"/>
      <c r="J576" s="1"/>
      <c r="K576" s="1"/>
      <c r="L576" s="1"/>
      <c r="M576" s="1"/>
      <c r="N576" s="1"/>
    </row>
    <row r="577" ht="15.75" customHeight="1">
      <c r="A577" s="1"/>
      <c r="B577" s="1"/>
      <c r="C577" s="1"/>
      <c r="D577" s="1"/>
      <c r="E577" s="1"/>
      <c r="F577" s="1"/>
      <c r="G577" s="1"/>
      <c r="H577" s="1"/>
      <c r="I577" s="1"/>
      <c r="J577" s="1"/>
      <c r="K577" s="1"/>
      <c r="L577" s="1"/>
      <c r="M577" s="1"/>
      <c r="N577" s="1"/>
    </row>
    <row r="578" ht="15.75" customHeight="1">
      <c r="A578" s="1"/>
      <c r="B578" s="1"/>
      <c r="C578" s="1"/>
      <c r="D578" s="1"/>
      <c r="E578" s="1"/>
      <c r="F578" s="1"/>
      <c r="G578" s="1"/>
      <c r="H578" s="1"/>
      <c r="I578" s="1"/>
      <c r="J578" s="1"/>
      <c r="K578" s="1"/>
      <c r="L578" s="1"/>
      <c r="M578" s="1"/>
      <c r="N578" s="1"/>
    </row>
    <row r="579" ht="15.75" customHeight="1">
      <c r="A579" s="1"/>
      <c r="B579" s="1"/>
      <c r="C579" s="1"/>
      <c r="D579" s="1"/>
      <c r="E579" s="1"/>
      <c r="F579" s="1"/>
      <c r="G579" s="1"/>
      <c r="H579" s="1"/>
      <c r="I579" s="1"/>
      <c r="J579" s="1"/>
      <c r="K579" s="1"/>
      <c r="L579" s="1"/>
      <c r="M579" s="1"/>
      <c r="N579" s="1"/>
    </row>
    <row r="580" ht="15.75" customHeight="1">
      <c r="A580" s="1"/>
      <c r="B580" s="1"/>
      <c r="C580" s="1"/>
      <c r="D580" s="1"/>
      <c r="E580" s="1"/>
      <c r="F580" s="1"/>
      <c r="G580" s="1"/>
      <c r="H580" s="1"/>
      <c r="I580" s="1"/>
      <c r="J580" s="1"/>
      <c r="K580" s="1"/>
      <c r="L580" s="1"/>
      <c r="M580" s="1"/>
      <c r="N580" s="1"/>
    </row>
    <row r="581" ht="15.75" customHeight="1">
      <c r="A581" s="1"/>
      <c r="B581" s="1"/>
      <c r="C581" s="1"/>
      <c r="D581" s="1"/>
      <c r="E581" s="1"/>
      <c r="F581" s="1"/>
      <c r="G581" s="1"/>
      <c r="H581" s="1"/>
      <c r="I581" s="1"/>
      <c r="J581" s="1"/>
      <c r="K581" s="1"/>
      <c r="L581" s="1"/>
      <c r="M581" s="1"/>
      <c r="N581" s="1"/>
    </row>
    <row r="582" ht="15.75" customHeight="1">
      <c r="A582" s="1"/>
      <c r="B582" s="1"/>
      <c r="C582" s="1"/>
      <c r="D582" s="1"/>
      <c r="E582" s="1"/>
      <c r="F582" s="1"/>
      <c r="G582" s="1"/>
      <c r="H582" s="1"/>
      <c r="I582" s="1"/>
      <c r="J582" s="1"/>
      <c r="K582" s="1"/>
      <c r="L582" s="1"/>
      <c r="M582" s="1"/>
      <c r="N582" s="1"/>
    </row>
    <row r="583" ht="15.75" customHeight="1">
      <c r="A583" s="1"/>
      <c r="B583" s="1"/>
      <c r="C583" s="1"/>
      <c r="D583" s="1"/>
      <c r="E583" s="1"/>
      <c r="F583" s="1"/>
      <c r="G583" s="1"/>
      <c r="H583" s="1"/>
      <c r="I583" s="1"/>
      <c r="J583" s="1"/>
      <c r="K583" s="1"/>
      <c r="L583" s="1"/>
      <c r="M583" s="1"/>
      <c r="N583" s="1"/>
    </row>
    <row r="584" ht="15.75" customHeight="1">
      <c r="A584" s="1"/>
      <c r="B584" s="1"/>
      <c r="C584" s="1"/>
      <c r="D584" s="1"/>
      <c r="E584" s="1"/>
      <c r="F584" s="1"/>
      <c r="G584" s="1"/>
      <c r="H584" s="1"/>
      <c r="I584" s="1"/>
      <c r="J584" s="1"/>
      <c r="K584" s="1"/>
      <c r="L584" s="1"/>
      <c r="M584" s="1"/>
      <c r="N584" s="1"/>
    </row>
    <row r="585" ht="15.75" customHeight="1">
      <c r="A585" s="1"/>
      <c r="B585" s="1"/>
      <c r="C585" s="1"/>
      <c r="D585" s="1"/>
      <c r="E585" s="1"/>
      <c r="F585" s="1"/>
      <c r="G585" s="1"/>
      <c r="H585" s="1"/>
      <c r="I585" s="1"/>
      <c r="J585" s="1"/>
      <c r="K585" s="1"/>
      <c r="L585" s="1"/>
      <c r="M585" s="1"/>
      <c r="N585" s="1"/>
    </row>
    <row r="586" ht="15.75" customHeight="1">
      <c r="A586" s="1"/>
      <c r="B586" s="1"/>
      <c r="C586" s="1"/>
      <c r="D586" s="1"/>
      <c r="E586" s="1"/>
      <c r="F586" s="1"/>
      <c r="G586" s="1"/>
      <c r="H586" s="1"/>
      <c r="I586" s="1"/>
      <c r="J586" s="1"/>
      <c r="K586" s="1"/>
      <c r="L586" s="1"/>
      <c r="M586" s="1"/>
      <c r="N586" s="1"/>
    </row>
    <row r="587" ht="15.75" customHeight="1">
      <c r="A587" s="1"/>
      <c r="B587" s="1"/>
      <c r="C587" s="1"/>
      <c r="D587" s="1"/>
      <c r="E587" s="1"/>
      <c r="F587" s="1"/>
      <c r="G587" s="1"/>
      <c r="H587" s="1"/>
      <c r="I587" s="1"/>
      <c r="J587" s="1"/>
      <c r="K587" s="1"/>
      <c r="L587" s="1"/>
      <c r="M587" s="1"/>
      <c r="N587" s="1"/>
    </row>
    <row r="588" ht="15.75" customHeight="1">
      <c r="A588" s="1"/>
      <c r="B588" s="1"/>
      <c r="C588" s="1"/>
      <c r="D588" s="1"/>
      <c r="E588" s="1"/>
      <c r="F588" s="1"/>
      <c r="G588" s="1"/>
      <c r="H588" s="1"/>
      <c r="I588" s="1"/>
      <c r="J588" s="1"/>
      <c r="K588" s="1"/>
      <c r="L588" s="1"/>
      <c r="M588" s="1"/>
      <c r="N588" s="1"/>
    </row>
    <row r="589" ht="15.75" customHeight="1">
      <c r="A589" s="1"/>
      <c r="B589" s="1"/>
      <c r="C589" s="1"/>
      <c r="D589" s="1"/>
      <c r="E589" s="1"/>
      <c r="F589" s="1"/>
      <c r="G589" s="1"/>
      <c r="H589" s="1"/>
      <c r="I589" s="1"/>
      <c r="J589" s="1"/>
      <c r="K589" s="1"/>
      <c r="L589" s="1"/>
      <c r="M589" s="1"/>
      <c r="N589" s="1"/>
    </row>
    <row r="590" ht="15.75" customHeight="1">
      <c r="A590" s="1"/>
      <c r="B590" s="1"/>
      <c r="C590" s="1"/>
      <c r="D590" s="1"/>
      <c r="E590" s="1"/>
      <c r="F590" s="1"/>
      <c r="G590" s="1"/>
      <c r="H590" s="1"/>
      <c r="I590" s="1"/>
      <c r="J590" s="1"/>
      <c r="K590" s="1"/>
      <c r="L590" s="1"/>
      <c r="M590" s="1"/>
      <c r="N590" s="1"/>
    </row>
    <row r="591" ht="15.75" customHeight="1">
      <c r="A591" s="1"/>
      <c r="B591" s="1"/>
      <c r="C591" s="1"/>
      <c r="D591" s="1"/>
      <c r="E591" s="1"/>
      <c r="F591" s="1"/>
      <c r="G591" s="1"/>
      <c r="H591" s="1"/>
      <c r="I591" s="1"/>
      <c r="J591" s="1"/>
      <c r="K591" s="1"/>
      <c r="L591" s="1"/>
      <c r="M591" s="1"/>
      <c r="N591" s="1"/>
    </row>
    <row r="592" ht="15.75" customHeight="1">
      <c r="A592" s="1"/>
      <c r="B592" s="1"/>
      <c r="C592" s="1"/>
      <c r="D592" s="1"/>
      <c r="E592" s="1"/>
      <c r="F592" s="1"/>
      <c r="G592" s="1"/>
      <c r="H592" s="1"/>
      <c r="I592" s="1"/>
      <c r="J592" s="1"/>
      <c r="K592" s="1"/>
      <c r="L592" s="1"/>
      <c r="M592" s="1"/>
      <c r="N592" s="1"/>
    </row>
    <row r="593" ht="15.75" customHeight="1">
      <c r="A593" s="1"/>
      <c r="B593" s="1"/>
      <c r="C593" s="1"/>
      <c r="D593" s="1"/>
      <c r="E593" s="1"/>
      <c r="F593" s="1"/>
      <c r="G593" s="1"/>
      <c r="H593" s="1"/>
      <c r="I593" s="1"/>
      <c r="J593" s="1"/>
      <c r="K593" s="1"/>
      <c r="L593" s="1"/>
      <c r="M593" s="1"/>
      <c r="N593" s="1"/>
    </row>
    <row r="594" ht="15.75" customHeight="1">
      <c r="A594" s="1"/>
      <c r="B594" s="1"/>
      <c r="C594" s="1"/>
      <c r="D594" s="1"/>
      <c r="E594" s="1"/>
      <c r="F594" s="1"/>
      <c r="G594" s="1"/>
      <c r="H594" s="1"/>
      <c r="I594" s="1"/>
      <c r="J594" s="1"/>
      <c r="K594" s="1"/>
      <c r="L594" s="1"/>
      <c r="M594" s="1"/>
      <c r="N594" s="1"/>
    </row>
    <row r="595" ht="15.75" customHeight="1">
      <c r="A595" s="1"/>
      <c r="B595" s="1"/>
      <c r="C595" s="1"/>
      <c r="D595" s="1"/>
      <c r="E595" s="1"/>
      <c r="F595" s="1"/>
      <c r="G595" s="1"/>
      <c r="H595" s="1"/>
      <c r="I595" s="1"/>
      <c r="J595" s="1"/>
      <c r="K595" s="1"/>
      <c r="L595" s="1"/>
      <c r="M595" s="1"/>
      <c r="N595" s="1"/>
    </row>
    <row r="596" ht="15.75" customHeight="1">
      <c r="A596" s="1"/>
      <c r="B596" s="1"/>
      <c r="C596" s="1"/>
      <c r="D596" s="1"/>
      <c r="E596" s="1"/>
      <c r="F596" s="1"/>
      <c r="G596" s="1"/>
      <c r="H596" s="1"/>
      <c r="I596" s="1"/>
      <c r="J596" s="1"/>
      <c r="K596" s="1"/>
      <c r="L596" s="1"/>
      <c r="M596" s="1"/>
      <c r="N596" s="1"/>
    </row>
    <row r="597" ht="15.75" customHeight="1">
      <c r="A597" s="1"/>
      <c r="B597" s="1"/>
      <c r="C597" s="1"/>
      <c r="D597" s="1"/>
      <c r="E597" s="1"/>
      <c r="F597" s="1"/>
      <c r="G597" s="1"/>
      <c r="H597" s="1"/>
      <c r="I597" s="1"/>
      <c r="J597" s="1"/>
      <c r="K597" s="1"/>
      <c r="L597" s="1"/>
      <c r="M597" s="1"/>
      <c r="N597" s="1"/>
    </row>
    <row r="598" ht="15.75" customHeight="1">
      <c r="A598" s="1"/>
      <c r="B598" s="1"/>
      <c r="C598" s="1"/>
      <c r="D598" s="1"/>
      <c r="E598" s="1"/>
      <c r="F598" s="1"/>
      <c r="G598" s="1"/>
      <c r="H598" s="1"/>
      <c r="I598" s="1"/>
      <c r="J598" s="1"/>
      <c r="K598" s="1"/>
      <c r="L598" s="1"/>
      <c r="M598" s="1"/>
      <c r="N598" s="1"/>
    </row>
    <row r="599" ht="15.75" customHeight="1">
      <c r="A599" s="1"/>
      <c r="B599" s="1"/>
      <c r="C599" s="1"/>
      <c r="D599" s="1"/>
      <c r="E599" s="1"/>
      <c r="F599" s="1"/>
      <c r="G599" s="1"/>
      <c r="H599" s="1"/>
      <c r="I599" s="1"/>
      <c r="J599" s="1"/>
      <c r="K599" s="1"/>
      <c r="L599" s="1"/>
      <c r="M599" s="1"/>
      <c r="N599" s="1"/>
    </row>
    <row r="600" ht="15.75" customHeight="1">
      <c r="A600" s="1"/>
      <c r="B600" s="1"/>
      <c r="C600" s="1"/>
      <c r="D600" s="1"/>
      <c r="E600" s="1"/>
      <c r="F600" s="1"/>
      <c r="G600" s="1"/>
      <c r="H600" s="1"/>
      <c r="I600" s="1"/>
      <c r="J600" s="1"/>
      <c r="K600" s="1"/>
      <c r="L600" s="1"/>
      <c r="M600" s="1"/>
      <c r="N600" s="1"/>
    </row>
    <row r="601" ht="15.75" customHeight="1">
      <c r="A601" s="1"/>
      <c r="B601" s="1"/>
      <c r="C601" s="1"/>
      <c r="D601" s="1"/>
      <c r="E601" s="1"/>
      <c r="F601" s="1"/>
      <c r="G601" s="1"/>
      <c r="H601" s="1"/>
      <c r="I601" s="1"/>
      <c r="J601" s="1"/>
      <c r="K601" s="1"/>
      <c r="L601" s="1"/>
      <c r="M601" s="1"/>
      <c r="N601" s="1"/>
    </row>
    <row r="602" ht="15.75" customHeight="1">
      <c r="A602" s="1"/>
      <c r="B602" s="1"/>
      <c r="C602" s="1"/>
      <c r="D602" s="1"/>
      <c r="E602" s="1"/>
      <c r="F602" s="1"/>
      <c r="G602" s="1"/>
      <c r="H602" s="1"/>
      <c r="I602" s="1"/>
      <c r="J602" s="1"/>
      <c r="K602" s="1"/>
      <c r="L602" s="1"/>
      <c r="M602" s="1"/>
      <c r="N602" s="1"/>
    </row>
    <row r="603" ht="15.75" customHeight="1">
      <c r="A603" s="1"/>
      <c r="B603" s="1"/>
      <c r="C603" s="1"/>
      <c r="D603" s="1"/>
      <c r="E603" s="1"/>
      <c r="F603" s="1"/>
      <c r="G603" s="1"/>
      <c r="H603" s="1"/>
      <c r="I603" s="1"/>
      <c r="J603" s="1"/>
      <c r="K603" s="1"/>
      <c r="L603" s="1"/>
      <c r="M603" s="1"/>
      <c r="N603" s="1"/>
    </row>
    <row r="604" ht="15.75" customHeight="1">
      <c r="A604" s="1"/>
      <c r="B604" s="1"/>
      <c r="C604" s="1"/>
      <c r="D604" s="1"/>
      <c r="E604" s="1"/>
      <c r="F604" s="1"/>
      <c r="G604" s="1"/>
      <c r="H604" s="1"/>
      <c r="I604" s="1"/>
      <c r="J604" s="1"/>
      <c r="K604" s="1"/>
      <c r="L604" s="1"/>
      <c r="M604" s="1"/>
      <c r="N604" s="1"/>
    </row>
    <row r="605" ht="15.75" customHeight="1">
      <c r="A605" s="1"/>
      <c r="B605" s="1"/>
      <c r="C605" s="1"/>
      <c r="D605" s="1"/>
      <c r="E605" s="1"/>
      <c r="F605" s="1"/>
      <c r="G605" s="1"/>
      <c r="H605" s="1"/>
      <c r="I605" s="1"/>
      <c r="J605" s="1"/>
      <c r="K605" s="1"/>
      <c r="L605" s="1"/>
      <c r="M605" s="1"/>
      <c r="N605" s="1"/>
    </row>
    <row r="606" ht="15.75" customHeight="1">
      <c r="A606" s="1"/>
      <c r="B606" s="1"/>
      <c r="C606" s="1"/>
      <c r="D606" s="1"/>
      <c r="E606" s="1"/>
      <c r="F606" s="1"/>
      <c r="G606" s="1"/>
      <c r="H606" s="1"/>
      <c r="I606" s="1"/>
      <c r="J606" s="1"/>
      <c r="K606" s="1"/>
      <c r="L606" s="1"/>
      <c r="M606" s="1"/>
      <c r="N606" s="1"/>
    </row>
    <row r="607" ht="15.75" customHeight="1">
      <c r="A607" s="1"/>
      <c r="B607" s="1"/>
      <c r="C607" s="1"/>
      <c r="D607" s="1"/>
      <c r="E607" s="1"/>
      <c r="F607" s="1"/>
      <c r="G607" s="1"/>
      <c r="H607" s="1"/>
      <c r="I607" s="1"/>
      <c r="J607" s="1"/>
      <c r="K607" s="1"/>
      <c r="L607" s="1"/>
      <c r="M607" s="1"/>
      <c r="N607" s="1"/>
    </row>
    <row r="608" ht="15.75" customHeight="1">
      <c r="A608" s="1"/>
      <c r="B608" s="1"/>
      <c r="C608" s="1"/>
      <c r="D608" s="1"/>
      <c r="E608" s="1"/>
      <c r="F608" s="1"/>
      <c r="G608" s="1"/>
      <c r="H608" s="1"/>
      <c r="I608" s="1"/>
      <c r="J608" s="1"/>
      <c r="K608" s="1"/>
      <c r="L608" s="1"/>
      <c r="M608" s="1"/>
      <c r="N608" s="1"/>
    </row>
    <row r="609" ht="15.75" customHeight="1">
      <c r="A609" s="1"/>
      <c r="B609" s="1"/>
      <c r="C609" s="1"/>
      <c r="D609" s="1"/>
      <c r="E609" s="1"/>
      <c r="F609" s="1"/>
      <c r="G609" s="1"/>
      <c r="H609" s="1"/>
      <c r="I609" s="1"/>
      <c r="J609" s="1"/>
      <c r="K609" s="1"/>
      <c r="L609" s="1"/>
      <c r="M609" s="1"/>
      <c r="N609" s="1"/>
    </row>
    <row r="610" ht="15.75" customHeight="1">
      <c r="A610" s="1"/>
      <c r="B610" s="1"/>
      <c r="C610" s="1"/>
      <c r="D610" s="1"/>
      <c r="E610" s="1"/>
      <c r="F610" s="1"/>
      <c r="G610" s="1"/>
      <c r="H610" s="1"/>
      <c r="I610" s="1"/>
      <c r="J610" s="1"/>
      <c r="K610" s="1"/>
      <c r="L610" s="1"/>
      <c r="M610" s="1"/>
      <c r="N610" s="1"/>
    </row>
    <row r="611" ht="15.75" customHeight="1">
      <c r="A611" s="1"/>
      <c r="B611" s="1"/>
      <c r="C611" s="1"/>
      <c r="D611" s="1"/>
      <c r="E611" s="1"/>
      <c r="F611" s="1"/>
      <c r="G611" s="1"/>
      <c r="H611" s="1"/>
      <c r="I611" s="1"/>
      <c r="J611" s="1"/>
      <c r="K611" s="1"/>
      <c r="L611" s="1"/>
      <c r="M611" s="1"/>
      <c r="N611" s="1"/>
    </row>
    <row r="612" ht="15.75" customHeight="1">
      <c r="A612" s="1"/>
      <c r="B612" s="1"/>
      <c r="C612" s="1"/>
      <c r="D612" s="1"/>
      <c r="E612" s="1"/>
      <c r="F612" s="1"/>
      <c r="G612" s="1"/>
      <c r="H612" s="1"/>
      <c r="I612" s="1"/>
      <c r="J612" s="1"/>
      <c r="K612" s="1"/>
      <c r="L612" s="1"/>
      <c r="M612" s="1"/>
      <c r="N612" s="1"/>
    </row>
    <row r="613" ht="15.75" customHeight="1">
      <c r="A613" s="1"/>
      <c r="B613" s="1"/>
      <c r="C613" s="1"/>
      <c r="D613" s="1"/>
      <c r="E613" s="1"/>
      <c r="F613" s="1"/>
      <c r="G613" s="1"/>
      <c r="H613" s="1"/>
      <c r="I613" s="1"/>
      <c r="J613" s="1"/>
      <c r="K613" s="1"/>
      <c r="L613" s="1"/>
      <c r="M613" s="1"/>
      <c r="N613" s="1"/>
    </row>
    <row r="614" ht="15.75" customHeight="1">
      <c r="A614" s="1"/>
      <c r="B614" s="1"/>
      <c r="C614" s="1"/>
      <c r="D614" s="1"/>
      <c r="E614" s="1"/>
      <c r="F614" s="1"/>
      <c r="G614" s="1"/>
      <c r="H614" s="1"/>
      <c r="I614" s="1"/>
      <c r="J614" s="1"/>
      <c r="K614" s="1"/>
      <c r="L614" s="1"/>
      <c r="M614" s="1"/>
      <c r="N614" s="1"/>
    </row>
    <row r="615" ht="15.75" customHeight="1">
      <c r="A615" s="1"/>
      <c r="B615" s="1"/>
      <c r="C615" s="1"/>
      <c r="D615" s="1"/>
      <c r="E615" s="1"/>
      <c r="F615" s="1"/>
      <c r="G615" s="1"/>
      <c r="H615" s="1"/>
      <c r="I615" s="1"/>
      <c r="J615" s="1"/>
      <c r="K615" s="1"/>
      <c r="L615" s="1"/>
      <c r="M615" s="1"/>
      <c r="N615" s="1"/>
    </row>
    <row r="616" ht="15.75" customHeight="1">
      <c r="A616" s="1"/>
      <c r="B616" s="1"/>
      <c r="C616" s="1"/>
      <c r="D616" s="1"/>
      <c r="E616" s="1"/>
      <c r="F616" s="1"/>
      <c r="G616" s="1"/>
      <c r="H616" s="1"/>
      <c r="I616" s="1"/>
      <c r="J616" s="1"/>
      <c r="K616" s="1"/>
      <c r="L616" s="1"/>
      <c r="M616" s="1"/>
      <c r="N616" s="1"/>
    </row>
    <row r="617" ht="15.75" customHeight="1">
      <c r="A617" s="1"/>
      <c r="B617" s="1"/>
      <c r="C617" s="1"/>
      <c r="D617" s="1"/>
      <c r="E617" s="1"/>
      <c r="F617" s="1"/>
      <c r="G617" s="1"/>
      <c r="H617" s="1"/>
      <c r="I617" s="1"/>
      <c r="J617" s="1"/>
      <c r="K617" s="1"/>
      <c r="L617" s="1"/>
      <c r="M617" s="1"/>
      <c r="N617" s="1"/>
    </row>
    <row r="618" ht="15.75" customHeight="1">
      <c r="A618" s="1"/>
      <c r="B618" s="1"/>
      <c r="C618" s="1"/>
      <c r="D618" s="1"/>
      <c r="E618" s="1"/>
      <c r="F618" s="1"/>
      <c r="G618" s="1"/>
      <c r="H618" s="1"/>
      <c r="I618" s="1"/>
      <c r="J618" s="1"/>
      <c r="K618" s="1"/>
      <c r="L618" s="1"/>
      <c r="M618" s="1"/>
      <c r="N618" s="1"/>
    </row>
    <row r="619" ht="15.75" customHeight="1">
      <c r="A619" s="1"/>
      <c r="B619" s="1"/>
      <c r="C619" s="1"/>
      <c r="D619" s="1"/>
      <c r="E619" s="1"/>
      <c r="F619" s="1"/>
      <c r="G619" s="1"/>
      <c r="H619" s="1"/>
      <c r="I619" s="1"/>
      <c r="J619" s="1"/>
      <c r="K619" s="1"/>
      <c r="L619" s="1"/>
      <c r="M619" s="1"/>
      <c r="N619" s="1"/>
    </row>
    <row r="620" ht="15.75" customHeight="1">
      <c r="A620" s="1"/>
      <c r="B620" s="1"/>
      <c r="C620" s="1"/>
      <c r="D620" s="1"/>
      <c r="E620" s="1"/>
      <c r="F620" s="1"/>
      <c r="G620" s="1"/>
      <c r="H620" s="1"/>
      <c r="I620" s="1"/>
      <c r="J620" s="1"/>
      <c r="K620" s="1"/>
      <c r="L620" s="1"/>
      <c r="M620" s="1"/>
      <c r="N620" s="1"/>
    </row>
    <row r="621" ht="15.75" customHeight="1">
      <c r="A621" s="1"/>
      <c r="B621" s="1"/>
      <c r="C621" s="1"/>
      <c r="D621" s="1"/>
      <c r="E621" s="1"/>
      <c r="F621" s="1"/>
      <c r="G621" s="1"/>
      <c r="H621" s="1"/>
      <c r="I621" s="1"/>
      <c r="J621" s="1"/>
      <c r="K621" s="1"/>
      <c r="L621" s="1"/>
      <c r="M621" s="1"/>
      <c r="N621" s="1"/>
    </row>
    <row r="622" ht="15.75" customHeight="1">
      <c r="A622" s="1"/>
      <c r="B622" s="1"/>
      <c r="C622" s="1"/>
      <c r="D622" s="1"/>
      <c r="E622" s="1"/>
      <c r="F622" s="1"/>
      <c r="G622" s="1"/>
      <c r="H622" s="1"/>
      <c r="I622" s="1"/>
      <c r="J622" s="1"/>
      <c r="K622" s="1"/>
      <c r="L622" s="1"/>
      <c r="M622" s="1"/>
      <c r="N622" s="1"/>
    </row>
    <row r="623" ht="15.75" customHeight="1">
      <c r="A623" s="1"/>
      <c r="B623" s="1"/>
      <c r="C623" s="1"/>
      <c r="D623" s="1"/>
      <c r="E623" s="1"/>
      <c r="F623" s="1"/>
      <c r="G623" s="1"/>
      <c r="H623" s="1"/>
      <c r="I623" s="1"/>
      <c r="J623" s="1"/>
      <c r="K623" s="1"/>
      <c r="L623" s="1"/>
      <c r="M623" s="1"/>
      <c r="N623" s="1"/>
    </row>
    <row r="624" ht="15.75" customHeight="1">
      <c r="A624" s="1"/>
      <c r="B624" s="1"/>
      <c r="C624" s="1"/>
      <c r="D624" s="1"/>
      <c r="E624" s="1"/>
      <c r="F624" s="1"/>
      <c r="G624" s="1"/>
      <c r="H624" s="1"/>
      <c r="I624" s="1"/>
      <c r="J624" s="1"/>
      <c r="K624" s="1"/>
      <c r="L624" s="1"/>
      <c r="M624" s="1"/>
      <c r="N624" s="1"/>
    </row>
    <row r="625" ht="15.75" customHeight="1">
      <c r="A625" s="1"/>
      <c r="B625" s="1"/>
      <c r="C625" s="1"/>
      <c r="D625" s="1"/>
      <c r="E625" s="1"/>
      <c r="F625" s="1"/>
      <c r="G625" s="1"/>
      <c r="H625" s="1"/>
      <c r="I625" s="1"/>
      <c r="J625" s="1"/>
      <c r="K625" s="1"/>
      <c r="L625" s="1"/>
      <c r="M625" s="1"/>
      <c r="N625" s="1"/>
    </row>
    <row r="626" ht="15.75" customHeight="1">
      <c r="A626" s="1"/>
      <c r="B626" s="1"/>
      <c r="C626" s="1"/>
      <c r="D626" s="1"/>
      <c r="E626" s="1"/>
      <c r="F626" s="1"/>
      <c r="G626" s="1"/>
      <c r="H626" s="1"/>
      <c r="I626" s="1"/>
      <c r="J626" s="1"/>
      <c r="K626" s="1"/>
      <c r="L626" s="1"/>
      <c r="M626" s="1"/>
      <c r="N626" s="1"/>
    </row>
    <row r="627" ht="15.75" customHeight="1">
      <c r="A627" s="1"/>
      <c r="B627" s="1"/>
      <c r="C627" s="1"/>
      <c r="D627" s="1"/>
      <c r="E627" s="1"/>
      <c r="F627" s="1"/>
      <c r="G627" s="1"/>
      <c r="H627" s="1"/>
      <c r="I627" s="1"/>
      <c r="J627" s="1"/>
      <c r="K627" s="1"/>
      <c r="L627" s="1"/>
      <c r="M627" s="1"/>
      <c r="N627" s="1"/>
    </row>
    <row r="628" ht="15.75" customHeight="1">
      <c r="A628" s="1"/>
      <c r="B628" s="1"/>
      <c r="C628" s="1"/>
      <c r="D628" s="1"/>
      <c r="E628" s="1"/>
      <c r="F628" s="1"/>
      <c r="G628" s="1"/>
      <c r="H628" s="1"/>
      <c r="I628" s="1"/>
      <c r="J628" s="1"/>
      <c r="K628" s="1"/>
      <c r="L628" s="1"/>
      <c r="M628" s="1"/>
      <c r="N628" s="1"/>
    </row>
    <row r="629" ht="15.75" customHeight="1">
      <c r="A629" s="1"/>
      <c r="B629" s="1"/>
      <c r="C629" s="1"/>
      <c r="D629" s="1"/>
      <c r="E629" s="1"/>
      <c r="F629" s="1"/>
      <c r="G629" s="1"/>
      <c r="H629" s="1"/>
      <c r="I629" s="1"/>
      <c r="J629" s="1"/>
      <c r="K629" s="1"/>
      <c r="L629" s="1"/>
      <c r="M629" s="1"/>
      <c r="N629" s="1"/>
    </row>
    <row r="630" ht="15.75" customHeight="1">
      <c r="A630" s="1"/>
      <c r="B630" s="1"/>
      <c r="C630" s="1"/>
      <c r="D630" s="1"/>
      <c r="E630" s="1"/>
      <c r="F630" s="1"/>
      <c r="G630" s="1"/>
      <c r="H630" s="1"/>
      <c r="I630" s="1"/>
      <c r="J630" s="1"/>
      <c r="K630" s="1"/>
      <c r="L630" s="1"/>
      <c r="M630" s="1"/>
      <c r="N630" s="1"/>
    </row>
    <row r="631" ht="15.75" customHeight="1">
      <c r="A631" s="1"/>
      <c r="B631" s="1"/>
      <c r="C631" s="1"/>
      <c r="D631" s="1"/>
      <c r="E631" s="1"/>
      <c r="F631" s="1"/>
      <c r="G631" s="1"/>
      <c r="H631" s="1"/>
      <c r="I631" s="1"/>
      <c r="J631" s="1"/>
      <c r="K631" s="1"/>
      <c r="L631" s="1"/>
      <c r="M631" s="1"/>
      <c r="N631" s="1"/>
    </row>
    <row r="632" ht="15.75" customHeight="1">
      <c r="A632" s="1"/>
      <c r="B632" s="1"/>
      <c r="C632" s="1"/>
      <c r="D632" s="1"/>
      <c r="E632" s="1"/>
      <c r="F632" s="1"/>
      <c r="G632" s="1"/>
      <c r="H632" s="1"/>
      <c r="I632" s="1"/>
      <c r="J632" s="1"/>
      <c r="K632" s="1"/>
      <c r="L632" s="1"/>
      <c r="M632" s="1"/>
      <c r="N632" s="1"/>
    </row>
    <row r="633" ht="15.75" customHeight="1">
      <c r="A633" s="1"/>
      <c r="B633" s="1"/>
      <c r="C633" s="1"/>
      <c r="D633" s="1"/>
      <c r="E633" s="1"/>
      <c r="F633" s="1"/>
      <c r="G633" s="1"/>
      <c r="H633" s="1"/>
      <c r="I633" s="1"/>
      <c r="J633" s="1"/>
      <c r="K633" s="1"/>
      <c r="L633" s="1"/>
      <c r="M633" s="1"/>
      <c r="N633" s="1"/>
    </row>
    <row r="634" ht="15.75" customHeight="1">
      <c r="A634" s="1"/>
      <c r="B634" s="1"/>
      <c r="C634" s="1"/>
      <c r="D634" s="1"/>
      <c r="E634" s="1"/>
      <c r="F634" s="1"/>
      <c r="G634" s="1"/>
      <c r="H634" s="1"/>
      <c r="I634" s="1"/>
      <c r="J634" s="1"/>
      <c r="K634" s="1"/>
      <c r="L634" s="1"/>
      <c r="M634" s="1"/>
      <c r="N634" s="1"/>
    </row>
    <row r="635" ht="15.75" customHeight="1">
      <c r="A635" s="1"/>
      <c r="B635" s="1"/>
      <c r="C635" s="1"/>
      <c r="D635" s="1"/>
      <c r="E635" s="1"/>
      <c r="F635" s="1"/>
      <c r="G635" s="1"/>
      <c r="H635" s="1"/>
      <c r="I635" s="1"/>
      <c r="J635" s="1"/>
      <c r="K635" s="1"/>
      <c r="L635" s="1"/>
      <c r="M635" s="1"/>
      <c r="N635" s="1"/>
    </row>
    <row r="636" ht="15.75" customHeight="1">
      <c r="A636" s="1"/>
      <c r="B636" s="1"/>
      <c r="C636" s="1"/>
      <c r="D636" s="1"/>
      <c r="E636" s="1"/>
      <c r="F636" s="1"/>
      <c r="G636" s="1"/>
      <c r="H636" s="1"/>
      <c r="I636" s="1"/>
      <c r="J636" s="1"/>
      <c r="K636" s="1"/>
      <c r="L636" s="1"/>
      <c r="M636" s="1"/>
      <c r="N636" s="1"/>
    </row>
    <row r="637" ht="15.75" customHeight="1">
      <c r="A637" s="1"/>
      <c r="B637" s="1"/>
      <c r="C637" s="1"/>
      <c r="D637" s="1"/>
      <c r="E637" s="1"/>
      <c r="F637" s="1"/>
      <c r="G637" s="1"/>
      <c r="H637" s="1"/>
      <c r="I637" s="1"/>
      <c r="J637" s="1"/>
      <c r="K637" s="1"/>
      <c r="L637" s="1"/>
      <c r="M637" s="1"/>
      <c r="N637" s="1"/>
    </row>
    <row r="638" ht="15.75" customHeight="1">
      <c r="A638" s="1"/>
      <c r="B638" s="1"/>
      <c r="C638" s="1"/>
      <c r="D638" s="1"/>
      <c r="E638" s="1"/>
      <c r="F638" s="1"/>
      <c r="G638" s="1"/>
      <c r="H638" s="1"/>
      <c r="I638" s="1"/>
      <c r="J638" s="1"/>
      <c r="K638" s="1"/>
      <c r="L638" s="1"/>
      <c r="M638" s="1"/>
      <c r="N638" s="1"/>
    </row>
    <row r="639" ht="15.75" customHeight="1">
      <c r="A639" s="1"/>
      <c r="B639" s="1"/>
      <c r="C639" s="1"/>
      <c r="D639" s="1"/>
      <c r="E639" s="1"/>
      <c r="F639" s="1"/>
      <c r="G639" s="1"/>
      <c r="H639" s="1"/>
      <c r="I639" s="1"/>
      <c r="J639" s="1"/>
      <c r="K639" s="1"/>
      <c r="L639" s="1"/>
      <c r="M639" s="1"/>
      <c r="N639" s="1"/>
    </row>
    <row r="640" ht="15.75" customHeight="1">
      <c r="A640" s="1"/>
      <c r="B640" s="1"/>
      <c r="C640" s="1"/>
      <c r="D640" s="1"/>
      <c r="E640" s="1"/>
      <c r="F640" s="1"/>
      <c r="G640" s="1"/>
      <c r="H640" s="1"/>
      <c r="I640" s="1"/>
      <c r="J640" s="1"/>
      <c r="K640" s="1"/>
      <c r="L640" s="1"/>
      <c r="M640" s="1"/>
      <c r="N640" s="1"/>
    </row>
    <row r="641" ht="15.75" customHeight="1">
      <c r="A641" s="1"/>
      <c r="B641" s="1"/>
      <c r="C641" s="1"/>
      <c r="D641" s="1"/>
      <c r="E641" s="1"/>
      <c r="F641" s="1"/>
      <c r="G641" s="1"/>
      <c r="H641" s="1"/>
      <c r="I641" s="1"/>
      <c r="J641" s="1"/>
      <c r="K641" s="1"/>
      <c r="L641" s="1"/>
      <c r="M641" s="1"/>
      <c r="N641" s="1"/>
    </row>
    <row r="642" ht="15.75" customHeight="1">
      <c r="A642" s="1"/>
      <c r="B642" s="1"/>
      <c r="C642" s="1"/>
      <c r="D642" s="1"/>
      <c r="E642" s="1"/>
      <c r="F642" s="1"/>
      <c r="G642" s="1"/>
      <c r="H642" s="1"/>
      <c r="I642" s="1"/>
      <c r="J642" s="1"/>
      <c r="K642" s="1"/>
      <c r="L642" s="1"/>
      <c r="M642" s="1"/>
      <c r="N642" s="1"/>
    </row>
    <row r="643" ht="15.75" customHeight="1">
      <c r="A643" s="1"/>
      <c r="B643" s="1"/>
      <c r="C643" s="1"/>
      <c r="D643" s="1"/>
      <c r="E643" s="1"/>
      <c r="F643" s="1"/>
      <c r="G643" s="1"/>
      <c r="H643" s="1"/>
      <c r="I643" s="1"/>
      <c r="J643" s="1"/>
      <c r="K643" s="1"/>
      <c r="L643" s="1"/>
      <c r="M643" s="1"/>
      <c r="N643" s="1"/>
    </row>
    <row r="644" ht="15.75" customHeight="1">
      <c r="A644" s="1"/>
      <c r="B644" s="1"/>
      <c r="C644" s="1"/>
      <c r="D644" s="1"/>
      <c r="E644" s="1"/>
      <c r="F644" s="1"/>
      <c r="G644" s="1"/>
      <c r="H644" s="1"/>
      <c r="I644" s="1"/>
      <c r="J644" s="1"/>
      <c r="K644" s="1"/>
      <c r="L644" s="1"/>
      <c r="M644" s="1"/>
      <c r="N644" s="1"/>
    </row>
    <row r="645" ht="15.75" customHeight="1">
      <c r="A645" s="1"/>
      <c r="B645" s="1"/>
      <c r="C645" s="1"/>
      <c r="D645" s="1"/>
      <c r="E645" s="1"/>
      <c r="F645" s="1"/>
      <c r="G645" s="1"/>
      <c r="H645" s="1"/>
      <c r="I645" s="1"/>
      <c r="J645" s="1"/>
      <c r="K645" s="1"/>
      <c r="L645" s="1"/>
      <c r="M645" s="1"/>
      <c r="N645" s="1"/>
    </row>
    <row r="646" ht="15.75" customHeight="1">
      <c r="A646" s="1"/>
      <c r="B646" s="1"/>
      <c r="C646" s="1"/>
      <c r="D646" s="1"/>
      <c r="E646" s="1"/>
      <c r="F646" s="1"/>
      <c r="G646" s="1"/>
      <c r="H646" s="1"/>
      <c r="I646" s="1"/>
      <c r="J646" s="1"/>
      <c r="K646" s="1"/>
      <c r="L646" s="1"/>
      <c r="M646" s="1"/>
      <c r="N646" s="1"/>
    </row>
    <row r="647" ht="15.75" customHeight="1">
      <c r="A647" s="1"/>
      <c r="B647" s="1"/>
      <c r="C647" s="1"/>
      <c r="D647" s="1"/>
      <c r="E647" s="1"/>
      <c r="F647" s="1"/>
      <c r="G647" s="1"/>
      <c r="H647" s="1"/>
      <c r="I647" s="1"/>
      <c r="J647" s="1"/>
      <c r="K647" s="1"/>
      <c r="L647" s="1"/>
      <c r="M647" s="1"/>
      <c r="N647" s="1"/>
    </row>
    <row r="648" ht="15.75" customHeight="1">
      <c r="A648" s="1"/>
      <c r="B648" s="1"/>
      <c r="C648" s="1"/>
      <c r="D648" s="1"/>
      <c r="E648" s="1"/>
      <c r="F648" s="1"/>
      <c r="G648" s="1"/>
      <c r="H648" s="1"/>
      <c r="I648" s="1"/>
      <c r="J648" s="1"/>
      <c r="K648" s="1"/>
      <c r="L648" s="1"/>
      <c r="M648" s="1"/>
      <c r="N648" s="1"/>
    </row>
    <row r="649" ht="15.75" customHeight="1">
      <c r="A649" s="1"/>
      <c r="B649" s="1"/>
      <c r="C649" s="1"/>
      <c r="D649" s="1"/>
      <c r="E649" s="1"/>
      <c r="F649" s="1"/>
      <c r="G649" s="1"/>
      <c r="H649" s="1"/>
      <c r="I649" s="1"/>
      <c r="J649" s="1"/>
      <c r="K649" s="1"/>
      <c r="L649" s="1"/>
      <c r="M649" s="1"/>
      <c r="N649" s="1"/>
    </row>
    <row r="650" ht="15.75" customHeight="1">
      <c r="A650" s="1"/>
      <c r="B650" s="1"/>
      <c r="C650" s="1"/>
      <c r="D650" s="1"/>
      <c r="E650" s="1"/>
      <c r="F650" s="1"/>
      <c r="G650" s="1"/>
      <c r="H650" s="1"/>
      <c r="I650" s="1"/>
      <c r="J650" s="1"/>
      <c r="K650" s="1"/>
      <c r="L650" s="1"/>
      <c r="M650" s="1"/>
      <c r="N650" s="1"/>
    </row>
    <row r="651" ht="15.75" customHeight="1">
      <c r="A651" s="1"/>
      <c r="B651" s="1"/>
      <c r="C651" s="1"/>
      <c r="D651" s="1"/>
      <c r="E651" s="1"/>
      <c r="F651" s="1"/>
      <c r="G651" s="1"/>
      <c r="H651" s="1"/>
      <c r="I651" s="1"/>
      <c r="J651" s="1"/>
      <c r="K651" s="1"/>
      <c r="L651" s="1"/>
      <c r="M651" s="1"/>
      <c r="N651" s="1"/>
    </row>
    <row r="652" ht="15.75" customHeight="1">
      <c r="A652" s="1"/>
      <c r="B652" s="1"/>
      <c r="C652" s="1"/>
      <c r="D652" s="1"/>
      <c r="E652" s="1"/>
      <c r="F652" s="1"/>
      <c r="G652" s="1"/>
      <c r="H652" s="1"/>
      <c r="I652" s="1"/>
      <c r="J652" s="1"/>
      <c r="K652" s="1"/>
      <c r="L652" s="1"/>
      <c r="M652" s="1"/>
      <c r="N652" s="1"/>
    </row>
    <row r="653" ht="15.75" customHeight="1">
      <c r="A653" s="1"/>
      <c r="B653" s="1"/>
      <c r="C653" s="1"/>
      <c r="D653" s="1"/>
      <c r="E653" s="1"/>
      <c r="F653" s="1"/>
      <c r="G653" s="1"/>
      <c r="H653" s="1"/>
      <c r="I653" s="1"/>
      <c r="J653" s="1"/>
      <c r="K653" s="1"/>
      <c r="L653" s="1"/>
      <c r="M653" s="1"/>
      <c r="N653" s="1"/>
    </row>
    <row r="654" ht="15.75" customHeight="1">
      <c r="A654" s="1"/>
      <c r="B654" s="1"/>
      <c r="C654" s="1"/>
      <c r="D654" s="1"/>
      <c r="E654" s="1"/>
      <c r="F654" s="1"/>
      <c r="G654" s="1"/>
      <c r="H654" s="1"/>
      <c r="I654" s="1"/>
      <c r="J654" s="1"/>
      <c r="K654" s="1"/>
      <c r="L654" s="1"/>
      <c r="M654" s="1"/>
      <c r="N654" s="1"/>
    </row>
    <row r="655" ht="15.75" customHeight="1">
      <c r="A655" s="1"/>
      <c r="B655" s="1"/>
      <c r="C655" s="1"/>
      <c r="D655" s="1"/>
      <c r="E655" s="1"/>
      <c r="F655" s="1"/>
      <c r="G655" s="1"/>
      <c r="H655" s="1"/>
      <c r="I655" s="1"/>
      <c r="J655" s="1"/>
      <c r="K655" s="1"/>
      <c r="L655" s="1"/>
      <c r="M655" s="1"/>
      <c r="N655" s="1"/>
    </row>
    <row r="656" ht="15.75" customHeight="1">
      <c r="A656" s="1"/>
      <c r="B656" s="1"/>
      <c r="C656" s="1"/>
      <c r="D656" s="1"/>
      <c r="E656" s="1"/>
      <c r="F656" s="1"/>
      <c r="G656" s="1"/>
      <c r="H656" s="1"/>
      <c r="I656" s="1"/>
      <c r="J656" s="1"/>
      <c r="K656" s="1"/>
      <c r="L656" s="1"/>
      <c r="M656" s="1"/>
      <c r="N656" s="1"/>
    </row>
    <row r="657" ht="15.75" customHeight="1">
      <c r="A657" s="1"/>
      <c r="B657" s="1"/>
      <c r="C657" s="1"/>
      <c r="D657" s="1"/>
      <c r="E657" s="1"/>
      <c r="F657" s="1"/>
      <c r="G657" s="1"/>
      <c r="H657" s="1"/>
      <c r="I657" s="1"/>
      <c r="J657" s="1"/>
      <c r="K657" s="1"/>
      <c r="L657" s="1"/>
      <c r="M657" s="1"/>
      <c r="N657" s="1"/>
    </row>
    <row r="658" ht="15.75" customHeight="1">
      <c r="A658" s="1"/>
      <c r="B658" s="1"/>
      <c r="C658" s="1"/>
      <c r="D658" s="1"/>
      <c r="E658" s="1"/>
      <c r="F658" s="1"/>
      <c r="G658" s="1"/>
      <c r="H658" s="1"/>
      <c r="I658" s="1"/>
      <c r="J658" s="1"/>
      <c r="K658" s="1"/>
      <c r="L658" s="1"/>
      <c r="M658" s="1"/>
      <c r="N658" s="1"/>
    </row>
    <row r="659" ht="15.75" customHeight="1">
      <c r="A659" s="1"/>
      <c r="B659" s="1"/>
      <c r="C659" s="1"/>
      <c r="D659" s="1"/>
      <c r="E659" s="1"/>
      <c r="F659" s="1"/>
      <c r="G659" s="1"/>
      <c r="H659" s="1"/>
      <c r="I659" s="1"/>
      <c r="J659" s="1"/>
      <c r="K659" s="1"/>
      <c r="L659" s="1"/>
      <c r="M659" s="1"/>
      <c r="N659" s="1"/>
    </row>
    <row r="660" ht="15.75" customHeight="1">
      <c r="A660" s="1"/>
      <c r="B660" s="1"/>
      <c r="C660" s="1"/>
      <c r="D660" s="1"/>
      <c r="E660" s="1"/>
      <c r="F660" s="1"/>
      <c r="G660" s="1"/>
      <c r="H660" s="1"/>
      <c r="I660" s="1"/>
      <c r="J660" s="1"/>
      <c r="K660" s="1"/>
      <c r="L660" s="1"/>
      <c r="M660" s="1"/>
      <c r="N660" s="1"/>
    </row>
    <row r="661" ht="15.75" customHeight="1">
      <c r="A661" s="1"/>
      <c r="B661" s="1"/>
      <c r="C661" s="1"/>
      <c r="D661" s="1"/>
      <c r="E661" s="1"/>
      <c r="F661" s="1"/>
      <c r="G661" s="1"/>
      <c r="H661" s="1"/>
      <c r="I661" s="1"/>
      <c r="J661" s="1"/>
      <c r="K661" s="1"/>
      <c r="L661" s="1"/>
      <c r="M661" s="1"/>
      <c r="N661" s="1"/>
    </row>
    <row r="662" ht="15.75" customHeight="1">
      <c r="A662" s="1"/>
      <c r="B662" s="1"/>
      <c r="C662" s="1"/>
      <c r="D662" s="1"/>
      <c r="E662" s="1"/>
      <c r="F662" s="1"/>
      <c r="G662" s="1"/>
      <c r="H662" s="1"/>
      <c r="I662" s="1"/>
      <c r="J662" s="1"/>
      <c r="K662" s="1"/>
      <c r="L662" s="1"/>
      <c r="M662" s="1"/>
      <c r="N662" s="1"/>
    </row>
    <row r="663" ht="15.75" customHeight="1">
      <c r="A663" s="1"/>
      <c r="B663" s="1"/>
      <c r="C663" s="1"/>
      <c r="D663" s="1"/>
      <c r="E663" s="1"/>
      <c r="F663" s="1"/>
      <c r="G663" s="1"/>
      <c r="H663" s="1"/>
      <c r="I663" s="1"/>
      <c r="J663" s="1"/>
      <c r="K663" s="1"/>
      <c r="L663" s="1"/>
      <c r="M663" s="1"/>
      <c r="N663" s="1"/>
    </row>
    <row r="664" ht="15.75" customHeight="1">
      <c r="A664" s="1"/>
      <c r="B664" s="1"/>
      <c r="C664" s="1"/>
      <c r="D664" s="1"/>
      <c r="E664" s="1"/>
      <c r="F664" s="1"/>
      <c r="G664" s="1"/>
      <c r="H664" s="1"/>
      <c r="I664" s="1"/>
      <c r="J664" s="1"/>
      <c r="K664" s="1"/>
      <c r="L664" s="1"/>
      <c r="M664" s="1"/>
      <c r="N664" s="1"/>
    </row>
    <row r="665" ht="15.75" customHeight="1">
      <c r="A665" s="1"/>
      <c r="B665" s="1"/>
      <c r="C665" s="1"/>
      <c r="D665" s="1"/>
      <c r="E665" s="1"/>
      <c r="F665" s="1"/>
      <c r="G665" s="1"/>
      <c r="H665" s="1"/>
      <c r="I665" s="1"/>
      <c r="J665" s="1"/>
      <c r="K665" s="1"/>
      <c r="L665" s="1"/>
      <c r="M665" s="1"/>
      <c r="N665" s="1"/>
    </row>
    <row r="666" ht="15.75" customHeight="1">
      <c r="A666" s="1"/>
      <c r="B666" s="1"/>
      <c r="C666" s="1"/>
      <c r="D666" s="1"/>
      <c r="E666" s="1"/>
      <c r="F666" s="1"/>
      <c r="G666" s="1"/>
      <c r="H666" s="1"/>
      <c r="I666" s="1"/>
      <c r="J666" s="1"/>
      <c r="K666" s="1"/>
      <c r="L666" s="1"/>
      <c r="M666" s="1"/>
      <c r="N666" s="1"/>
    </row>
    <row r="667" ht="15.75" customHeight="1">
      <c r="A667" s="1"/>
      <c r="B667" s="1"/>
      <c r="C667" s="1"/>
      <c r="D667" s="1"/>
      <c r="E667" s="1"/>
      <c r="F667" s="1"/>
      <c r="G667" s="1"/>
      <c r="H667" s="1"/>
      <c r="I667" s="1"/>
      <c r="J667" s="1"/>
      <c r="K667" s="1"/>
      <c r="L667" s="1"/>
      <c r="M667" s="1"/>
      <c r="N667" s="1"/>
    </row>
    <row r="668" ht="15.75" customHeight="1">
      <c r="A668" s="1"/>
      <c r="B668" s="1"/>
      <c r="C668" s="1"/>
      <c r="D668" s="1"/>
      <c r="E668" s="1"/>
      <c r="F668" s="1"/>
      <c r="G668" s="1"/>
      <c r="H668" s="1"/>
      <c r="I668" s="1"/>
      <c r="J668" s="1"/>
      <c r="K668" s="1"/>
      <c r="L668" s="1"/>
      <c r="M668" s="1"/>
      <c r="N668" s="1"/>
    </row>
    <row r="669" ht="15.75" customHeight="1">
      <c r="A669" s="1"/>
      <c r="B669" s="1"/>
      <c r="C669" s="1"/>
      <c r="D669" s="1"/>
      <c r="E669" s="1"/>
      <c r="F669" s="1"/>
      <c r="G669" s="1"/>
      <c r="H669" s="1"/>
      <c r="I669" s="1"/>
      <c r="J669" s="1"/>
      <c r="K669" s="1"/>
      <c r="L669" s="1"/>
      <c r="M669" s="1"/>
      <c r="N669" s="1"/>
    </row>
    <row r="670" ht="15.75" customHeight="1">
      <c r="A670" s="1"/>
      <c r="B670" s="1"/>
      <c r="C670" s="1"/>
      <c r="D670" s="1"/>
      <c r="E670" s="1"/>
      <c r="F670" s="1"/>
      <c r="G670" s="1"/>
      <c r="H670" s="1"/>
      <c r="I670" s="1"/>
      <c r="J670" s="1"/>
      <c r="K670" s="1"/>
      <c r="L670" s="1"/>
      <c r="M670" s="1"/>
      <c r="N670" s="1"/>
    </row>
    <row r="671" ht="15.75" customHeight="1">
      <c r="A671" s="1"/>
      <c r="B671" s="1"/>
      <c r="C671" s="1"/>
      <c r="D671" s="1"/>
      <c r="E671" s="1"/>
      <c r="F671" s="1"/>
      <c r="G671" s="1"/>
      <c r="H671" s="1"/>
      <c r="I671" s="1"/>
      <c r="J671" s="1"/>
      <c r="K671" s="1"/>
      <c r="L671" s="1"/>
      <c r="M671" s="1"/>
      <c r="N671" s="1"/>
    </row>
    <row r="672" ht="15.75" customHeight="1">
      <c r="A672" s="1"/>
      <c r="B672" s="1"/>
      <c r="C672" s="1"/>
      <c r="D672" s="1"/>
      <c r="E672" s="1"/>
      <c r="F672" s="1"/>
      <c r="G672" s="1"/>
      <c r="H672" s="1"/>
      <c r="I672" s="1"/>
      <c r="J672" s="1"/>
      <c r="K672" s="1"/>
      <c r="L672" s="1"/>
      <c r="M672" s="1"/>
      <c r="N672" s="1"/>
    </row>
    <row r="673" ht="15.75" customHeight="1">
      <c r="A673" s="1"/>
      <c r="B673" s="1"/>
      <c r="C673" s="1"/>
      <c r="D673" s="1"/>
      <c r="E673" s="1"/>
      <c r="F673" s="1"/>
      <c r="G673" s="1"/>
      <c r="H673" s="1"/>
      <c r="I673" s="1"/>
      <c r="J673" s="1"/>
      <c r="K673" s="1"/>
      <c r="L673" s="1"/>
      <c r="M673" s="1"/>
      <c r="N673" s="1"/>
    </row>
    <row r="674" ht="15.75" customHeight="1">
      <c r="A674" s="1"/>
      <c r="B674" s="1"/>
      <c r="C674" s="1"/>
      <c r="D674" s="1"/>
      <c r="E674" s="1"/>
      <c r="F674" s="1"/>
      <c r="G674" s="1"/>
      <c r="H674" s="1"/>
      <c r="I674" s="1"/>
      <c r="J674" s="1"/>
      <c r="K674" s="1"/>
      <c r="L674" s="1"/>
      <c r="M674" s="1"/>
      <c r="N674" s="1"/>
    </row>
    <row r="675" ht="15.75" customHeight="1">
      <c r="A675" s="1"/>
      <c r="B675" s="1"/>
      <c r="C675" s="1"/>
      <c r="D675" s="1"/>
      <c r="E675" s="1"/>
      <c r="F675" s="1"/>
      <c r="G675" s="1"/>
      <c r="H675" s="1"/>
      <c r="I675" s="1"/>
      <c r="J675" s="1"/>
      <c r="K675" s="1"/>
      <c r="L675" s="1"/>
      <c r="M675" s="1"/>
      <c r="N675" s="1"/>
    </row>
    <row r="676" ht="15.75" customHeight="1">
      <c r="A676" s="1"/>
      <c r="B676" s="1"/>
      <c r="C676" s="1"/>
      <c r="D676" s="1"/>
      <c r="E676" s="1"/>
      <c r="F676" s="1"/>
      <c r="G676" s="1"/>
      <c r="H676" s="1"/>
      <c r="I676" s="1"/>
      <c r="J676" s="1"/>
      <c r="K676" s="1"/>
      <c r="L676" s="1"/>
      <c r="M676" s="1"/>
      <c r="N676" s="1"/>
    </row>
    <row r="677" ht="15.75" customHeight="1">
      <c r="A677" s="1"/>
      <c r="B677" s="1"/>
      <c r="C677" s="1"/>
      <c r="D677" s="1"/>
      <c r="E677" s="1"/>
      <c r="F677" s="1"/>
      <c r="G677" s="1"/>
      <c r="H677" s="1"/>
      <c r="I677" s="1"/>
      <c r="J677" s="1"/>
      <c r="K677" s="1"/>
      <c r="L677" s="1"/>
      <c r="M677" s="1"/>
      <c r="N677" s="1"/>
    </row>
    <row r="678" ht="15.75" customHeight="1">
      <c r="A678" s="1"/>
      <c r="B678" s="1"/>
      <c r="C678" s="1"/>
      <c r="D678" s="1"/>
      <c r="E678" s="1"/>
      <c r="F678" s="1"/>
      <c r="G678" s="1"/>
      <c r="H678" s="1"/>
      <c r="I678" s="1"/>
      <c r="J678" s="1"/>
      <c r="K678" s="1"/>
      <c r="L678" s="1"/>
      <c r="M678" s="1"/>
      <c r="N678" s="1"/>
    </row>
    <row r="679" ht="15.75" customHeight="1">
      <c r="A679" s="1"/>
      <c r="B679" s="1"/>
      <c r="C679" s="1"/>
      <c r="D679" s="1"/>
      <c r="E679" s="1"/>
      <c r="F679" s="1"/>
      <c r="G679" s="1"/>
      <c r="H679" s="1"/>
      <c r="I679" s="1"/>
      <c r="J679" s="1"/>
      <c r="K679" s="1"/>
      <c r="L679" s="1"/>
      <c r="M679" s="1"/>
      <c r="N679" s="1"/>
    </row>
    <row r="680" ht="15.75" customHeight="1">
      <c r="A680" s="1"/>
      <c r="B680" s="1"/>
      <c r="C680" s="1"/>
      <c r="D680" s="1"/>
      <c r="E680" s="1"/>
      <c r="F680" s="1"/>
      <c r="G680" s="1"/>
      <c r="H680" s="1"/>
      <c r="I680" s="1"/>
      <c r="J680" s="1"/>
      <c r="K680" s="1"/>
      <c r="L680" s="1"/>
      <c r="M680" s="1"/>
      <c r="N680" s="1"/>
    </row>
    <row r="681" ht="15.75" customHeight="1">
      <c r="A681" s="1"/>
      <c r="B681" s="1"/>
      <c r="C681" s="1"/>
      <c r="D681" s="1"/>
      <c r="E681" s="1"/>
      <c r="F681" s="1"/>
      <c r="G681" s="1"/>
      <c r="H681" s="1"/>
      <c r="I681" s="1"/>
      <c r="J681" s="1"/>
      <c r="K681" s="1"/>
      <c r="L681" s="1"/>
      <c r="M681" s="1"/>
      <c r="N681" s="1"/>
    </row>
    <row r="682" ht="15.75" customHeight="1">
      <c r="A682" s="1"/>
      <c r="B682" s="1"/>
      <c r="C682" s="1"/>
      <c r="D682" s="1"/>
      <c r="E682" s="1"/>
      <c r="F682" s="1"/>
      <c r="G682" s="1"/>
      <c r="H682" s="1"/>
      <c r="I682" s="1"/>
      <c r="J682" s="1"/>
      <c r="K682" s="1"/>
      <c r="L682" s="1"/>
      <c r="M682" s="1"/>
      <c r="N682" s="1"/>
    </row>
    <row r="683" ht="15.75" customHeight="1">
      <c r="A683" s="1"/>
      <c r="B683" s="1"/>
      <c r="C683" s="1"/>
      <c r="D683" s="1"/>
      <c r="E683" s="1"/>
      <c r="F683" s="1"/>
      <c r="G683" s="1"/>
      <c r="H683" s="1"/>
      <c r="I683" s="1"/>
      <c r="J683" s="1"/>
      <c r="K683" s="1"/>
      <c r="L683" s="1"/>
      <c r="M683" s="1"/>
      <c r="N683" s="1"/>
    </row>
    <row r="684" ht="15.75" customHeight="1">
      <c r="A684" s="1"/>
      <c r="B684" s="1"/>
      <c r="C684" s="1"/>
      <c r="D684" s="1"/>
      <c r="E684" s="1"/>
      <c r="F684" s="1"/>
      <c r="G684" s="1"/>
      <c r="H684" s="1"/>
      <c r="I684" s="1"/>
      <c r="J684" s="1"/>
      <c r="K684" s="1"/>
      <c r="L684" s="1"/>
      <c r="M684" s="1"/>
      <c r="N684" s="1"/>
    </row>
    <row r="685" ht="15.75" customHeight="1">
      <c r="A685" s="1"/>
      <c r="B685" s="1"/>
      <c r="C685" s="1"/>
      <c r="D685" s="1"/>
      <c r="E685" s="1"/>
      <c r="F685" s="1"/>
      <c r="G685" s="1"/>
      <c r="H685" s="1"/>
      <c r="I685" s="1"/>
      <c r="J685" s="1"/>
      <c r="K685" s="1"/>
      <c r="L685" s="1"/>
      <c r="M685" s="1"/>
      <c r="N685" s="1"/>
    </row>
    <row r="686" ht="15.75" customHeight="1">
      <c r="A686" s="1"/>
      <c r="B686" s="1"/>
      <c r="C686" s="1"/>
      <c r="D686" s="1"/>
      <c r="E686" s="1"/>
      <c r="F686" s="1"/>
      <c r="G686" s="1"/>
      <c r="H686" s="1"/>
      <c r="I686" s="1"/>
      <c r="J686" s="1"/>
      <c r="K686" s="1"/>
      <c r="L686" s="1"/>
      <c r="M686" s="1"/>
      <c r="N686" s="1"/>
    </row>
    <row r="687" ht="15.75" customHeight="1">
      <c r="A687" s="1"/>
      <c r="B687" s="1"/>
      <c r="C687" s="1"/>
      <c r="D687" s="1"/>
      <c r="E687" s="1"/>
      <c r="F687" s="1"/>
      <c r="G687" s="1"/>
      <c r="H687" s="1"/>
      <c r="I687" s="1"/>
      <c r="J687" s="1"/>
      <c r="K687" s="1"/>
      <c r="L687" s="1"/>
      <c r="M687" s="1"/>
      <c r="N687" s="1"/>
    </row>
    <row r="688" ht="15.75" customHeight="1">
      <c r="A688" s="1"/>
      <c r="B688" s="1"/>
      <c r="C688" s="1"/>
      <c r="D688" s="1"/>
      <c r="E688" s="1"/>
      <c r="F688" s="1"/>
      <c r="G688" s="1"/>
      <c r="H688" s="1"/>
      <c r="I688" s="1"/>
      <c r="J688" s="1"/>
      <c r="K688" s="1"/>
      <c r="L688" s="1"/>
      <c r="M688" s="1"/>
      <c r="N688" s="1"/>
    </row>
    <row r="689" ht="15.75" customHeight="1">
      <c r="A689" s="1"/>
      <c r="B689" s="1"/>
      <c r="C689" s="1"/>
      <c r="D689" s="1"/>
      <c r="E689" s="1"/>
      <c r="F689" s="1"/>
      <c r="G689" s="1"/>
      <c r="H689" s="1"/>
      <c r="I689" s="1"/>
      <c r="J689" s="1"/>
      <c r="K689" s="1"/>
      <c r="L689" s="1"/>
      <c r="M689" s="1"/>
      <c r="N689" s="1"/>
    </row>
    <row r="690" ht="15.75" customHeight="1">
      <c r="A690" s="1"/>
      <c r="B690" s="1"/>
      <c r="C690" s="1"/>
      <c r="D690" s="1"/>
      <c r="E690" s="1"/>
      <c r="F690" s="1"/>
      <c r="G690" s="1"/>
      <c r="H690" s="1"/>
      <c r="I690" s="1"/>
      <c r="J690" s="1"/>
      <c r="K690" s="1"/>
      <c r="L690" s="1"/>
      <c r="M690" s="1"/>
      <c r="N690" s="1"/>
    </row>
    <row r="691" ht="15.75" customHeight="1">
      <c r="A691" s="1"/>
      <c r="B691" s="1"/>
      <c r="C691" s="1"/>
      <c r="D691" s="1"/>
      <c r="E691" s="1"/>
      <c r="F691" s="1"/>
      <c r="G691" s="1"/>
      <c r="H691" s="1"/>
      <c r="I691" s="1"/>
      <c r="J691" s="1"/>
      <c r="K691" s="1"/>
      <c r="L691" s="1"/>
      <c r="M691" s="1"/>
      <c r="N691" s="1"/>
    </row>
    <row r="692" ht="15.75" customHeight="1">
      <c r="A692" s="1"/>
      <c r="B692" s="1"/>
      <c r="C692" s="1"/>
      <c r="D692" s="1"/>
      <c r="E692" s="1"/>
      <c r="F692" s="1"/>
      <c r="G692" s="1"/>
      <c r="H692" s="1"/>
      <c r="I692" s="1"/>
      <c r="J692" s="1"/>
      <c r="K692" s="1"/>
      <c r="L692" s="1"/>
      <c r="M692" s="1"/>
      <c r="N692" s="1"/>
    </row>
    <row r="693" ht="15.75" customHeight="1">
      <c r="A693" s="1"/>
      <c r="B693" s="1"/>
      <c r="C693" s="1"/>
      <c r="D693" s="1"/>
      <c r="E693" s="1"/>
      <c r="F693" s="1"/>
      <c r="G693" s="1"/>
      <c r="H693" s="1"/>
      <c r="I693" s="1"/>
      <c r="J693" s="1"/>
      <c r="K693" s="1"/>
      <c r="L693" s="1"/>
      <c r="M693" s="1"/>
      <c r="N693" s="1"/>
    </row>
    <row r="694" ht="15.75" customHeight="1">
      <c r="A694" s="1"/>
      <c r="B694" s="1"/>
      <c r="C694" s="1"/>
      <c r="D694" s="1"/>
      <c r="E694" s="1"/>
      <c r="F694" s="1"/>
      <c r="G694" s="1"/>
      <c r="H694" s="1"/>
      <c r="I694" s="1"/>
      <c r="J694" s="1"/>
      <c r="K694" s="1"/>
      <c r="L694" s="1"/>
      <c r="M694" s="1"/>
      <c r="N694" s="1"/>
    </row>
    <row r="695" ht="15.75" customHeight="1">
      <c r="A695" s="1"/>
      <c r="B695" s="1"/>
      <c r="C695" s="1"/>
      <c r="D695" s="1"/>
      <c r="E695" s="1"/>
      <c r="F695" s="1"/>
      <c r="G695" s="1"/>
      <c r="H695" s="1"/>
      <c r="I695" s="1"/>
      <c r="J695" s="1"/>
      <c r="K695" s="1"/>
      <c r="L695" s="1"/>
      <c r="M695" s="1"/>
      <c r="N695" s="1"/>
    </row>
    <row r="696" ht="15.75" customHeight="1">
      <c r="A696" s="1"/>
      <c r="B696" s="1"/>
      <c r="C696" s="1"/>
      <c r="D696" s="1"/>
      <c r="E696" s="1"/>
      <c r="F696" s="1"/>
      <c r="G696" s="1"/>
      <c r="H696" s="1"/>
      <c r="I696" s="1"/>
      <c r="J696" s="1"/>
      <c r="K696" s="1"/>
      <c r="L696" s="1"/>
      <c r="M696" s="1"/>
      <c r="N696" s="1"/>
    </row>
    <row r="697" ht="15.75" customHeight="1">
      <c r="A697" s="1"/>
      <c r="B697" s="1"/>
      <c r="C697" s="1"/>
      <c r="D697" s="1"/>
      <c r="E697" s="1"/>
      <c r="F697" s="1"/>
      <c r="G697" s="1"/>
      <c r="H697" s="1"/>
      <c r="I697" s="1"/>
      <c r="J697" s="1"/>
      <c r="K697" s="1"/>
      <c r="L697" s="1"/>
      <c r="M697" s="1"/>
      <c r="N697" s="1"/>
    </row>
    <row r="698" ht="15.75" customHeight="1">
      <c r="A698" s="1"/>
      <c r="B698" s="1"/>
      <c r="C698" s="1"/>
      <c r="D698" s="1"/>
      <c r="E698" s="1"/>
      <c r="F698" s="1"/>
      <c r="G698" s="1"/>
      <c r="H698" s="1"/>
      <c r="I698" s="1"/>
      <c r="J698" s="1"/>
      <c r="K698" s="1"/>
      <c r="L698" s="1"/>
      <c r="M698" s="1"/>
      <c r="N698" s="1"/>
    </row>
    <row r="699" ht="15.75" customHeight="1">
      <c r="A699" s="1"/>
      <c r="B699" s="1"/>
      <c r="C699" s="1"/>
      <c r="D699" s="1"/>
      <c r="E699" s="1"/>
      <c r="F699" s="1"/>
      <c r="G699" s="1"/>
      <c r="H699" s="1"/>
      <c r="I699" s="1"/>
      <c r="J699" s="1"/>
      <c r="K699" s="1"/>
      <c r="L699" s="1"/>
      <c r="M699" s="1"/>
      <c r="N699" s="1"/>
    </row>
    <row r="700" ht="15.75" customHeight="1">
      <c r="A700" s="1"/>
      <c r="B700" s="1"/>
      <c r="C700" s="1"/>
      <c r="D700" s="1"/>
      <c r="E700" s="1"/>
      <c r="F700" s="1"/>
      <c r="G700" s="1"/>
      <c r="H700" s="1"/>
      <c r="I700" s="1"/>
      <c r="J700" s="1"/>
      <c r="K700" s="1"/>
      <c r="L700" s="1"/>
      <c r="M700" s="1"/>
      <c r="N700" s="1"/>
    </row>
    <row r="701" ht="15.75" customHeight="1">
      <c r="A701" s="1"/>
      <c r="B701" s="1"/>
      <c r="C701" s="1"/>
      <c r="D701" s="1"/>
      <c r="E701" s="1"/>
      <c r="F701" s="1"/>
      <c r="G701" s="1"/>
      <c r="H701" s="1"/>
      <c r="I701" s="1"/>
      <c r="J701" s="1"/>
      <c r="K701" s="1"/>
      <c r="L701" s="1"/>
      <c r="M701" s="1"/>
      <c r="N701" s="1"/>
    </row>
    <row r="702" ht="15.75" customHeight="1">
      <c r="A702" s="1"/>
      <c r="B702" s="1"/>
      <c r="C702" s="1"/>
      <c r="D702" s="1"/>
      <c r="E702" s="1"/>
      <c r="F702" s="1"/>
      <c r="G702" s="1"/>
      <c r="H702" s="1"/>
      <c r="I702" s="1"/>
      <c r="J702" s="1"/>
      <c r="K702" s="1"/>
      <c r="L702" s="1"/>
      <c r="M702" s="1"/>
      <c r="N702" s="1"/>
    </row>
    <row r="703" ht="15.75" customHeight="1">
      <c r="A703" s="1"/>
      <c r="B703" s="1"/>
      <c r="C703" s="1"/>
      <c r="D703" s="1"/>
      <c r="E703" s="1"/>
      <c r="F703" s="1"/>
      <c r="G703" s="1"/>
      <c r="H703" s="1"/>
      <c r="I703" s="1"/>
      <c r="J703" s="1"/>
      <c r="K703" s="1"/>
      <c r="L703" s="1"/>
      <c r="M703" s="1"/>
      <c r="N703" s="1"/>
    </row>
    <row r="704" ht="15.75" customHeight="1">
      <c r="A704" s="1"/>
      <c r="B704" s="1"/>
      <c r="C704" s="1"/>
      <c r="D704" s="1"/>
      <c r="E704" s="1"/>
      <c r="F704" s="1"/>
      <c r="G704" s="1"/>
      <c r="H704" s="1"/>
      <c r="I704" s="1"/>
      <c r="J704" s="1"/>
      <c r="K704" s="1"/>
      <c r="L704" s="1"/>
      <c r="M704" s="1"/>
      <c r="N704" s="1"/>
    </row>
    <row r="705" ht="15.75" customHeight="1">
      <c r="A705" s="1"/>
      <c r="B705" s="1"/>
      <c r="C705" s="1"/>
      <c r="D705" s="1"/>
      <c r="E705" s="1"/>
      <c r="F705" s="1"/>
      <c r="G705" s="1"/>
      <c r="H705" s="1"/>
      <c r="I705" s="1"/>
      <c r="J705" s="1"/>
      <c r="K705" s="1"/>
      <c r="L705" s="1"/>
      <c r="M705" s="1"/>
      <c r="N705" s="1"/>
    </row>
    <row r="706" ht="15.75" customHeight="1">
      <c r="A706" s="1"/>
      <c r="B706" s="1"/>
      <c r="C706" s="1"/>
      <c r="D706" s="1"/>
      <c r="E706" s="1"/>
      <c r="F706" s="1"/>
      <c r="G706" s="1"/>
      <c r="H706" s="1"/>
      <c r="I706" s="1"/>
      <c r="J706" s="1"/>
      <c r="K706" s="1"/>
      <c r="L706" s="1"/>
      <c r="M706" s="1"/>
      <c r="N706" s="1"/>
    </row>
    <row r="707" ht="15.75" customHeight="1">
      <c r="A707" s="1"/>
      <c r="B707" s="1"/>
      <c r="C707" s="1"/>
      <c r="D707" s="1"/>
      <c r="E707" s="1"/>
      <c r="F707" s="1"/>
      <c r="G707" s="1"/>
      <c r="H707" s="1"/>
      <c r="I707" s="1"/>
      <c r="J707" s="1"/>
      <c r="K707" s="1"/>
      <c r="L707" s="1"/>
      <c r="M707" s="1"/>
      <c r="N707" s="1"/>
    </row>
    <row r="708" ht="15.75" customHeight="1">
      <c r="A708" s="1"/>
      <c r="B708" s="1"/>
      <c r="C708" s="1"/>
      <c r="D708" s="1"/>
      <c r="E708" s="1"/>
      <c r="F708" s="1"/>
      <c r="G708" s="1"/>
      <c r="H708" s="1"/>
      <c r="I708" s="1"/>
      <c r="J708" s="1"/>
      <c r="K708" s="1"/>
      <c r="L708" s="1"/>
      <c r="M708" s="1"/>
      <c r="N708" s="1"/>
    </row>
    <row r="709" ht="15.75" customHeight="1">
      <c r="A709" s="1"/>
      <c r="B709" s="1"/>
      <c r="C709" s="1"/>
      <c r="D709" s="1"/>
      <c r="E709" s="1"/>
      <c r="F709" s="1"/>
      <c r="G709" s="1"/>
      <c r="H709" s="1"/>
      <c r="I709" s="1"/>
      <c r="J709" s="1"/>
      <c r="K709" s="1"/>
      <c r="L709" s="1"/>
      <c r="M709" s="1"/>
      <c r="N709" s="1"/>
    </row>
    <row r="710" ht="15.75" customHeight="1">
      <c r="A710" s="1"/>
      <c r="B710" s="1"/>
      <c r="C710" s="1"/>
      <c r="D710" s="1"/>
      <c r="E710" s="1"/>
      <c r="F710" s="1"/>
      <c r="G710" s="1"/>
      <c r="H710" s="1"/>
      <c r="I710" s="1"/>
      <c r="J710" s="1"/>
      <c r="K710" s="1"/>
      <c r="L710" s="1"/>
      <c r="M710" s="1"/>
      <c r="N710" s="1"/>
    </row>
    <row r="711" ht="15.75" customHeight="1">
      <c r="A711" s="1"/>
      <c r="B711" s="1"/>
      <c r="C711" s="1"/>
      <c r="D711" s="1"/>
      <c r="E711" s="1"/>
      <c r="F711" s="1"/>
      <c r="G711" s="1"/>
      <c r="H711" s="1"/>
      <c r="I711" s="1"/>
      <c r="J711" s="1"/>
      <c r="K711" s="1"/>
      <c r="L711" s="1"/>
      <c r="M711" s="1"/>
      <c r="N711" s="1"/>
    </row>
    <row r="712" ht="15.75" customHeight="1">
      <c r="A712" s="1"/>
      <c r="B712" s="1"/>
      <c r="C712" s="1"/>
      <c r="D712" s="1"/>
      <c r="E712" s="1"/>
      <c r="F712" s="1"/>
      <c r="G712" s="1"/>
      <c r="H712" s="1"/>
      <c r="I712" s="1"/>
      <c r="J712" s="1"/>
      <c r="K712" s="1"/>
      <c r="L712" s="1"/>
      <c r="M712" s="1"/>
      <c r="N712" s="1"/>
    </row>
    <row r="713" ht="15.75" customHeight="1">
      <c r="A713" s="1"/>
      <c r="B713" s="1"/>
      <c r="C713" s="1"/>
      <c r="D713" s="1"/>
      <c r="E713" s="1"/>
      <c r="F713" s="1"/>
      <c r="G713" s="1"/>
      <c r="H713" s="1"/>
      <c r="I713" s="1"/>
      <c r="J713" s="1"/>
      <c r="K713" s="1"/>
      <c r="L713" s="1"/>
      <c r="M713" s="1"/>
      <c r="N713" s="1"/>
    </row>
    <row r="714" ht="15.75" customHeight="1">
      <c r="A714" s="1"/>
      <c r="B714" s="1"/>
      <c r="C714" s="1"/>
      <c r="D714" s="1"/>
      <c r="E714" s="1"/>
      <c r="F714" s="1"/>
      <c r="G714" s="1"/>
      <c r="H714" s="1"/>
      <c r="I714" s="1"/>
      <c r="J714" s="1"/>
      <c r="K714" s="1"/>
      <c r="L714" s="1"/>
      <c r="M714" s="1"/>
      <c r="N714" s="1"/>
    </row>
    <row r="715" ht="15.75" customHeight="1">
      <c r="A715" s="1"/>
      <c r="B715" s="1"/>
      <c r="C715" s="1"/>
      <c r="D715" s="1"/>
      <c r="E715" s="1"/>
      <c r="F715" s="1"/>
      <c r="G715" s="1"/>
      <c r="H715" s="1"/>
      <c r="I715" s="1"/>
      <c r="J715" s="1"/>
      <c r="K715" s="1"/>
      <c r="L715" s="1"/>
      <c r="M715" s="1"/>
      <c r="N715" s="1"/>
    </row>
    <row r="716" ht="15.75" customHeight="1">
      <c r="A716" s="1"/>
      <c r="B716" s="1"/>
      <c r="C716" s="1"/>
      <c r="D716" s="1"/>
      <c r="E716" s="1"/>
      <c r="F716" s="1"/>
      <c r="G716" s="1"/>
      <c r="H716" s="1"/>
      <c r="I716" s="1"/>
      <c r="J716" s="1"/>
      <c r="K716" s="1"/>
      <c r="L716" s="1"/>
      <c r="M716" s="1"/>
      <c r="N716" s="1"/>
    </row>
    <row r="717" ht="15.75" customHeight="1">
      <c r="A717" s="1"/>
      <c r="B717" s="1"/>
      <c r="C717" s="1"/>
      <c r="D717" s="1"/>
      <c r="E717" s="1"/>
      <c r="F717" s="1"/>
      <c r="G717" s="1"/>
      <c r="H717" s="1"/>
      <c r="I717" s="1"/>
      <c r="J717" s="1"/>
      <c r="K717" s="1"/>
      <c r="L717" s="1"/>
      <c r="M717" s="1"/>
      <c r="N717" s="1"/>
    </row>
    <row r="718" ht="15.75" customHeight="1">
      <c r="A718" s="1"/>
      <c r="B718" s="1"/>
      <c r="C718" s="1"/>
      <c r="D718" s="1"/>
      <c r="E718" s="1"/>
      <c r="F718" s="1"/>
      <c r="G718" s="1"/>
      <c r="H718" s="1"/>
      <c r="I718" s="1"/>
      <c r="J718" s="1"/>
      <c r="K718" s="1"/>
      <c r="L718" s="1"/>
      <c r="M718" s="1"/>
      <c r="N718" s="1"/>
    </row>
    <row r="719" ht="15.75" customHeight="1">
      <c r="A719" s="1"/>
      <c r="B719" s="1"/>
      <c r="C719" s="1"/>
      <c r="D719" s="1"/>
      <c r="E719" s="1"/>
      <c r="F719" s="1"/>
      <c r="G719" s="1"/>
      <c r="H719" s="1"/>
      <c r="I719" s="1"/>
      <c r="J719" s="1"/>
      <c r="K719" s="1"/>
      <c r="L719" s="1"/>
      <c r="M719" s="1"/>
      <c r="N719" s="1"/>
    </row>
    <row r="720" ht="15.75" customHeight="1">
      <c r="A720" s="1"/>
      <c r="B720" s="1"/>
      <c r="C720" s="1"/>
      <c r="D720" s="1"/>
      <c r="E720" s="1"/>
      <c r="F720" s="1"/>
      <c r="G720" s="1"/>
      <c r="H720" s="1"/>
      <c r="I720" s="1"/>
      <c r="J720" s="1"/>
      <c r="K720" s="1"/>
      <c r="L720" s="1"/>
      <c r="M720" s="1"/>
      <c r="N720" s="1"/>
    </row>
    <row r="721" ht="15.75" customHeight="1">
      <c r="A721" s="1"/>
      <c r="B721" s="1"/>
      <c r="C721" s="1"/>
      <c r="D721" s="1"/>
      <c r="E721" s="1"/>
      <c r="F721" s="1"/>
      <c r="G721" s="1"/>
      <c r="H721" s="1"/>
      <c r="I721" s="1"/>
      <c r="J721" s="1"/>
      <c r="K721" s="1"/>
      <c r="L721" s="1"/>
      <c r="M721" s="1"/>
      <c r="N721" s="1"/>
    </row>
    <row r="722" ht="15.75" customHeight="1">
      <c r="A722" s="1"/>
      <c r="B722" s="1"/>
      <c r="C722" s="1"/>
      <c r="D722" s="1"/>
      <c r="E722" s="1"/>
      <c r="F722" s="1"/>
      <c r="G722" s="1"/>
      <c r="H722" s="1"/>
      <c r="I722" s="1"/>
      <c r="J722" s="1"/>
      <c r="K722" s="1"/>
      <c r="L722" s="1"/>
      <c r="M722" s="1"/>
      <c r="N722" s="1"/>
    </row>
    <row r="723" ht="15.75" customHeight="1">
      <c r="A723" s="1"/>
      <c r="B723" s="1"/>
      <c r="C723" s="1"/>
      <c r="D723" s="1"/>
      <c r="E723" s="1"/>
      <c r="F723" s="1"/>
      <c r="G723" s="1"/>
      <c r="H723" s="1"/>
      <c r="I723" s="1"/>
      <c r="J723" s="1"/>
      <c r="K723" s="1"/>
      <c r="L723" s="1"/>
      <c r="M723" s="1"/>
      <c r="N723" s="1"/>
    </row>
    <row r="724" ht="15.75" customHeight="1">
      <c r="A724" s="1"/>
      <c r="B724" s="1"/>
      <c r="C724" s="1"/>
      <c r="D724" s="1"/>
      <c r="E724" s="1"/>
      <c r="F724" s="1"/>
      <c r="G724" s="1"/>
      <c r="H724" s="1"/>
      <c r="I724" s="1"/>
      <c r="J724" s="1"/>
      <c r="K724" s="1"/>
      <c r="L724" s="1"/>
      <c r="M724" s="1"/>
      <c r="N724" s="1"/>
    </row>
    <row r="725" ht="15.75" customHeight="1">
      <c r="A725" s="1"/>
      <c r="B725" s="1"/>
      <c r="C725" s="1"/>
      <c r="D725" s="1"/>
      <c r="E725" s="1"/>
      <c r="F725" s="1"/>
      <c r="G725" s="1"/>
      <c r="H725" s="1"/>
      <c r="I725" s="1"/>
      <c r="J725" s="1"/>
      <c r="K725" s="1"/>
      <c r="L725" s="1"/>
      <c r="M725" s="1"/>
      <c r="N725" s="1"/>
    </row>
    <row r="726" ht="15.75" customHeight="1">
      <c r="A726" s="1"/>
      <c r="B726" s="1"/>
      <c r="C726" s="1"/>
      <c r="D726" s="1"/>
      <c r="E726" s="1"/>
      <c r="F726" s="1"/>
      <c r="G726" s="1"/>
      <c r="H726" s="1"/>
      <c r="I726" s="1"/>
      <c r="J726" s="1"/>
      <c r="K726" s="1"/>
      <c r="L726" s="1"/>
      <c r="M726" s="1"/>
      <c r="N726" s="1"/>
    </row>
    <row r="727" ht="15.75" customHeight="1">
      <c r="A727" s="1"/>
      <c r="B727" s="1"/>
      <c r="C727" s="1"/>
      <c r="D727" s="1"/>
      <c r="E727" s="1"/>
      <c r="F727" s="1"/>
      <c r="G727" s="1"/>
      <c r="H727" s="1"/>
      <c r="I727" s="1"/>
      <c r="J727" s="1"/>
      <c r="K727" s="1"/>
      <c r="L727" s="1"/>
      <c r="M727" s="1"/>
      <c r="N727" s="1"/>
    </row>
    <row r="728" ht="15.75" customHeight="1">
      <c r="A728" s="1"/>
      <c r="B728" s="1"/>
      <c r="C728" s="1"/>
      <c r="D728" s="1"/>
      <c r="E728" s="1"/>
      <c r="F728" s="1"/>
      <c r="G728" s="1"/>
      <c r="H728" s="1"/>
      <c r="I728" s="1"/>
      <c r="J728" s="1"/>
      <c r="K728" s="1"/>
      <c r="L728" s="1"/>
      <c r="M728" s="1"/>
      <c r="N728" s="1"/>
    </row>
    <row r="729" ht="15.75" customHeight="1">
      <c r="A729" s="1"/>
      <c r="B729" s="1"/>
      <c r="C729" s="1"/>
      <c r="D729" s="1"/>
      <c r="E729" s="1"/>
      <c r="F729" s="1"/>
      <c r="G729" s="1"/>
      <c r="H729" s="1"/>
      <c r="I729" s="1"/>
      <c r="J729" s="1"/>
      <c r="K729" s="1"/>
      <c r="L729" s="1"/>
      <c r="M729" s="1"/>
      <c r="N729" s="1"/>
    </row>
    <row r="730" ht="15.75" customHeight="1">
      <c r="A730" s="1"/>
      <c r="B730" s="1"/>
      <c r="C730" s="1"/>
      <c r="D730" s="1"/>
      <c r="E730" s="1"/>
      <c r="F730" s="1"/>
      <c r="G730" s="1"/>
      <c r="H730" s="1"/>
      <c r="I730" s="1"/>
      <c r="J730" s="1"/>
      <c r="K730" s="1"/>
      <c r="L730" s="1"/>
      <c r="M730" s="1"/>
      <c r="N730" s="1"/>
    </row>
    <row r="731" ht="15.75" customHeight="1">
      <c r="A731" s="1"/>
      <c r="B731" s="1"/>
      <c r="C731" s="1"/>
      <c r="D731" s="1"/>
      <c r="E731" s="1"/>
      <c r="F731" s="1"/>
      <c r="G731" s="1"/>
      <c r="H731" s="1"/>
      <c r="I731" s="1"/>
      <c r="J731" s="1"/>
      <c r="K731" s="1"/>
      <c r="L731" s="1"/>
      <c r="M731" s="1"/>
      <c r="N731" s="1"/>
    </row>
    <row r="732" ht="15.75" customHeight="1">
      <c r="A732" s="1"/>
      <c r="B732" s="1"/>
      <c r="C732" s="1"/>
      <c r="D732" s="1"/>
      <c r="E732" s="1"/>
      <c r="F732" s="1"/>
      <c r="G732" s="1"/>
      <c r="H732" s="1"/>
      <c r="I732" s="1"/>
      <c r="J732" s="1"/>
      <c r="K732" s="1"/>
      <c r="L732" s="1"/>
      <c r="M732" s="1"/>
      <c r="N732" s="1"/>
    </row>
    <row r="733" ht="15.75" customHeight="1">
      <c r="A733" s="1"/>
      <c r="B733" s="1"/>
      <c r="C733" s="1"/>
      <c r="D733" s="1"/>
      <c r="E733" s="1"/>
      <c r="F733" s="1"/>
      <c r="G733" s="1"/>
      <c r="H733" s="1"/>
      <c r="I733" s="1"/>
      <c r="J733" s="1"/>
      <c r="K733" s="1"/>
      <c r="L733" s="1"/>
      <c r="M733" s="1"/>
      <c r="N733" s="1"/>
    </row>
    <row r="734" ht="15.75" customHeight="1">
      <c r="A734" s="1"/>
      <c r="B734" s="1"/>
      <c r="C734" s="1"/>
      <c r="D734" s="1"/>
      <c r="E734" s="1"/>
      <c r="F734" s="1"/>
      <c r="G734" s="1"/>
      <c r="H734" s="1"/>
      <c r="I734" s="1"/>
      <c r="J734" s="1"/>
      <c r="K734" s="1"/>
      <c r="L734" s="1"/>
      <c r="M734" s="1"/>
      <c r="N734" s="1"/>
    </row>
    <row r="735" ht="15.75" customHeight="1">
      <c r="A735" s="1"/>
      <c r="B735" s="1"/>
      <c r="C735" s="1"/>
      <c r="D735" s="1"/>
      <c r="E735" s="1"/>
      <c r="F735" s="1"/>
      <c r="G735" s="1"/>
      <c r="H735" s="1"/>
      <c r="I735" s="1"/>
      <c r="J735" s="1"/>
      <c r="K735" s="1"/>
      <c r="L735" s="1"/>
      <c r="M735" s="1"/>
      <c r="N735" s="1"/>
    </row>
    <row r="736" ht="15.75" customHeight="1">
      <c r="A736" s="1"/>
      <c r="B736" s="1"/>
      <c r="C736" s="1"/>
      <c r="D736" s="1"/>
      <c r="E736" s="1"/>
      <c r="F736" s="1"/>
      <c r="G736" s="1"/>
      <c r="H736" s="1"/>
      <c r="I736" s="1"/>
      <c r="J736" s="1"/>
      <c r="K736" s="1"/>
      <c r="L736" s="1"/>
      <c r="M736" s="1"/>
      <c r="N736" s="1"/>
    </row>
    <row r="737" ht="15.75" customHeight="1">
      <c r="A737" s="1"/>
      <c r="B737" s="1"/>
      <c r="C737" s="1"/>
      <c r="D737" s="1"/>
      <c r="E737" s="1"/>
      <c r="F737" s="1"/>
      <c r="G737" s="1"/>
      <c r="H737" s="1"/>
      <c r="I737" s="1"/>
      <c r="J737" s="1"/>
      <c r="K737" s="1"/>
      <c r="L737" s="1"/>
      <c r="M737" s="1"/>
      <c r="N737" s="1"/>
    </row>
    <row r="738" ht="15.75" customHeight="1">
      <c r="A738" s="1"/>
      <c r="B738" s="1"/>
      <c r="C738" s="1"/>
      <c r="D738" s="1"/>
      <c r="E738" s="1"/>
      <c r="F738" s="1"/>
      <c r="G738" s="1"/>
      <c r="H738" s="1"/>
      <c r="I738" s="1"/>
      <c r="J738" s="1"/>
      <c r="K738" s="1"/>
      <c r="L738" s="1"/>
      <c r="M738" s="1"/>
      <c r="N738" s="1"/>
    </row>
    <row r="739" ht="15.75" customHeight="1">
      <c r="A739" s="1"/>
      <c r="B739" s="1"/>
      <c r="C739" s="1"/>
      <c r="D739" s="1"/>
      <c r="E739" s="1"/>
      <c r="F739" s="1"/>
      <c r="G739" s="1"/>
      <c r="H739" s="1"/>
      <c r="I739" s="1"/>
      <c r="J739" s="1"/>
      <c r="K739" s="1"/>
      <c r="L739" s="1"/>
      <c r="M739" s="1"/>
      <c r="N739" s="1"/>
    </row>
    <row r="740" ht="15.75" customHeight="1">
      <c r="A740" s="1"/>
      <c r="B740" s="1"/>
      <c r="C740" s="1"/>
      <c r="D740" s="1"/>
      <c r="E740" s="1"/>
      <c r="F740" s="1"/>
      <c r="G740" s="1"/>
      <c r="H740" s="1"/>
      <c r="I740" s="1"/>
      <c r="J740" s="1"/>
      <c r="K740" s="1"/>
      <c r="L740" s="1"/>
      <c r="M740" s="1"/>
      <c r="N740" s="1"/>
    </row>
    <row r="741" ht="15.75" customHeight="1">
      <c r="A741" s="1"/>
      <c r="B741" s="1"/>
      <c r="C741" s="1"/>
      <c r="D741" s="1"/>
      <c r="E741" s="1"/>
      <c r="F741" s="1"/>
      <c r="G741" s="1"/>
      <c r="H741" s="1"/>
      <c r="I741" s="1"/>
      <c r="J741" s="1"/>
      <c r="K741" s="1"/>
      <c r="L741" s="1"/>
      <c r="M741" s="1"/>
      <c r="N741" s="1"/>
    </row>
    <row r="742" ht="15.75" customHeight="1">
      <c r="A742" s="1"/>
      <c r="B742" s="1"/>
      <c r="C742" s="1"/>
      <c r="D742" s="1"/>
      <c r="E742" s="1"/>
      <c r="F742" s="1"/>
      <c r="G742" s="1"/>
      <c r="H742" s="1"/>
      <c r="I742" s="1"/>
      <c r="J742" s="1"/>
      <c r="K742" s="1"/>
      <c r="L742" s="1"/>
      <c r="M742" s="1"/>
      <c r="N742" s="1"/>
    </row>
    <row r="743" ht="15.75" customHeight="1">
      <c r="A743" s="1"/>
      <c r="B743" s="1"/>
      <c r="C743" s="1"/>
      <c r="D743" s="1"/>
      <c r="E743" s="1"/>
      <c r="F743" s="1"/>
      <c r="G743" s="1"/>
      <c r="H743" s="1"/>
      <c r="I743" s="1"/>
      <c r="J743" s="1"/>
      <c r="K743" s="1"/>
      <c r="L743" s="1"/>
      <c r="M743" s="1"/>
      <c r="N743" s="1"/>
    </row>
    <row r="744" ht="15.75" customHeight="1">
      <c r="A744" s="1"/>
      <c r="B744" s="1"/>
      <c r="C744" s="1"/>
      <c r="D744" s="1"/>
      <c r="E744" s="1"/>
      <c r="F744" s="1"/>
      <c r="G744" s="1"/>
      <c r="H744" s="1"/>
      <c r="I744" s="1"/>
      <c r="J744" s="1"/>
      <c r="K744" s="1"/>
      <c r="L744" s="1"/>
      <c r="M744" s="1"/>
      <c r="N744" s="1"/>
    </row>
    <row r="745" ht="15.75" customHeight="1">
      <c r="A745" s="1"/>
      <c r="B745" s="1"/>
      <c r="C745" s="1"/>
      <c r="D745" s="1"/>
      <c r="E745" s="1"/>
      <c r="F745" s="1"/>
      <c r="G745" s="1"/>
      <c r="H745" s="1"/>
      <c r="I745" s="1"/>
      <c r="J745" s="1"/>
      <c r="K745" s="1"/>
      <c r="L745" s="1"/>
      <c r="M745" s="1"/>
      <c r="N745" s="1"/>
    </row>
    <row r="746" ht="15.75" customHeight="1">
      <c r="A746" s="1"/>
      <c r="B746" s="1"/>
      <c r="C746" s="1"/>
      <c r="D746" s="1"/>
      <c r="E746" s="1"/>
      <c r="F746" s="1"/>
      <c r="G746" s="1"/>
      <c r="H746" s="1"/>
      <c r="I746" s="1"/>
      <c r="J746" s="1"/>
      <c r="K746" s="1"/>
      <c r="L746" s="1"/>
      <c r="M746" s="1"/>
      <c r="N746" s="1"/>
    </row>
    <row r="747" ht="15.75" customHeight="1">
      <c r="A747" s="1"/>
      <c r="B747" s="1"/>
      <c r="C747" s="1"/>
      <c r="D747" s="1"/>
      <c r="E747" s="1"/>
      <c r="F747" s="1"/>
      <c r="G747" s="1"/>
      <c r="H747" s="1"/>
      <c r="I747" s="1"/>
      <c r="J747" s="1"/>
      <c r="K747" s="1"/>
      <c r="L747" s="1"/>
      <c r="M747" s="1"/>
      <c r="N747" s="1"/>
    </row>
    <row r="748" ht="15.75" customHeight="1">
      <c r="A748" s="1"/>
      <c r="B748" s="1"/>
      <c r="C748" s="1"/>
      <c r="D748" s="1"/>
      <c r="E748" s="1"/>
      <c r="F748" s="1"/>
      <c r="G748" s="1"/>
      <c r="H748" s="1"/>
      <c r="I748" s="1"/>
      <c r="J748" s="1"/>
      <c r="K748" s="1"/>
      <c r="L748" s="1"/>
      <c r="M748" s="1"/>
      <c r="N748" s="1"/>
    </row>
    <row r="749" ht="15.75" customHeight="1">
      <c r="A749" s="1"/>
      <c r="B749" s="1"/>
      <c r="C749" s="1"/>
      <c r="D749" s="1"/>
      <c r="E749" s="1"/>
      <c r="F749" s="1"/>
      <c r="G749" s="1"/>
      <c r="H749" s="1"/>
      <c r="I749" s="1"/>
      <c r="J749" s="1"/>
      <c r="K749" s="1"/>
      <c r="L749" s="1"/>
      <c r="M749" s="1"/>
      <c r="N749" s="1"/>
    </row>
    <row r="750" ht="15.75" customHeight="1">
      <c r="A750" s="1"/>
      <c r="B750" s="1"/>
      <c r="C750" s="1"/>
      <c r="D750" s="1"/>
      <c r="E750" s="1"/>
      <c r="F750" s="1"/>
      <c r="G750" s="1"/>
      <c r="H750" s="1"/>
      <c r="I750" s="1"/>
      <c r="J750" s="1"/>
      <c r="K750" s="1"/>
      <c r="L750" s="1"/>
      <c r="M750" s="1"/>
      <c r="N750" s="1"/>
    </row>
    <row r="751" ht="15.75" customHeight="1">
      <c r="A751" s="1"/>
      <c r="B751" s="1"/>
      <c r="C751" s="1"/>
      <c r="D751" s="1"/>
      <c r="E751" s="1"/>
      <c r="F751" s="1"/>
      <c r="G751" s="1"/>
      <c r="H751" s="1"/>
      <c r="I751" s="1"/>
      <c r="J751" s="1"/>
      <c r="K751" s="1"/>
      <c r="L751" s="1"/>
      <c r="M751" s="1"/>
      <c r="N751" s="1"/>
    </row>
    <row r="752" ht="15.75" customHeight="1">
      <c r="A752" s="1"/>
      <c r="B752" s="1"/>
      <c r="C752" s="1"/>
      <c r="D752" s="1"/>
      <c r="E752" s="1"/>
      <c r="F752" s="1"/>
      <c r="G752" s="1"/>
      <c r="H752" s="1"/>
      <c r="I752" s="1"/>
      <c r="J752" s="1"/>
      <c r="K752" s="1"/>
      <c r="L752" s="1"/>
      <c r="M752" s="1"/>
      <c r="N752" s="1"/>
    </row>
    <row r="753" ht="15.75" customHeight="1">
      <c r="A753" s="1"/>
      <c r="B753" s="1"/>
      <c r="C753" s="1"/>
      <c r="D753" s="1"/>
      <c r="E753" s="1"/>
      <c r="F753" s="1"/>
      <c r="G753" s="1"/>
      <c r="H753" s="1"/>
      <c r="I753" s="1"/>
      <c r="J753" s="1"/>
      <c r="K753" s="1"/>
      <c r="L753" s="1"/>
      <c r="M753" s="1"/>
      <c r="N753" s="1"/>
    </row>
    <row r="754" ht="15.75" customHeight="1">
      <c r="A754" s="1"/>
      <c r="B754" s="1"/>
      <c r="C754" s="1"/>
      <c r="D754" s="1"/>
      <c r="E754" s="1"/>
      <c r="F754" s="1"/>
      <c r="G754" s="1"/>
      <c r="H754" s="1"/>
      <c r="I754" s="1"/>
      <c r="J754" s="1"/>
      <c r="K754" s="1"/>
      <c r="L754" s="1"/>
      <c r="M754" s="1"/>
      <c r="N754" s="1"/>
    </row>
    <row r="755" ht="15.75" customHeight="1">
      <c r="A755" s="1"/>
      <c r="B755" s="1"/>
      <c r="C755" s="1"/>
      <c r="D755" s="1"/>
      <c r="E755" s="1"/>
      <c r="F755" s="1"/>
      <c r="G755" s="1"/>
      <c r="H755" s="1"/>
      <c r="I755" s="1"/>
      <c r="J755" s="1"/>
      <c r="K755" s="1"/>
      <c r="L755" s="1"/>
      <c r="M755" s="1"/>
      <c r="N755" s="1"/>
    </row>
    <row r="756" ht="15.75" customHeight="1">
      <c r="A756" s="1"/>
      <c r="B756" s="1"/>
      <c r="C756" s="1"/>
      <c r="D756" s="1"/>
      <c r="E756" s="1"/>
      <c r="F756" s="1"/>
      <c r="G756" s="1"/>
      <c r="H756" s="1"/>
      <c r="I756" s="1"/>
      <c r="J756" s="1"/>
      <c r="K756" s="1"/>
      <c r="L756" s="1"/>
      <c r="M756" s="1"/>
      <c r="N756" s="1"/>
    </row>
    <row r="757" ht="15.75" customHeight="1">
      <c r="A757" s="1"/>
      <c r="B757" s="1"/>
      <c r="C757" s="1"/>
      <c r="D757" s="1"/>
      <c r="E757" s="1"/>
      <c r="F757" s="1"/>
      <c r="G757" s="1"/>
      <c r="H757" s="1"/>
      <c r="I757" s="1"/>
      <c r="J757" s="1"/>
      <c r="K757" s="1"/>
      <c r="L757" s="1"/>
      <c r="M757" s="1"/>
      <c r="N757" s="1"/>
    </row>
    <row r="758" ht="15.75" customHeight="1">
      <c r="A758" s="1"/>
      <c r="B758" s="1"/>
      <c r="C758" s="1"/>
      <c r="D758" s="1"/>
      <c r="E758" s="1"/>
      <c r="F758" s="1"/>
      <c r="G758" s="1"/>
      <c r="H758" s="1"/>
      <c r="I758" s="1"/>
      <c r="J758" s="1"/>
      <c r="K758" s="1"/>
      <c r="L758" s="1"/>
      <c r="M758" s="1"/>
      <c r="N758" s="1"/>
    </row>
    <row r="759" ht="15.75" customHeight="1">
      <c r="A759" s="1"/>
      <c r="B759" s="1"/>
      <c r="C759" s="1"/>
      <c r="D759" s="1"/>
      <c r="E759" s="1"/>
      <c r="F759" s="1"/>
      <c r="G759" s="1"/>
      <c r="H759" s="1"/>
      <c r="I759" s="1"/>
      <c r="J759" s="1"/>
      <c r="K759" s="1"/>
      <c r="L759" s="1"/>
      <c r="M759" s="1"/>
      <c r="N759" s="1"/>
    </row>
    <row r="760" ht="15.75" customHeight="1">
      <c r="A760" s="1"/>
      <c r="B760" s="1"/>
      <c r="C760" s="1"/>
      <c r="D760" s="1"/>
      <c r="E760" s="1"/>
      <c r="F760" s="1"/>
      <c r="G760" s="1"/>
      <c r="H760" s="1"/>
      <c r="I760" s="1"/>
      <c r="J760" s="1"/>
      <c r="K760" s="1"/>
      <c r="L760" s="1"/>
      <c r="M760" s="1"/>
      <c r="N760" s="1"/>
    </row>
    <row r="761" ht="15.75" customHeight="1">
      <c r="A761" s="1"/>
      <c r="B761" s="1"/>
      <c r="C761" s="1"/>
      <c r="D761" s="1"/>
      <c r="E761" s="1"/>
      <c r="F761" s="1"/>
      <c r="G761" s="1"/>
      <c r="H761" s="1"/>
      <c r="I761" s="1"/>
      <c r="J761" s="1"/>
      <c r="K761" s="1"/>
      <c r="L761" s="1"/>
      <c r="M761" s="1"/>
      <c r="N761" s="1"/>
    </row>
    <row r="762" ht="15.75" customHeight="1">
      <c r="A762" s="1"/>
      <c r="B762" s="1"/>
      <c r="C762" s="1"/>
      <c r="D762" s="1"/>
      <c r="E762" s="1"/>
      <c r="F762" s="1"/>
      <c r="G762" s="1"/>
      <c r="H762" s="1"/>
      <c r="I762" s="1"/>
      <c r="J762" s="1"/>
      <c r="K762" s="1"/>
      <c r="L762" s="1"/>
      <c r="M762" s="1"/>
      <c r="N762" s="1"/>
    </row>
    <row r="763" ht="15.75" customHeight="1">
      <c r="A763" s="1"/>
      <c r="B763" s="1"/>
      <c r="C763" s="1"/>
      <c r="D763" s="1"/>
      <c r="E763" s="1"/>
      <c r="F763" s="1"/>
      <c r="G763" s="1"/>
      <c r="H763" s="1"/>
      <c r="I763" s="1"/>
      <c r="J763" s="1"/>
      <c r="K763" s="1"/>
      <c r="L763" s="1"/>
      <c r="M763" s="1"/>
      <c r="N763" s="1"/>
    </row>
    <row r="764" ht="15.75" customHeight="1">
      <c r="A764" s="1"/>
      <c r="B764" s="1"/>
      <c r="C764" s="1"/>
      <c r="D764" s="1"/>
      <c r="E764" s="1"/>
      <c r="F764" s="1"/>
      <c r="G764" s="1"/>
      <c r="H764" s="1"/>
      <c r="I764" s="1"/>
      <c r="J764" s="1"/>
      <c r="K764" s="1"/>
      <c r="L764" s="1"/>
      <c r="M764" s="1"/>
      <c r="N764" s="1"/>
    </row>
    <row r="765" ht="15.75" customHeight="1">
      <c r="A765" s="1"/>
      <c r="B765" s="1"/>
      <c r="C765" s="1"/>
      <c r="D765" s="1"/>
      <c r="E765" s="1"/>
      <c r="F765" s="1"/>
      <c r="G765" s="1"/>
      <c r="H765" s="1"/>
      <c r="I765" s="1"/>
      <c r="J765" s="1"/>
      <c r="K765" s="1"/>
      <c r="L765" s="1"/>
      <c r="M765" s="1"/>
      <c r="N765" s="1"/>
    </row>
    <row r="766" ht="15.75" customHeight="1">
      <c r="A766" s="1"/>
      <c r="B766" s="1"/>
      <c r="C766" s="1"/>
      <c r="D766" s="1"/>
      <c r="E766" s="1"/>
      <c r="F766" s="1"/>
      <c r="G766" s="1"/>
      <c r="H766" s="1"/>
      <c r="I766" s="1"/>
      <c r="J766" s="1"/>
      <c r="K766" s="1"/>
      <c r="L766" s="1"/>
      <c r="M766" s="1"/>
      <c r="N766" s="1"/>
    </row>
    <row r="767" ht="15.75" customHeight="1">
      <c r="A767" s="1"/>
      <c r="B767" s="1"/>
      <c r="C767" s="1"/>
      <c r="D767" s="1"/>
      <c r="E767" s="1"/>
      <c r="F767" s="1"/>
      <c r="G767" s="1"/>
      <c r="H767" s="1"/>
      <c r="I767" s="1"/>
      <c r="J767" s="1"/>
      <c r="K767" s="1"/>
      <c r="L767" s="1"/>
      <c r="M767" s="1"/>
      <c r="N767" s="1"/>
    </row>
    <row r="768" ht="15.75" customHeight="1">
      <c r="A768" s="1"/>
      <c r="B768" s="1"/>
      <c r="C768" s="1"/>
      <c r="D768" s="1"/>
      <c r="E768" s="1"/>
      <c r="F768" s="1"/>
      <c r="G768" s="1"/>
      <c r="H768" s="1"/>
      <c r="I768" s="1"/>
      <c r="J768" s="1"/>
      <c r="K768" s="1"/>
      <c r="L768" s="1"/>
      <c r="M768" s="1"/>
      <c r="N768" s="1"/>
    </row>
    <row r="769" ht="15.75" customHeight="1">
      <c r="A769" s="1"/>
      <c r="B769" s="1"/>
      <c r="C769" s="1"/>
      <c r="D769" s="1"/>
      <c r="E769" s="1"/>
      <c r="F769" s="1"/>
      <c r="G769" s="1"/>
      <c r="H769" s="1"/>
      <c r="I769" s="1"/>
      <c r="J769" s="1"/>
      <c r="K769" s="1"/>
      <c r="L769" s="1"/>
      <c r="M769" s="1"/>
      <c r="N769" s="1"/>
    </row>
    <row r="770" ht="15.75" customHeight="1">
      <c r="A770" s="1"/>
      <c r="B770" s="1"/>
      <c r="C770" s="1"/>
      <c r="D770" s="1"/>
      <c r="E770" s="1"/>
      <c r="F770" s="1"/>
      <c r="G770" s="1"/>
      <c r="H770" s="1"/>
      <c r="I770" s="1"/>
      <c r="J770" s="1"/>
      <c r="K770" s="1"/>
      <c r="L770" s="1"/>
      <c r="M770" s="1"/>
      <c r="N770" s="1"/>
    </row>
    <row r="771" ht="15.75" customHeight="1">
      <c r="A771" s="1"/>
      <c r="B771" s="1"/>
      <c r="C771" s="1"/>
      <c r="D771" s="1"/>
      <c r="E771" s="1"/>
      <c r="F771" s="1"/>
      <c r="G771" s="1"/>
      <c r="H771" s="1"/>
      <c r="I771" s="1"/>
      <c r="J771" s="1"/>
      <c r="K771" s="1"/>
      <c r="L771" s="1"/>
      <c r="M771" s="1"/>
      <c r="N771" s="1"/>
    </row>
    <row r="772" ht="15.75" customHeight="1">
      <c r="A772" s="1"/>
      <c r="B772" s="1"/>
      <c r="C772" s="1"/>
      <c r="D772" s="1"/>
      <c r="E772" s="1"/>
      <c r="F772" s="1"/>
      <c r="G772" s="1"/>
      <c r="H772" s="1"/>
      <c r="I772" s="1"/>
      <c r="J772" s="1"/>
      <c r="K772" s="1"/>
      <c r="L772" s="1"/>
      <c r="M772" s="1"/>
      <c r="N772" s="1"/>
    </row>
    <row r="773" ht="15.75" customHeight="1">
      <c r="A773" s="1"/>
      <c r="B773" s="1"/>
      <c r="C773" s="1"/>
      <c r="D773" s="1"/>
      <c r="E773" s="1"/>
      <c r="F773" s="1"/>
      <c r="G773" s="1"/>
      <c r="H773" s="1"/>
      <c r="I773" s="1"/>
      <c r="J773" s="1"/>
      <c r="K773" s="1"/>
      <c r="L773" s="1"/>
      <c r="M773" s="1"/>
      <c r="N773" s="1"/>
    </row>
    <row r="774" ht="15.75" customHeight="1">
      <c r="A774" s="1"/>
      <c r="B774" s="1"/>
      <c r="C774" s="1"/>
      <c r="D774" s="1"/>
      <c r="E774" s="1"/>
      <c r="F774" s="1"/>
      <c r="G774" s="1"/>
      <c r="H774" s="1"/>
      <c r="I774" s="1"/>
      <c r="J774" s="1"/>
      <c r="K774" s="1"/>
      <c r="L774" s="1"/>
      <c r="M774" s="1"/>
      <c r="N774" s="1"/>
    </row>
    <row r="775" ht="15.75" customHeight="1">
      <c r="A775" s="1"/>
      <c r="B775" s="1"/>
      <c r="C775" s="1"/>
      <c r="D775" s="1"/>
      <c r="E775" s="1"/>
      <c r="F775" s="1"/>
      <c r="G775" s="1"/>
      <c r="H775" s="1"/>
      <c r="I775" s="1"/>
      <c r="J775" s="1"/>
      <c r="K775" s="1"/>
      <c r="L775" s="1"/>
      <c r="M775" s="1"/>
      <c r="N775" s="1"/>
    </row>
    <row r="776" ht="15.75" customHeight="1">
      <c r="A776" s="1"/>
      <c r="B776" s="1"/>
      <c r="C776" s="1"/>
      <c r="D776" s="1"/>
      <c r="E776" s="1"/>
      <c r="F776" s="1"/>
      <c r="G776" s="1"/>
      <c r="H776" s="1"/>
      <c r="I776" s="1"/>
      <c r="J776" s="1"/>
      <c r="K776" s="1"/>
      <c r="L776" s="1"/>
      <c r="M776" s="1"/>
      <c r="N776" s="1"/>
    </row>
    <row r="777" ht="15.75" customHeight="1">
      <c r="A777" s="1"/>
      <c r="B777" s="1"/>
      <c r="C777" s="1"/>
      <c r="D777" s="1"/>
      <c r="E777" s="1"/>
      <c r="F777" s="1"/>
      <c r="G777" s="1"/>
      <c r="H777" s="1"/>
      <c r="I777" s="1"/>
      <c r="J777" s="1"/>
      <c r="K777" s="1"/>
      <c r="L777" s="1"/>
      <c r="M777" s="1"/>
      <c r="N777" s="1"/>
    </row>
    <row r="778" ht="15.75" customHeight="1">
      <c r="A778" s="1"/>
      <c r="B778" s="1"/>
      <c r="C778" s="1"/>
      <c r="D778" s="1"/>
      <c r="E778" s="1"/>
      <c r="F778" s="1"/>
      <c r="G778" s="1"/>
      <c r="H778" s="1"/>
      <c r="I778" s="1"/>
      <c r="J778" s="1"/>
      <c r="K778" s="1"/>
      <c r="L778" s="1"/>
      <c r="M778" s="1"/>
      <c r="N778" s="1"/>
    </row>
    <row r="779" ht="15.75" customHeight="1">
      <c r="A779" s="1"/>
      <c r="B779" s="1"/>
      <c r="C779" s="1"/>
      <c r="D779" s="1"/>
      <c r="E779" s="1"/>
      <c r="F779" s="1"/>
      <c r="G779" s="1"/>
      <c r="H779" s="1"/>
      <c r="I779" s="1"/>
      <c r="J779" s="1"/>
      <c r="K779" s="1"/>
      <c r="L779" s="1"/>
      <c r="M779" s="1"/>
      <c r="N779" s="1"/>
    </row>
    <row r="780" ht="15.75" customHeight="1">
      <c r="A780" s="1"/>
      <c r="B780" s="1"/>
      <c r="C780" s="1"/>
      <c r="D780" s="1"/>
      <c r="E780" s="1"/>
      <c r="F780" s="1"/>
      <c r="G780" s="1"/>
      <c r="H780" s="1"/>
      <c r="I780" s="1"/>
      <c r="J780" s="1"/>
      <c r="K780" s="1"/>
      <c r="L780" s="1"/>
      <c r="M780" s="1"/>
      <c r="N780" s="1"/>
    </row>
    <row r="781" ht="15.75" customHeight="1">
      <c r="A781" s="1"/>
      <c r="B781" s="1"/>
      <c r="C781" s="1"/>
      <c r="D781" s="1"/>
      <c r="E781" s="1"/>
      <c r="F781" s="1"/>
      <c r="G781" s="1"/>
      <c r="H781" s="1"/>
      <c r="I781" s="1"/>
      <c r="J781" s="1"/>
      <c r="K781" s="1"/>
      <c r="L781" s="1"/>
      <c r="M781" s="1"/>
      <c r="N781" s="1"/>
    </row>
    <row r="782" ht="15.75" customHeight="1">
      <c r="A782" s="1"/>
      <c r="B782" s="1"/>
      <c r="C782" s="1"/>
      <c r="D782" s="1"/>
      <c r="E782" s="1"/>
      <c r="F782" s="1"/>
      <c r="G782" s="1"/>
      <c r="H782" s="1"/>
      <c r="I782" s="1"/>
      <c r="J782" s="1"/>
      <c r="K782" s="1"/>
      <c r="L782" s="1"/>
      <c r="M782" s="1"/>
      <c r="N782" s="1"/>
    </row>
    <row r="783" ht="15.75" customHeight="1">
      <c r="A783" s="1"/>
      <c r="B783" s="1"/>
      <c r="C783" s="1"/>
      <c r="D783" s="1"/>
      <c r="E783" s="1"/>
      <c r="F783" s="1"/>
      <c r="G783" s="1"/>
      <c r="H783" s="1"/>
      <c r="I783" s="1"/>
      <c r="J783" s="1"/>
      <c r="K783" s="1"/>
      <c r="L783" s="1"/>
      <c r="M783" s="1"/>
      <c r="N783" s="1"/>
    </row>
    <row r="784" ht="15.75" customHeight="1">
      <c r="A784" s="1"/>
      <c r="B784" s="1"/>
      <c r="C784" s="1"/>
      <c r="D784" s="1"/>
      <c r="E784" s="1"/>
      <c r="F784" s="1"/>
      <c r="G784" s="1"/>
      <c r="H784" s="1"/>
      <c r="I784" s="1"/>
      <c r="J784" s="1"/>
      <c r="K784" s="1"/>
      <c r="L784" s="1"/>
      <c r="M784" s="1"/>
      <c r="N784" s="1"/>
    </row>
    <row r="785" ht="15.75" customHeight="1">
      <c r="A785" s="1"/>
      <c r="B785" s="1"/>
      <c r="C785" s="1"/>
      <c r="D785" s="1"/>
      <c r="E785" s="1"/>
      <c r="F785" s="1"/>
      <c r="G785" s="1"/>
      <c r="H785" s="1"/>
      <c r="I785" s="1"/>
      <c r="J785" s="1"/>
      <c r="K785" s="1"/>
      <c r="L785" s="1"/>
      <c r="M785" s="1"/>
      <c r="N785" s="1"/>
    </row>
    <row r="786" ht="15.75" customHeight="1">
      <c r="A786" s="1"/>
      <c r="B786" s="1"/>
      <c r="C786" s="1"/>
      <c r="D786" s="1"/>
      <c r="E786" s="1"/>
      <c r="F786" s="1"/>
      <c r="G786" s="1"/>
      <c r="H786" s="1"/>
      <c r="I786" s="1"/>
      <c r="J786" s="1"/>
      <c r="K786" s="1"/>
      <c r="L786" s="1"/>
      <c r="M786" s="1"/>
      <c r="N786" s="1"/>
    </row>
    <row r="787" ht="15.75" customHeight="1">
      <c r="A787" s="1"/>
      <c r="B787" s="1"/>
      <c r="C787" s="1"/>
      <c r="D787" s="1"/>
      <c r="E787" s="1"/>
      <c r="F787" s="1"/>
      <c r="G787" s="1"/>
      <c r="H787" s="1"/>
      <c r="I787" s="1"/>
      <c r="J787" s="1"/>
      <c r="K787" s="1"/>
      <c r="L787" s="1"/>
      <c r="M787" s="1"/>
      <c r="N787" s="1"/>
    </row>
    <row r="788" ht="15.75" customHeight="1">
      <c r="A788" s="1"/>
      <c r="B788" s="1"/>
      <c r="C788" s="1"/>
      <c r="D788" s="1"/>
      <c r="E788" s="1"/>
      <c r="F788" s="1"/>
      <c r="G788" s="1"/>
      <c r="H788" s="1"/>
      <c r="I788" s="1"/>
      <c r="J788" s="1"/>
      <c r="K788" s="1"/>
      <c r="L788" s="1"/>
      <c r="M788" s="1"/>
      <c r="N788" s="1"/>
    </row>
    <row r="789" ht="15.75" customHeight="1">
      <c r="A789" s="1"/>
      <c r="B789" s="1"/>
      <c r="C789" s="1"/>
      <c r="D789" s="1"/>
      <c r="E789" s="1"/>
      <c r="F789" s="1"/>
      <c r="G789" s="1"/>
      <c r="H789" s="1"/>
      <c r="I789" s="1"/>
      <c r="J789" s="1"/>
      <c r="K789" s="1"/>
      <c r="L789" s="1"/>
      <c r="M789" s="1"/>
      <c r="N789" s="1"/>
    </row>
    <row r="790" ht="15.75" customHeight="1">
      <c r="A790" s="1"/>
      <c r="B790" s="1"/>
      <c r="C790" s="1"/>
      <c r="D790" s="1"/>
      <c r="E790" s="1"/>
      <c r="F790" s="1"/>
      <c r="G790" s="1"/>
      <c r="H790" s="1"/>
      <c r="I790" s="1"/>
      <c r="J790" s="1"/>
      <c r="K790" s="1"/>
      <c r="L790" s="1"/>
      <c r="M790" s="1"/>
      <c r="N790" s="1"/>
    </row>
    <row r="791" ht="15.75" customHeight="1">
      <c r="A791" s="1"/>
      <c r="B791" s="1"/>
      <c r="C791" s="1"/>
      <c r="D791" s="1"/>
      <c r="E791" s="1"/>
      <c r="F791" s="1"/>
      <c r="G791" s="1"/>
      <c r="H791" s="1"/>
      <c r="I791" s="1"/>
      <c r="J791" s="1"/>
      <c r="K791" s="1"/>
      <c r="L791" s="1"/>
      <c r="M791" s="1"/>
      <c r="N791" s="1"/>
    </row>
    <row r="792" ht="15.75" customHeight="1">
      <c r="A792" s="1"/>
      <c r="B792" s="1"/>
      <c r="C792" s="1"/>
      <c r="D792" s="1"/>
      <c r="E792" s="1"/>
      <c r="F792" s="1"/>
      <c r="G792" s="1"/>
      <c r="H792" s="1"/>
      <c r="I792" s="1"/>
      <c r="J792" s="1"/>
      <c r="K792" s="1"/>
      <c r="L792" s="1"/>
      <c r="M792" s="1"/>
      <c r="N792" s="1"/>
    </row>
    <row r="793" ht="15.75" customHeight="1">
      <c r="A793" s="1"/>
      <c r="B793" s="1"/>
      <c r="C793" s="1"/>
      <c r="D793" s="1"/>
      <c r="E793" s="1"/>
      <c r="F793" s="1"/>
      <c r="G793" s="1"/>
      <c r="H793" s="1"/>
      <c r="I793" s="1"/>
      <c r="J793" s="1"/>
      <c r="K793" s="1"/>
      <c r="L793" s="1"/>
      <c r="M793" s="1"/>
      <c r="N793" s="1"/>
    </row>
    <row r="794" ht="15.75" customHeight="1">
      <c r="A794" s="1"/>
      <c r="B794" s="1"/>
      <c r="C794" s="1"/>
      <c r="D794" s="1"/>
      <c r="E794" s="1"/>
      <c r="F794" s="1"/>
      <c r="G794" s="1"/>
      <c r="H794" s="1"/>
      <c r="I794" s="1"/>
      <c r="J794" s="1"/>
      <c r="K794" s="1"/>
      <c r="L794" s="1"/>
      <c r="M794" s="1"/>
      <c r="N794" s="1"/>
    </row>
    <row r="795" ht="15.75" customHeight="1">
      <c r="A795" s="1"/>
      <c r="B795" s="1"/>
      <c r="C795" s="1"/>
      <c r="D795" s="1"/>
      <c r="E795" s="1"/>
      <c r="F795" s="1"/>
      <c r="G795" s="1"/>
      <c r="H795" s="1"/>
      <c r="I795" s="1"/>
      <c r="J795" s="1"/>
      <c r="K795" s="1"/>
      <c r="L795" s="1"/>
      <c r="M795" s="1"/>
      <c r="N795" s="1"/>
    </row>
    <row r="796" ht="15.75" customHeight="1">
      <c r="A796" s="1"/>
      <c r="B796" s="1"/>
      <c r="C796" s="1"/>
      <c r="D796" s="1"/>
      <c r="E796" s="1"/>
      <c r="F796" s="1"/>
      <c r="G796" s="1"/>
      <c r="H796" s="1"/>
      <c r="I796" s="1"/>
      <c r="J796" s="1"/>
      <c r="K796" s="1"/>
      <c r="L796" s="1"/>
      <c r="M796" s="1"/>
      <c r="N796" s="1"/>
    </row>
    <row r="797" ht="15.75" customHeight="1">
      <c r="A797" s="1"/>
      <c r="B797" s="1"/>
      <c r="C797" s="1"/>
      <c r="D797" s="1"/>
      <c r="E797" s="1"/>
      <c r="F797" s="1"/>
      <c r="G797" s="1"/>
      <c r="H797" s="1"/>
      <c r="I797" s="1"/>
      <c r="J797" s="1"/>
      <c r="K797" s="1"/>
      <c r="L797" s="1"/>
      <c r="M797" s="1"/>
      <c r="N797" s="1"/>
    </row>
    <row r="798" ht="15.75" customHeight="1">
      <c r="A798" s="1"/>
      <c r="B798" s="1"/>
      <c r="C798" s="1"/>
      <c r="D798" s="1"/>
      <c r="E798" s="1"/>
      <c r="F798" s="1"/>
      <c r="G798" s="1"/>
      <c r="H798" s="1"/>
      <c r="I798" s="1"/>
      <c r="J798" s="1"/>
      <c r="K798" s="1"/>
      <c r="L798" s="1"/>
      <c r="M798" s="1"/>
      <c r="N798" s="1"/>
    </row>
    <row r="799" ht="15.75" customHeight="1">
      <c r="A799" s="1"/>
      <c r="B799" s="1"/>
      <c r="C799" s="1"/>
      <c r="D799" s="1"/>
      <c r="E799" s="1"/>
      <c r="F799" s="1"/>
      <c r="G799" s="1"/>
      <c r="H799" s="1"/>
      <c r="I799" s="1"/>
      <c r="J799" s="1"/>
      <c r="K799" s="1"/>
      <c r="L799" s="1"/>
      <c r="M799" s="1"/>
      <c r="N799" s="1"/>
    </row>
    <row r="800" ht="15.75" customHeight="1">
      <c r="A800" s="1"/>
      <c r="B800" s="1"/>
      <c r="C800" s="1"/>
      <c r="D800" s="1"/>
      <c r="E800" s="1"/>
      <c r="F800" s="1"/>
      <c r="G800" s="1"/>
      <c r="H800" s="1"/>
      <c r="I800" s="1"/>
      <c r="J800" s="1"/>
      <c r="K800" s="1"/>
      <c r="L800" s="1"/>
      <c r="M800" s="1"/>
      <c r="N800" s="1"/>
    </row>
    <row r="801" ht="15.75" customHeight="1">
      <c r="A801" s="1"/>
      <c r="B801" s="1"/>
      <c r="C801" s="1"/>
      <c r="D801" s="1"/>
      <c r="E801" s="1"/>
      <c r="F801" s="1"/>
      <c r="G801" s="1"/>
      <c r="H801" s="1"/>
      <c r="I801" s="1"/>
      <c r="J801" s="1"/>
      <c r="K801" s="1"/>
      <c r="L801" s="1"/>
      <c r="M801" s="1"/>
      <c r="N801" s="1"/>
    </row>
    <row r="802" ht="15.75" customHeight="1">
      <c r="A802" s="1"/>
      <c r="B802" s="1"/>
      <c r="C802" s="1"/>
      <c r="D802" s="1"/>
      <c r="E802" s="1"/>
      <c r="F802" s="1"/>
      <c r="G802" s="1"/>
      <c r="H802" s="1"/>
      <c r="I802" s="1"/>
      <c r="J802" s="1"/>
      <c r="K802" s="1"/>
      <c r="L802" s="1"/>
      <c r="M802" s="1"/>
      <c r="N802" s="1"/>
    </row>
    <row r="803" ht="15.75" customHeight="1">
      <c r="A803" s="1"/>
      <c r="B803" s="1"/>
      <c r="C803" s="1"/>
      <c r="D803" s="1"/>
      <c r="E803" s="1"/>
      <c r="F803" s="1"/>
      <c r="G803" s="1"/>
      <c r="H803" s="1"/>
      <c r="I803" s="1"/>
      <c r="J803" s="1"/>
      <c r="K803" s="1"/>
      <c r="L803" s="1"/>
      <c r="M803" s="1"/>
      <c r="N803" s="1"/>
    </row>
    <row r="804" ht="15.75" customHeight="1">
      <c r="A804" s="1"/>
      <c r="B804" s="1"/>
      <c r="C804" s="1"/>
      <c r="D804" s="1"/>
      <c r="E804" s="1"/>
      <c r="F804" s="1"/>
      <c r="G804" s="1"/>
      <c r="H804" s="1"/>
      <c r="I804" s="1"/>
      <c r="J804" s="1"/>
      <c r="K804" s="1"/>
      <c r="L804" s="1"/>
      <c r="M804" s="1"/>
      <c r="N804" s="1"/>
    </row>
    <row r="805" ht="15.75" customHeight="1">
      <c r="A805" s="1"/>
      <c r="B805" s="1"/>
      <c r="C805" s="1"/>
      <c r="D805" s="1"/>
      <c r="E805" s="1"/>
      <c r="F805" s="1"/>
      <c r="G805" s="1"/>
      <c r="H805" s="1"/>
      <c r="I805" s="1"/>
      <c r="J805" s="1"/>
      <c r="K805" s="1"/>
      <c r="L805" s="1"/>
      <c r="M805" s="1"/>
      <c r="N805" s="1"/>
    </row>
    <row r="806" ht="15.75" customHeight="1">
      <c r="A806" s="1"/>
      <c r="B806" s="1"/>
      <c r="C806" s="1"/>
      <c r="D806" s="1"/>
      <c r="E806" s="1"/>
      <c r="F806" s="1"/>
      <c r="G806" s="1"/>
      <c r="H806" s="1"/>
      <c r="I806" s="1"/>
      <c r="J806" s="1"/>
      <c r="K806" s="1"/>
      <c r="L806" s="1"/>
      <c r="M806" s="1"/>
      <c r="N806" s="1"/>
    </row>
    <row r="807" ht="15.75" customHeight="1">
      <c r="A807" s="1"/>
      <c r="B807" s="1"/>
      <c r="C807" s="1"/>
      <c r="D807" s="1"/>
      <c r="E807" s="1"/>
      <c r="F807" s="1"/>
      <c r="G807" s="1"/>
      <c r="H807" s="1"/>
      <c r="I807" s="1"/>
      <c r="J807" s="1"/>
      <c r="K807" s="1"/>
      <c r="L807" s="1"/>
      <c r="M807" s="1"/>
      <c r="N807" s="1"/>
    </row>
    <row r="808" ht="15.75" customHeight="1">
      <c r="A808" s="1"/>
      <c r="B808" s="1"/>
      <c r="C808" s="1"/>
      <c r="D808" s="1"/>
      <c r="E808" s="1"/>
      <c r="F808" s="1"/>
      <c r="G808" s="1"/>
      <c r="H808" s="1"/>
      <c r="I808" s="1"/>
      <c r="J808" s="1"/>
      <c r="K808" s="1"/>
      <c r="L808" s="1"/>
      <c r="M808" s="1"/>
      <c r="N808" s="1"/>
    </row>
    <row r="809" ht="15.75" customHeight="1">
      <c r="A809" s="1"/>
      <c r="B809" s="1"/>
      <c r="C809" s="1"/>
      <c r="D809" s="1"/>
      <c r="E809" s="1"/>
      <c r="F809" s="1"/>
      <c r="G809" s="1"/>
      <c r="H809" s="1"/>
      <c r="I809" s="1"/>
      <c r="J809" s="1"/>
      <c r="K809" s="1"/>
      <c r="L809" s="1"/>
      <c r="M809" s="1"/>
      <c r="N809" s="1"/>
    </row>
    <row r="810" ht="15.75" customHeight="1">
      <c r="A810" s="1"/>
      <c r="B810" s="1"/>
      <c r="C810" s="1"/>
      <c r="D810" s="1"/>
      <c r="E810" s="1"/>
      <c r="F810" s="1"/>
      <c r="G810" s="1"/>
      <c r="H810" s="1"/>
      <c r="I810" s="1"/>
      <c r="J810" s="1"/>
      <c r="K810" s="1"/>
      <c r="L810" s="1"/>
      <c r="M810" s="1"/>
      <c r="N810" s="1"/>
    </row>
    <row r="811" ht="15.75" customHeight="1">
      <c r="A811" s="1"/>
      <c r="B811" s="1"/>
      <c r="C811" s="1"/>
      <c r="D811" s="1"/>
      <c r="E811" s="1"/>
      <c r="F811" s="1"/>
      <c r="G811" s="1"/>
      <c r="H811" s="1"/>
      <c r="I811" s="1"/>
      <c r="J811" s="1"/>
      <c r="K811" s="1"/>
      <c r="L811" s="1"/>
      <c r="M811" s="1"/>
      <c r="N811" s="1"/>
    </row>
    <row r="812" ht="15.75" customHeight="1">
      <c r="A812" s="1"/>
      <c r="B812" s="1"/>
      <c r="C812" s="1"/>
      <c r="D812" s="1"/>
      <c r="E812" s="1"/>
      <c r="F812" s="1"/>
      <c r="G812" s="1"/>
      <c r="H812" s="1"/>
      <c r="I812" s="1"/>
      <c r="J812" s="1"/>
      <c r="K812" s="1"/>
      <c r="L812" s="1"/>
      <c r="M812" s="1"/>
      <c r="N812" s="1"/>
    </row>
    <row r="813" ht="15.75" customHeight="1">
      <c r="A813" s="1"/>
      <c r="B813" s="1"/>
      <c r="C813" s="1"/>
      <c r="D813" s="1"/>
      <c r="E813" s="1"/>
      <c r="F813" s="1"/>
      <c r="G813" s="1"/>
      <c r="H813" s="1"/>
      <c r="I813" s="1"/>
      <c r="J813" s="1"/>
      <c r="K813" s="1"/>
      <c r="L813" s="1"/>
      <c r="M813" s="1"/>
      <c r="N813" s="1"/>
    </row>
    <row r="814" ht="15.75" customHeight="1">
      <c r="A814" s="1"/>
      <c r="B814" s="1"/>
      <c r="C814" s="1"/>
      <c r="D814" s="1"/>
      <c r="E814" s="1"/>
      <c r="F814" s="1"/>
      <c r="G814" s="1"/>
      <c r="H814" s="1"/>
      <c r="I814" s="1"/>
      <c r="J814" s="1"/>
      <c r="K814" s="1"/>
      <c r="L814" s="1"/>
      <c r="M814" s="1"/>
      <c r="N814" s="1"/>
    </row>
    <row r="815" ht="15.75" customHeight="1">
      <c r="A815" s="1"/>
      <c r="B815" s="1"/>
      <c r="C815" s="1"/>
      <c r="D815" s="1"/>
      <c r="E815" s="1"/>
      <c r="F815" s="1"/>
      <c r="G815" s="1"/>
      <c r="H815" s="1"/>
      <c r="I815" s="1"/>
      <c r="J815" s="1"/>
      <c r="K815" s="1"/>
      <c r="L815" s="1"/>
      <c r="M815" s="1"/>
      <c r="N815" s="1"/>
    </row>
    <row r="816" ht="15.75" customHeight="1">
      <c r="A816" s="1"/>
      <c r="B816" s="1"/>
      <c r="C816" s="1"/>
      <c r="D816" s="1"/>
      <c r="E816" s="1"/>
      <c r="F816" s="1"/>
      <c r="G816" s="1"/>
      <c r="H816" s="1"/>
      <c r="I816" s="1"/>
      <c r="J816" s="1"/>
      <c r="K816" s="1"/>
      <c r="L816" s="1"/>
      <c r="M816" s="1"/>
      <c r="N816" s="1"/>
    </row>
    <row r="817" ht="15.75" customHeight="1">
      <c r="A817" s="1"/>
      <c r="B817" s="1"/>
      <c r="C817" s="1"/>
      <c r="D817" s="1"/>
      <c r="E817" s="1"/>
      <c r="F817" s="1"/>
      <c r="G817" s="1"/>
      <c r="H817" s="1"/>
      <c r="I817" s="1"/>
      <c r="J817" s="1"/>
      <c r="K817" s="1"/>
      <c r="L817" s="1"/>
      <c r="M817" s="1"/>
      <c r="N817" s="1"/>
    </row>
    <row r="818" ht="15.75" customHeight="1">
      <c r="A818" s="1"/>
      <c r="B818" s="1"/>
      <c r="C818" s="1"/>
      <c r="D818" s="1"/>
      <c r="E818" s="1"/>
      <c r="F818" s="1"/>
      <c r="G818" s="1"/>
      <c r="H818" s="1"/>
      <c r="I818" s="1"/>
      <c r="J818" s="1"/>
      <c r="K818" s="1"/>
      <c r="L818" s="1"/>
      <c r="M818" s="1"/>
      <c r="N818" s="1"/>
    </row>
    <row r="819" ht="15.75" customHeight="1">
      <c r="A819" s="1"/>
      <c r="B819" s="1"/>
      <c r="C819" s="1"/>
      <c r="D819" s="1"/>
      <c r="E819" s="1"/>
      <c r="F819" s="1"/>
      <c r="G819" s="1"/>
      <c r="H819" s="1"/>
      <c r="I819" s="1"/>
      <c r="J819" s="1"/>
      <c r="K819" s="1"/>
      <c r="L819" s="1"/>
      <c r="M819" s="1"/>
      <c r="N819" s="1"/>
    </row>
    <row r="820" ht="15.75" customHeight="1">
      <c r="A820" s="1"/>
      <c r="B820" s="1"/>
      <c r="C820" s="1"/>
      <c r="D820" s="1"/>
      <c r="E820" s="1"/>
      <c r="F820" s="1"/>
      <c r="G820" s="1"/>
      <c r="H820" s="1"/>
      <c r="I820" s="1"/>
      <c r="J820" s="1"/>
      <c r="K820" s="1"/>
      <c r="L820" s="1"/>
      <c r="M820" s="1"/>
      <c r="N820" s="1"/>
    </row>
    <row r="821" ht="15.75" customHeight="1">
      <c r="A821" s="1"/>
      <c r="B821" s="1"/>
      <c r="C821" s="1"/>
      <c r="D821" s="1"/>
      <c r="E821" s="1"/>
      <c r="F821" s="1"/>
      <c r="G821" s="1"/>
      <c r="H821" s="1"/>
      <c r="I821" s="1"/>
      <c r="J821" s="1"/>
      <c r="K821" s="1"/>
      <c r="L821" s="1"/>
      <c r="M821" s="1"/>
      <c r="N821" s="1"/>
    </row>
    <row r="822" ht="15.75" customHeight="1">
      <c r="A822" s="1"/>
      <c r="B822" s="1"/>
      <c r="C822" s="1"/>
      <c r="D822" s="1"/>
      <c r="E822" s="1"/>
      <c r="F822" s="1"/>
      <c r="G822" s="1"/>
      <c r="H822" s="1"/>
      <c r="I822" s="1"/>
      <c r="J822" s="1"/>
      <c r="K822" s="1"/>
      <c r="L822" s="1"/>
      <c r="M822" s="1"/>
      <c r="N822" s="1"/>
    </row>
    <row r="823" ht="15.75" customHeight="1">
      <c r="A823" s="1"/>
      <c r="B823" s="1"/>
      <c r="C823" s="1"/>
      <c r="D823" s="1"/>
      <c r="E823" s="1"/>
      <c r="F823" s="1"/>
      <c r="G823" s="1"/>
      <c r="H823" s="1"/>
      <c r="I823" s="1"/>
      <c r="J823" s="1"/>
      <c r="K823" s="1"/>
      <c r="L823" s="1"/>
      <c r="M823" s="1"/>
      <c r="N823" s="1"/>
    </row>
    <row r="824" ht="15.75" customHeight="1">
      <c r="A824" s="1"/>
      <c r="B824" s="1"/>
      <c r="C824" s="1"/>
      <c r="D824" s="1"/>
      <c r="E824" s="1"/>
      <c r="F824" s="1"/>
      <c r="G824" s="1"/>
      <c r="H824" s="1"/>
      <c r="I824" s="1"/>
      <c r="J824" s="1"/>
      <c r="K824" s="1"/>
      <c r="L824" s="1"/>
      <c r="M824" s="1"/>
      <c r="N824" s="1"/>
    </row>
    <row r="825" ht="15.75" customHeight="1">
      <c r="A825" s="1"/>
      <c r="B825" s="1"/>
      <c r="C825" s="1"/>
      <c r="D825" s="1"/>
      <c r="E825" s="1"/>
      <c r="F825" s="1"/>
      <c r="G825" s="1"/>
      <c r="H825" s="1"/>
      <c r="I825" s="1"/>
      <c r="J825" s="1"/>
      <c r="K825" s="1"/>
      <c r="L825" s="1"/>
      <c r="M825" s="1"/>
      <c r="N825" s="1"/>
    </row>
    <row r="826" ht="15.75" customHeight="1">
      <c r="A826" s="1"/>
      <c r="B826" s="1"/>
      <c r="C826" s="1"/>
      <c r="D826" s="1"/>
      <c r="E826" s="1"/>
      <c r="F826" s="1"/>
      <c r="G826" s="1"/>
      <c r="H826" s="1"/>
      <c r="I826" s="1"/>
      <c r="J826" s="1"/>
      <c r="K826" s="1"/>
      <c r="L826" s="1"/>
      <c r="M826" s="1"/>
      <c r="N826" s="1"/>
    </row>
    <row r="827" ht="15.75" customHeight="1">
      <c r="A827" s="1"/>
      <c r="B827" s="1"/>
      <c r="C827" s="1"/>
      <c r="D827" s="1"/>
      <c r="E827" s="1"/>
      <c r="F827" s="1"/>
      <c r="G827" s="1"/>
      <c r="H827" s="1"/>
      <c r="I827" s="1"/>
      <c r="J827" s="1"/>
      <c r="K827" s="1"/>
      <c r="L827" s="1"/>
      <c r="M827" s="1"/>
      <c r="N827" s="1"/>
    </row>
    <row r="828" ht="15.75" customHeight="1">
      <c r="A828" s="1"/>
      <c r="B828" s="1"/>
      <c r="C828" s="1"/>
      <c r="D828" s="1"/>
      <c r="E828" s="1"/>
      <c r="F828" s="1"/>
      <c r="G828" s="1"/>
      <c r="H828" s="1"/>
      <c r="I828" s="1"/>
      <c r="J828" s="1"/>
      <c r="K828" s="1"/>
      <c r="L828" s="1"/>
      <c r="M828" s="1"/>
      <c r="N828" s="1"/>
    </row>
    <row r="829" ht="15.75" customHeight="1">
      <c r="A829" s="1"/>
      <c r="B829" s="1"/>
      <c r="C829" s="1"/>
      <c r="D829" s="1"/>
      <c r="E829" s="1"/>
      <c r="F829" s="1"/>
      <c r="G829" s="1"/>
      <c r="H829" s="1"/>
      <c r="I829" s="1"/>
      <c r="J829" s="1"/>
      <c r="K829" s="1"/>
      <c r="L829" s="1"/>
      <c r="M829" s="1"/>
      <c r="N829" s="1"/>
    </row>
    <row r="830" ht="15.75" customHeight="1">
      <c r="A830" s="1"/>
      <c r="B830" s="1"/>
      <c r="C830" s="1"/>
      <c r="D830" s="1"/>
      <c r="E830" s="1"/>
      <c r="F830" s="1"/>
      <c r="G830" s="1"/>
      <c r="H830" s="1"/>
      <c r="I830" s="1"/>
      <c r="J830" s="1"/>
      <c r="K830" s="1"/>
      <c r="L830" s="1"/>
      <c r="M830" s="1"/>
      <c r="N830" s="1"/>
    </row>
    <row r="831" ht="15.75" customHeight="1">
      <c r="A831" s="1"/>
      <c r="B831" s="1"/>
      <c r="C831" s="1"/>
      <c r="D831" s="1"/>
      <c r="E831" s="1"/>
      <c r="F831" s="1"/>
      <c r="G831" s="1"/>
      <c r="H831" s="1"/>
      <c r="I831" s="1"/>
      <c r="J831" s="1"/>
      <c r="K831" s="1"/>
      <c r="L831" s="1"/>
      <c r="M831" s="1"/>
      <c r="N831" s="1"/>
    </row>
    <row r="832" ht="15.75" customHeight="1">
      <c r="A832" s="1"/>
      <c r="B832" s="1"/>
      <c r="C832" s="1"/>
      <c r="D832" s="1"/>
      <c r="E832" s="1"/>
      <c r="F832" s="1"/>
      <c r="G832" s="1"/>
      <c r="H832" s="1"/>
      <c r="I832" s="1"/>
      <c r="J832" s="1"/>
      <c r="K832" s="1"/>
      <c r="L832" s="1"/>
      <c r="M832" s="1"/>
      <c r="N832" s="1"/>
    </row>
    <row r="833" ht="15.75" customHeight="1">
      <c r="A833" s="1"/>
      <c r="B833" s="1"/>
      <c r="C833" s="1"/>
      <c r="D833" s="1"/>
      <c r="E833" s="1"/>
      <c r="F833" s="1"/>
      <c r="G833" s="1"/>
      <c r="H833" s="1"/>
      <c r="I833" s="1"/>
      <c r="J833" s="1"/>
      <c r="K833" s="1"/>
      <c r="L833" s="1"/>
      <c r="M833" s="1"/>
      <c r="N833" s="1"/>
    </row>
    <row r="834" ht="15.75" customHeight="1">
      <c r="A834" s="1"/>
      <c r="B834" s="1"/>
      <c r="C834" s="1"/>
      <c r="D834" s="1"/>
      <c r="E834" s="1"/>
      <c r="F834" s="1"/>
      <c r="G834" s="1"/>
      <c r="H834" s="1"/>
      <c r="I834" s="1"/>
      <c r="J834" s="1"/>
      <c r="K834" s="1"/>
      <c r="L834" s="1"/>
      <c r="M834" s="1"/>
      <c r="N834" s="1"/>
    </row>
    <row r="835" ht="15.75" customHeight="1">
      <c r="A835" s="1"/>
      <c r="B835" s="1"/>
      <c r="C835" s="1"/>
      <c r="D835" s="1"/>
      <c r="E835" s="1"/>
      <c r="F835" s="1"/>
      <c r="G835" s="1"/>
      <c r="H835" s="1"/>
      <c r="I835" s="1"/>
      <c r="J835" s="1"/>
      <c r="K835" s="1"/>
      <c r="L835" s="1"/>
      <c r="M835" s="1"/>
      <c r="N835" s="1"/>
    </row>
    <row r="836" ht="15.75" customHeight="1">
      <c r="A836" s="1"/>
      <c r="B836" s="1"/>
      <c r="C836" s="1"/>
      <c r="D836" s="1"/>
      <c r="E836" s="1"/>
      <c r="F836" s="1"/>
      <c r="G836" s="1"/>
      <c r="H836" s="1"/>
      <c r="I836" s="1"/>
      <c r="J836" s="1"/>
      <c r="K836" s="1"/>
      <c r="L836" s="1"/>
      <c r="M836" s="1"/>
      <c r="N836" s="1"/>
    </row>
    <row r="837" ht="15.75" customHeight="1">
      <c r="A837" s="1"/>
      <c r="B837" s="1"/>
      <c r="C837" s="1"/>
      <c r="D837" s="1"/>
      <c r="E837" s="1"/>
      <c r="F837" s="1"/>
      <c r="G837" s="1"/>
      <c r="H837" s="1"/>
      <c r="I837" s="1"/>
      <c r="J837" s="1"/>
      <c r="K837" s="1"/>
      <c r="L837" s="1"/>
      <c r="M837" s="1"/>
      <c r="N837" s="1"/>
    </row>
    <row r="838" ht="15.75" customHeight="1">
      <c r="A838" s="1"/>
      <c r="B838" s="1"/>
      <c r="C838" s="1"/>
      <c r="D838" s="1"/>
      <c r="E838" s="1"/>
      <c r="F838" s="1"/>
      <c r="G838" s="1"/>
      <c r="H838" s="1"/>
      <c r="I838" s="1"/>
      <c r="J838" s="1"/>
      <c r="K838" s="1"/>
      <c r="L838" s="1"/>
      <c r="M838" s="1"/>
      <c r="N838" s="1"/>
    </row>
    <row r="839" ht="15.75" customHeight="1">
      <c r="A839" s="1"/>
      <c r="B839" s="1"/>
      <c r="C839" s="1"/>
      <c r="D839" s="1"/>
      <c r="E839" s="1"/>
      <c r="F839" s="1"/>
      <c r="G839" s="1"/>
      <c r="H839" s="1"/>
      <c r="I839" s="1"/>
      <c r="J839" s="1"/>
      <c r="K839" s="1"/>
      <c r="L839" s="1"/>
      <c r="M839" s="1"/>
      <c r="N839" s="1"/>
    </row>
    <row r="840" ht="15.75" customHeight="1">
      <c r="A840" s="1"/>
      <c r="B840" s="1"/>
      <c r="C840" s="1"/>
      <c r="D840" s="1"/>
      <c r="E840" s="1"/>
      <c r="F840" s="1"/>
      <c r="G840" s="1"/>
      <c r="H840" s="1"/>
      <c r="I840" s="1"/>
      <c r="J840" s="1"/>
      <c r="K840" s="1"/>
      <c r="L840" s="1"/>
      <c r="M840" s="1"/>
      <c r="N840" s="1"/>
    </row>
    <row r="841" ht="15.75" customHeight="1">
      <c r="A841" s="1"/>
      <c r="B841" s="1"/>
      <c r="C841" s="1"/>
      <c r="D841" s="1"/>
      <c r="E841" s="1"/>
      <c r="F841" s="1"/>
      <c r="G841" s="1"/>
      <c r="H841" s="1"/>
      <c r="I841" s="1"/>
      <c r="J841" s="1"/>
      <c r="K841" s="1"/>
      <c r="L841" s="1"/>
      <c r="M841" s="1"/>
      <c r="N841" s="1"/>
    </row>
    <row r="842" ht="15.75" customHeight="1">
      <c r="A842" s="1"/>
      <c r="B842" s="1"/>
      <c r="C842" s="1"/>
      <c r="D842" s="1"/>
      <c r="E842" s="1"/>
      <c r="F842" s="1"/>
      <c r="G842" s="1"/>
      <c r="H842" s="1"/>
      <c r="I842" s="1"/>
      <c r="J842" s="1"/>
      <c r="K842" s="1"/>
      <c r="L842" s="1"/>
      <c r="M842" s="1"/>
      <c r="N842" s="1"/>
    </row>
    <row r="843" ht="15.75" customHeight="1">
      <c r="A843" s="1"/>
      <c r="B843" s="1"/>
      <c r="C843" s="1"/>
      <c r="D843" s="1"/>
      <c r="E843" s="1"/>
      <c r="F843" s="1"/>
      <c r="G843" s="1"/>
      <c r="H843" s="1"/>
      <c r="I843" s="1"/>
      <c r="J843" s="1"/>
      <c r="K843" s="1"/>
      <c r="L843" s="1"/>
      <c r="M843" s="1"/>
      <c r="N843" s="1"/>
    </row>
    <row r="844" ht="15.75" customHeight="1">
      <c r="A844" s="1"/>
      <c r="B844" s="1"/>
      <c r="C844" s="1"/>
      <c r="D844" s="1"/>
      <c r="E844" s="1"/>
      <c r="F844" s="1"/>
      <c r="G844" s="1"/>
      <c r="H844" s="1"/>
      <c r="I844" s="1"/>
      <c r="J844" s="1"/>
      <c r="K844" s="1"/>
      <c r="L844" s="1"/>
      <c r="M844" s="1"/>
      <c r="N844" s="1"/>
    </row>
    <row r="845" ht="15.75" customHeight="1">
      <c r="A845" s="1"/>
      <c r="B845" s="1"/>
      <c r="C845" s="1"/>
      <c r="D845" s="1"/>
      <c r="E845" s="1"/>
      <c r="F845" s="1"/>
      <c r="G845" s="1"/>
      <c r="H845" s="1"/>
      <c r="I845" s="1"/>
      <c r="J845" s="1"/>
      <c r="K845" s="1"/>
      <c r="L845" s="1"/>
      <c r="M845" s="1"/>
      <c r="N845" s="1"/>
    </row>
    <row r="846" ht="15.75" customHeight="1">
      <c r="A846" s="1"/>
      <c r="B846" s="1"/>
      <c r="C846" s="1"/>
      <c r="D846" s="1"/>
      <c r="E846" s="1"/>
      <c r="F846" s="1"/>
      <c r="G846" s="1"/>
      <c r="H846" s="1"/>
      <c r="I846" s="1"/>
      <c r="J846" s="1"/>
      <c r="K846" s="1"/>
      <c r="L846" s="1"/>
      <c r="M846" s="1"/>
      <c r="N846" s="1"/>
    </row>
    <row r="847" ht="15.75" customHeight="1">
      <c r="A847" s="1"/>
      <c r="B847" s="1"/>
      <c r="C847" s="1"/>
      <c r="D847" s="1"/>
      <c r="E847" s="1"/>
      <c r="F847" s="1"/>
      <c r="G847" s="1"/>
      <c r="H847" s="1"/>
      <c r="I847" s="1"/>
      <c r="J847" s="1"/>
      <c r="K847" s="1"/>
      <c r="L847" s="1"/>
      <c r="M847" s="1"/>
      <c r="N847" s="1"/>
    </row>
    <row r="848" ht="15.75" customHeight="1">
      <c r="A848" s="1"/>
      <c r="B848" s="1"/>
      <c r="C848" s="1"/>
      <c r="D848" s="1"/>
      <c r="E848" s="1"/>
      <c r="F848" s="1"/>
      <c r="G848" s="1"/>
      <c r="H848" s="1"/>
      <c r="I848" s="1"/>
      <c r="J848" s="1"/>
      <c r="K848" s="1"/>
      <c r="L848" s="1"/>
      <c r="M848" s="1"/>
      <c r="N848" s="1"/>
    </row>
    <row r="849" ht="15.75" customHeight="1">
      <c r="A849" s="1"/>
      <c r="B849" s="1"/>
      <c r="C849" s="1"/>
      <c r="D849" s="1"/>
      <c r="E849" s="1"/>
      <c r="F849" s="1"/>
      <c r="G849" s="1"/>
      <c r="H849" s="1"/>
      <c r="I849" s="1"/>
      <c r="J849" s="1"/>
      <c r="K849" s="1"/>
      <c r="L849" s="1"/>
      <c r="M849" s="1"/>
      <c r="N849" s="1"/>
    </row>
    <row r="850" ht="15.75" customHeight="1">
      <c r="A850" s="1"/>
      <c r="B850" s="1"/>
      <c r="C850" s="1"/>
      <c r="D850" s="1"/>
      <c r="E850" s="1"/>
      <c r="F850" s="1"/>
      <c r="G850" s="1"/>
      <c r="H850" s="1"/>
      <c r="I850" s="1"/>
      <c r="J850" s="1"/>
      <c r="K850" s="1"/>
      <c r="L850" s="1"/>
      <c r="M850" s="1"/>
      <c r="N850" s="1"/>
    </row>
    <row r="851" ht="15.75" customHeight="1">
      <c r="A851" s="1"/>
      <c r="B851" s="1"/>
      <c r="C851" s="1"/>
      <c r="D851" s="1"/>
      <c r="E851" s="1"/>
      <c r="F851" s="1"/>
      <c r="G851" s="1"/>
      <c r="H851" s="1"/>
      <c r="I851" s="1"/>
      <c r="J851" s="1"/>
      <c r="K851" s="1"/>
      <c r="L851" s="1"/>
      <c r="M851" s="1"/>
      <c r="N851" s="1"/>
    </row>
    <row r="852" ht="15.75" customHeight="1">
      <c r="A852" s="1"/>
      <c r="B852" s="1"/>
      <c r="C852" s="1"/>
      <c r="D852" s="1"/>
      <c r="E852" s="1"/>
      <c r="F852" s="1"/>
      <c r="G852" s="1"/>
      <c r="H852" s="1"/>
      <c r="I852" s="1"/>
      <c r="J852" s="1"/>
      <c r="K852" s="1"/>
      <c r="L852" s="1"/>
      <c r="M852" s="1"/>
      <c r="N852" s="1"/>
    </row>
    <row r="853" ht="15.75" customHeight="1">
      <c r="A853" s="1"/>
      <c r="B853" s="1"/>
      <c r="C853" s="1"/>
      <c r="D853" s="1"/>
      <c r="E853" s="1"/>
      <c r="F853" s="1"/>
      <c r="G853" s="1"/>
      <c r="H853" s="1"/>
      <c r="I853" s="1"/>
      <c r="J853" s="1"/>
      <c r="K853" s="1"/>
      <c r="L853" s="1"/>
      <c r="M853" s="1"/>
      <c r="N853" s="1"/>
    </row>
    <row r="854" ht="15.75" customHeight="1">
      <c r="A854" s="1"/>
      <c r="B854" s="1"/>
      <c r="C854" s="1"/>
      <c r="D854" s="1"/>
      <c r="E854" s="1"/>
      <c r="F854" s="1"/>
      <c r="G854" s="1"/>
      <c r="H854" s="1"/>
      <c r="I854" s="1"/>
      <c r="J854" s="1"/>
      <c r="K854" s="1"/>
      <c r="L854" s="1"/>
      <c r="M854" s="1"/>
      <c r="N854" s="1"/>
    </row>
    <row r="855" ht="15.75" customHeight="1">
      <c r="A855" s="1"/>
      <c r="B855" s="1"/>
      <c r="C855" s="1"/>
      <c r="D855" s="1"/>
      <c r="E855" s="1"/>
      <c r="F855" s="1"/>
      <c r="G855" s="1"/>
      <c r="H855" s="1"/>
      <c r="I855" s="1"/>
      <c r="J855" s="1"/>
      <c r="K855" s="1"/>
      <c r="L855" s="1"/>
      <c r="M855" s="1"/>
      <c r="N855" s="1"/>
    </row>
    <row r="856" ht="15.75" customHeight="1">
      <c r="A856" s="1"/>
      <c r="B856" s="1"/>
      <c r="C856" s="1"/>
      <c r="D856" s="1"/>
      <c r="E856" s="1"/>
      <c r="F856" s="1"/>
      <c r="G856" s="1"/>
      <c r="H856" s="1"/>
      <c r="I856" s="1"/>
      <c r="J856" s="1"/>
      <c r="K856" s="1"/>
      <c r="L856" s="1"/>
      <c r="M856" s="1"/>
      <c r="N856" s="1"/>
    </row>
    <row r="857" ht="15.75" customHeight="1">
      <c r="A857" s="1"/>
      <c r="B857" s="1"/>
      <c r="C857" s="1"/>
      <c r="D857" s="1"/>
      <c r="E857" s="1"/>
      <c r="F857" s="1"/>
      <c r="G857" s="1"/>
      <c r="H857" s="1"/>
      <c r="I857" s="1"/>
      <c r="J857" s="1"/>
      <c r="K857" s="1"/>
      <c r="L857" s="1"/>
      <c r="M857" s="1"/>
      <c r="N857" s="1"/>
    </row>
    <row r="858" ht="15.75" customHeight="1">
      <c r="A858" s="1"/>
      <c r="B858" s="1"/>
      <c r="C858" s="1"/>
      <c r="D858" s="1"/>
      <c r="E858" s="1"/>
      <c r="F858" s="1"/>
      <c r="G858" s="1"/>
      <c r="H858" s="1"/>
      <c r="I858" s="1"/>
      <c r="J858" s="1"/>
      <c r="K858" s="1"/>
      <c r="L858" s="1"/>
      <c r="M858" s="1"/>
      <c r="N858" s="1"/>
    </row>
    <row r="859" ht="15.75" customHeight="1">
      <c r="A859" s="1"/>
      <c r="B859" s="1"/>
      <c r="C859" s="1"/>
      <c r="D859" s="1"/>
      <c r="E859" s="1"/>
      <c r="F859" s="1"/>
      <c r="G859" s="1"/>
      <c r="H859" s="1"/>
      <c r="I859" s="1"/>
      <c r="J859" s="1"/>
      <c r="K859" s="1"/>
      <c r="L859" s="1"/>
      <c r="M859" s="1"/>
      <c r="N859" s="1"/>
    </row>
    <row r="860" ht="15.75" customHeight="1">
      <c r="A860" s="1"/>
      <c r="B860" s="1"/>
      <c r="C860" s="1"/>
      <c r="D860" s="1"/>
      <c r="E860" s="1"/>
      <c r="F860" s="1"/>
      <c r="G860" s="1"/>
      <c r="H860" s="1"/>
      <c r="I860" s="1"/>
      <c r="J860" s="1"/>
      <c r="K860" s="1"/>
      <c r="L860" s="1"/>
      <c r="M860" s="1"/>
      <c r="N860" s="1"/>
    </row>
    <row r="861" ht="15.75" customHeight="1">
      <c r="A861" s="1"/>
      <c r="B861" s="1"/>
      <c r="C861" s="1"/>
      <c r="D861" s="1"/>
      <c r="E861" s="1"/>
      <c r="F861" s="1"/>
      <c r="G861" s="1"/>
      <c r="H861" s="1"/>
      <c r="I861" s="1"/>
      <c r="J861" s="1"/>
      <c r="K861" s="1"/>
      <c r="L861" s="1"/>
      <c r="M861" s="1"/>
      <c r="N861" s="1"/>
    </row>
    <row r="862" ht="15.75" customHeight="1">
      <c r="A862" s="1"/>
      <c r="B862" s="1"/>
      <c r="C862" s="1"/>
      <c r="D862" s="1"/>
      <c r="E862" s="1"/>
      <c r="F862" s="1"/>
      <c r="G862" s="1"/>
      <c r="H862" s="1"/>
      <c r="I862" s="1"/>
      <c r="J862" s="1"/>
      <c r="K862" s="1"/>
      <c r="L862" s="1"/>
      <c r="M862" s="1"/>
      <c r="N862" s="1"/>
    </row>
    <row r="863" ht="15.75" customHeight="1">
      <c r="A863" s="1"/>
      <c r="B863" s="1"/>
      <c r="C863" s="1"/>
      <c r="D863" s="1"/>
      <c r="E863" s="1"/>
      <c r="F863" s="1"/>
      <c r="G863" s="1"/>
      <c r="H863" s="1"/>
      <c r="I863" s="1"/>
      <c r="J863" s="1"/>
      <c r="K863" s="1"/>
      <c r="L863" s="1"/>
      <c r="M863" s="1"/>
      <c r="N863" s="1"/>
    </row>
    <row r="864" ht="15.75" customHeight="1">
      <c r="A864" s="1"/>
      <c r="B864" s="1"/>
      <c r="C864" s="1"/>
      <c r="D864" s="1"/>
      <c r="E864" s="1"/>
      <c r="F864" s="1"/>
      <c r="G864" s="1"/>
      <c r="H864" s="1"/>
      <c r="I864" s="1"/>
      <c r="J864" s="1"/>
      <c r="K864" s="1"/>
      <c r="L864" s="1"/>
      <c r="M864" s="1"/>
      <c r="N864" s="1"/>
    </row>
    <row r="865" ht="15.75" customHeight="1">
      <c r="A865" s="1"/>
      <c r="B865" s="1"/>
      <c r="C865" s="1"/>
      <c r="D865" s="1"/>
      <c r="E865" s="1"/>
      <c r="F865" s="1"/>
      <c r="G865" s="1"/>
      <c r="H865" s="1"/>
      <c r="I865" s="1"/>
      <c r="J865" s="1"/>
      <c r="K865" s="1"/>
      <c r="L865" s="1"/>
      <c r="M865" s="1"/>
      <c r="N865" s="1"/>
    </row>
    <row r="866" ht="15.75" customHeight="1">
      <c r="A866" s="1"/>
      <c r="B866" s="1"/>
      <c r="C866" s="1"/>
      <c r="D866" s="1"/>
      <c r="E866" s="1"/>
      <c r="F866" s="1"/>
      <c r="G866" s="1"/>
      <c r="H866" s="1"/>
      <c r="I866" s="1"/>
      <c r="J866" s="1"/>
      <c r="K866" s="1"/>
      <c r="L866" s="1"/>
      <c r="M866" s="1"/>
      <c r="N866" s="1"/>
    </row>
    <row r="867" ht="15.75" customHeight="1">
      <c r="A867" s="1"/>
      <c r="B867" s="1"/>
      <c r="C867" s="1"/>
      <c r="D867" s="1"/>
      <c r="E867" s="1"/>
      <c r="F867" s="1"/>
      <c r="G867" s="1"/>
      <c r="H867" s="1"/>
      <c r="I867" s="1"/>
      <c r="J867" s="1"/>
      <c r="K867" s="1"/>
      <c r="L867" s="1"/>
      <c r="M867" s="1"/>
      <c r="N867" s="1"/>
    </row>
    <row r="868" ht="15.75" customHeight="1">
      <c r="A868" s="1"/>
      <c r="B868" s="1"/>
      <c r="C868" s="1"/>
      <c r="D868" s="1"/>
      <c r="E868" s="1"/>
      <c r="F868" s="1"/>
      <c r="G868" s="1"/>
      <c r="H868" s="1"/>
      <c r="I868" s="1"/>
      <c r="J868" s="1"/>
      <c r="K868" s="1"/>
      <c r="L868" s="1"/>
      <c r="M868" s="1"/>
      <c r="N868" s="1"/>
    </row>
    <row r="869" ht="15.75" customHeight="1">
      <c r="A869" s="1"/>
      <c r="B869" s="1"/>
      <c r="C869" s="1"/>
      <c r="D869" s="1"/>
      <c r="E869" s="1"/>
      <c r="F869" s="1"/>
      <c r="G869" s="1"/>
      <c r="H869" s="1"/>
      <c r="I869" s="1"/>
      <c r="J869" s="1"/>
      <c r="K869" s="1"/>
      <c r="L869" s="1"/>
      <c r="M869" s="1"/>
      <c r="N869" s="1"/>
    </row>
    <row r="870" ht="15.75" customHeight="1">
      <c r="A870" s="1"/>
      <c r="B870" s="1"/>
      <c r="C870" s="1"/>
      <c r="D870" s="1"/>
      <c r="E870" s="1"/>
      <c r="F870" s="1"/>
      <c r="G870" s="1"/>
      <c r="H870" s="1"/>
      <c r="I870" s="1"/>
      <c r="J870" s="1"/>
      <c r="K870" s="1"/>
      <c r="L870" s="1"/>
      <c r="M870" s="1"/>
      <c r="N870" s="1"/>
    </row>
    <row r="871" ht="15.75" customHeight="1">
      <c r="A871" s="1"/>
      <c r="B871" s="1"/>
      <c r="C871" s="1"/>
      <c r="D871" s="1"/>
      <c r="E871" s="1"/>
      <c r="F871" s="1"/>
      <c r="G871" s="1"/>
      <c r="H871" s="1"/>
      <c r="I871" s="1"/>
      <c r="J871" s="1"/>
      <c r="K871" s="1"/>
      <c r="L871" s="1"/>
      <c r="M871" s="1"/>
      <c r="N871" s="1"/>
    </row>
    <row r="872" ht="15.75" customHeight="1">
      <c r="A872" s="1"/>
      <c r="B872" s="1"/>
      <c r="C872" s="1"/>
      <c r="D872" s="1"/>
      <c r="E872" s="1"/>
      <c r="F872" s="1"/>
      <c r="G872" s="1"/>
      <c r="H872" s="1"/>
      <c r="I872" s="1"/>
      <c r="J872" s="1"/>
      <c r="K872" s="1"/>
      <c r="L872" s="1"/>
      <c r="M872" s="1"/>
      <c r="N872" s="1"/>
    </row>
    <row r="873" ht="15.75" customHeight="1">
      <c r="A873" s="1"/>
      <c r="B873" s="1"/>
      <c r="C873" s="1"/>
      <c r="D873" s="1"/>
      <c r="E873" s="1"/>
      <c r="F873" s="1"/>
      <c r="G873" s="1"/>
      <c r="H873" s="1"/>
      <c r="I873" s="1"/>
      <c r="J873" s="1"/>
      <c r="K873" s="1"/>
      <c r="L873" s="1"/>
      <c r="M873" s="1"/>
      <c r="N873" s="1"/>
    </row>
    <row r="874" ht="15.75" customHeight="1">
      <c r="A874" s="1"/>
      <c r="B874" s="1"/>
      <c r="C874" s="1"/>
      <c r="D874" s="1"/>
      <c r="E874" s="1"/>
      <c r="F874" s="1"/>
      <c r="G874" s="1"/>
      <c r="H874" s="1"/>
      <c r="I874" s="1"/>
      <c r="J874" s="1"/>
      <c r="K874" s="1"/>
      <c r="L874" s="1"/>
      <c r="M874" s="1"/>
      <c r="N874" s="1"/>
    </row>
    <row r="875" ht="15.75" customHeight="1">
      <c r="A875" s="1"/>
      <c r="B875" s="1"/>
      <c r="C875" s="1"/>
      <c r="D875" s="1"/>
      <c r="E875" s="1"/>
      <c r="F875" s="1"/>
      <c r="G875" s="1"/>
      <c r="H875" s="1"/>
      <c r="I875" s="1"/>
      <c r="J875" s="1"/>
      <c r="K875" s="1"/>
      <c r="L875" s="1"/>
      <c r="M875" s="1"/>
      <c r="N875" s="1"/>
    </row>
    <row r="876" ht="15.75" customHeight="1">
      <c r="A876" s="1"/>
      <c r="B876" s="1"/>
      <c r="C876" s="1"/>
      <c r="D876" s="1"/>
      <c r="E876" s="1"/>
      <c r="F876" s="1"/>
      <c r="G876" s="1"/>
      <c r="H876" s="1"/>
      <c r="I876" s="1"/>
      <c r="J876" s="1"/>
      <c r="K876" s="1"/>
      <c r="L876" s="1"/>
      <c r="M876" s="1"/>
      <c r="N876" s="1"/>
    </row>
    <row r="877" ht="15.75" customHeight="1">
      <c r="A877" s="1"/>
      <c r="B877" s="1"/>
      <c r="C877" s="1"/>
      <c r="D877" s="1"/>
      <c r="E877" s="1"/>
      <c r="F877" s="1"/>
      <c r="G877" s="1"/>
      <c r="H877" s="1"/>
      <c r="I877" s="1"/>
      <c r="J877" s="1"/>
      <c r="K877" s="1"/>
      <c r="L877" s="1"/>
      <c r="M877" s="1"/>
      <c r="N877" s="1"/>
    </row>
    <row r="878" ht="15.75" customHeight="1">
      <c r="A878" s="1"/>
      <c r="B878" s="1"/>
      <c r="C878" s="1"/>
      <c r="D878" s="1"/>
      <c r="E878" s="1"/>
      <c r="F878" s="1"/>
      <c r="G878" s="1"/>
      <c r="H878" s="1"/>
      <c r="I878" s="1"/>
      <c r="J878" s="1"/>
      <c r="K878" s="1"/>
      <c r="L878" s="1"/>
      <c r="M878" s="1"/>
      <c r="N878" s="1"/>
    </row>
    <row r="879" ht="15.75" customHeight="1">
      <c r="A879" s="1"/>
      <c r="B879" s="1"/>
      <c r="C879" s="1"/>
      <c r="D879" s="1"/>
      <c r="E879" s="1"/>
      <c r="F879" s="1"/>
      <c r="G879" s="1"/>
      <c r="H879" s="1"/>
      <c r="I879" s="1"/>
      <c r="J879" s="1"/>
      <c r="K879" s="1"/>
      <c r="L879" s="1"/>
      <c r="M879" s="1"/>
      <c r="N879" s="1"/>
    </row>
    <row r="880" ht="15.75" customHeight="1">
      <c r="A880" s="1"/>
      <c r="B880" s="1"/>
      <c r="C880" s="1"/>
      <c r="D880" s="1"/>
      <c r="E880" s="1"/>
      <c r="F880" s="1"/>
      <c r="G880" s="1"/>
      <c r="H880" s="1"/>
      <c r="I880" s="1"/>
      <c r="J880" s="1"/>
      <c r="K880" s="1"/>
      <c r="L880" s="1"/>
      <c r="M880" s="1"/>
      <c r="N880" s="1"/>
    </row>
    <row r="881" ht="15.75" customHeight="1">
      <c r="A881" s="1"/>
      <c r="B881" s="1"/>
      <c r="C881" s="1"/>
      <c r="D881" s="1"/>
      <c r="E881" s="1"/>
      <c r="F881" s="1"/>
      <c r="G881" s="1"/>
      <c r="H881" s="1"/>
      <c r="I881" s="1"/>
      <c r="J881" s="1"/>
      <c r="K881" s="1"/>
      <c r="L881" s="1"/>
      <c r="M881" s="1"/>
      <c r="N881" s="1"/>
    </row>
    <row r="882" ht="15.75" customHeight="1">
      <c r="A882" s="1"/>
      <c r="B882" s="1"/>
      <c r="C882" s="1"/>
      <c r="D882" s="1"/>
      <c r="E882" s="1"/>
      <c r="F882" s="1"/>
      <c r="G882" s="1"/>
      <c r="H882" s="1"/>
      <c r="I882" s="1"/>
      <c r="J882" s="1"/>
      <c r="K882" s="1"/>
      <c r="L882" s="1"/>
      <c r="M882" s="1"/>
      <c r="N882" s="1"/>
    </row>
    <row r="883" ht="15.75" customHeight="1">
      <c r="A883" s="1"/>
      <c r="B883" s="1"/>
      <c r="C883" s="1"/>
      <c r="D883" s="1"/>
      <c r="E883" s="1"/>
      <c r="F883" s="1"/>
      <c r="G883" s="1"/>
      <c r="H883" s="1"/>
      <c r="I883" s="1"/>
      <c r="J883" s="1"/>
      <c r="K883" s="1"/>
      <c r="L883" s="1"/>
      <c r="M883" s="1"/>
      <c r="N883" s="1"/>
    </row>
    <row r="884" ht="15.75" customHeight="1">
      <c r="A884" s="1"/>
      <c r="B884" s="1"/>
      <c r="C884" s="1"/>
      <c r="D884" s="1"/>
      <c r="E884" s="1"/>
      <c r="F884" s="1"/>
      <c r="G884" s="1"/>
      <c r="H884" s="1"/>
      <c r="I884" s="1"/>
      <c r="J884" s="1"/>
      <c r="K884" s="1"/>
      <c r="L884" s="1"/>
      <c r="M884" s="1"/>
      <c r="N884" s="1"/>
    </row>
    <row r="885" ht="15.75" customHeight="1">
      <c r="A885" s="1"/>
      <c r="B885" s="1"/>
      <c r="C885" s="1"/>
      <c r="D885" s="1"/>
      <c r="E885" s="1"/>
      <c r="F885" s="1"/>
      <c r="G885" s="1"/>
      <c r="H885" s="1"/>
      <c r="I885" s="1"/>
      <c r="J885" s="1"/>
      <c r="K885" s="1"/>
      <c r="L885" s="1"/>
      <c r="M885" s="1"/>
      <c r="N885" s="1"/>
    </row>
    <row r="886" ht="15.75" customHeight="1">
      <c r="A886" s="1"/>
      <c r="B886" s="1"/>
      <c r="C886" s="1"/>
      <c r="D886" s="1"/>
      <c r="E886" s="1"/>
      <c r="F886" s="1"/>
      <c r="G886" s="1"/>
      <c r="H886" s="1"/>
      <c r="I886" s="1"/>
      <c r="J886" s="1"/>
      <c r="K886" s="1"/>
      <c r="L886" s="1"/>
      <c r="M886" s="1"/>
      <c r="N886" s="1"/>
    </row>
    <row r="887" ht="15.75" customHeight="1">
      <c r="A887" s="1"/>
      <c r="B887" s="1"/>
      <c r="C887" s="1"/>
      <c r="D887" s="1"/>
      <c r="E887" s="1"/>
      <c r="F887" s="1"/>
      <c r="G887" s="1"/>
      <c r="H887" s="1"/>
      <c r="I887" s="1"/>
      <c r="J887" s="1"/>
      <c r="K887" s="1"/>
      <c r="L887" s="1"/>
      <c r="M887" s="1"/>
      <c r="N887" s="1"/>
    </row>
    <row r="888" ht="15.75" customHeight="1">
      <c r="A888" s="1"/>
      <c r="B888" s="1"/>
      <c r="C888" s="1"/>
      <c r="D888" s="1"/>
      <c r="E888" s="1"/>
      <c r="F888" s="1"/>
      <c r="G888" s="1"/>
      <c r="H888" s="1"/>
      <c r="I888" s="1"/>
      <c r="J888" s="1"/>
      <c r="K888" s="1"/>
      <c r="L888" s="1"/>
      <c r="M888" s="1"/>
      <c r="N888" s="1"/>
    </row>
    <row r="889" ht="15.75" customHeight="1">
      <c r="A889" s="1"/>
      <c r="B889" s="1"/>
      <c r="C889" s="1"/>
      <c r="D889" s="1"/>
      <c r="E889" s="1"/>
      <c r="F889" s="1"/>
      <c r="G889" s="1"/>
      <c r="H889" s="1"/>
      <c r="I889" s="1"/>
      <c r="J889" s="1"/>
      <c r="K889" s="1"/>
      <c r="L889" s="1"/>
      <c r="M889" s="1"/>
      <c r="N889" s="1"/>
    </row>
    <row r="890" ht="15.75" customHeight="1">
      <c r="A890" s="1"/>
      <c r="B890" s="1"/>
      <c r="C890" s="1"/>
      <c r="D890" s="1"/>
      <c r="E890" s="1"/>
      <c r="F890" s="1"/>
      <c r="G890" s="1"/>
      <c r="H890" s="1"/>
      <c r="I890" s="1"/>
      <c r="J890" s="1"/>
      <c r="K890" s="1"/>
      <c r="L890" s="1"/>
      <c r="M890" s="1"/>
      <c r="N890" s="1"/>
    </row>
    <row r="891" ht="15.75" customHeight="1">
      <c r="A891" s="1"/>
      <c r="B891" s="1"/>
      <c r="C891" s="1"/>
      <c r="D891" s="1"/>
      <c r="E891" s="1"/>
      <c r="F891" s="1"/>
      <c r="G891" s="1"/>
      <c r="H891" s="1"/>
      <c r="I891" s="1"/>
      <c r="J891" s="1"/>
      <c r="K891" s="1"/>
      <c r="L891" s="1"/>
      <c r="M891" s="1"/>
      <c r="N891" s="1"/>
    </row>
    <row r="892" ht="15.75" customHeight="1">
      <c r="A892" s="1"/>
      <c r="B892" s="1"/>
      <c r="C892" s="1"/>
      <c r="D892" s="1"/>
      <c r="E892" s="1"/>
      <c r="F892" s="1"/>
      <c r="G892" s="1"/>
      <c r="H892" s="1"/>
      <c r="I892" s="1"/>
      <c r="J892" s="1"/>
      <c r="K892" s="1"/>
      <c r="L892" s="1"/>
      <c r="M892" s="1"/>
      <c r="N892" s="1"/>
    </row>
    <row r="893" ht="15.75" customHeight="1">
      <c r="A893" s="1"/>
      <c r="B893" s="1"/>
      <c r="C893" s="1"/>
      <c r="D893" s="1"/>
      <c r="E893" s="1"/>
      <c r="F893" s="1"/>
      <c r="G893" s="1"/>
      <c r="H893" s="1"/>
      <c r="I893" s="1"/>
      <c r="J893" s="1"/>
      <c r="K893" s="1"/>
      <c r="L893" s="1"/>
      <c r="M893" s="1"/>
      <c r="N893" s="1"/>
    </row>
    <row r="894" ht="15.75" customHeight="1">
      <c r="A894" s="1"/>
      <c r="B894" s="1"/>
      <c r="C894" s="1"/>
      <c r="D894" s="1"/>
      <c r="E894" s="1"/>
      <c r="F894" s="1"/>
      <c r="G894" s="1"/>
      <c r="H894" s="1"/>
      <c r="I894" s="1"/>
      <c r="J894" s="1"/>
      <c r="K894" s="1"/>
      <c r="L894" s="1"/>
      <c r="M894" s="1"/>
      <c r="N894" s="1"/>
    </row>
    <row r="895" ht="15.75" customHeight="1">
      <c r="A895" s="1"/>
      <c r="B895" s="1"/>
      <c r="C895" s="1"/>
      <c r="D895" s="1"/>
      <c r="E895" s="1"/>
      <c r="F895" s="1"/>
      <c r="G895" s="1"/>
      <c r="H895" s="1"/>
      <c r="I895" s="1"/>
      <c r="J895" s="1"/>
      <c r="K895" s="1"/>
      <c r="L895" s="1"/>
      <c r="M895" s="1"/>
      <c r="N895" s="1"/>
    </row>
    <row r="896" ht="15.75" customHeight="1">
      <c r="A896" s="1"/>
      <c r="B896" s="1"/>
      <c r="C896" s="1"/>
      <c r="D896" s="1"/>
      <c r="E896" s="1"/>
      <c r="F896" s="1"/>
      <c r="G896" s="1"/>
      <c r="H896" s="1"/>
      <c r="I896" s="1"/>
      <c r="J896" s="1"/>
      <c r="K896" s="1"/>
      <c r="L896" s="1"/>
      <c r="M896" s="1"/>
      <c r="N896" s="1"/>
    </row>
    <row r="897" ht="15.75" customHeight="1">
      <c r="A897" s="1"/>
      <c r="B897" s="1"/>
      <c r="C897" s="1"/>
      <c r="D897" s="1"/>
      <c r="E897" s="1"/>
      <c r="F897" s="1"/>
      <c r="G897" s="1"/>
      <c r="H897" s="1"/>
      <c r="I897" s="1"/>
      <c r="J897" s="1"/>
      <c r="K897" s="1"/>
      <c r="L897" s="1"/>
      <c r="M897" s="1"/>
      <c r="N897" s="1"/>
    </row>
    <row r="898" ht="15.75" customHeight="1">
      <c r="A898" s="1"/>
      <c r="B898" s="1"/>
      <c r="C898" s="1"/>
      <c r="D898" s="1"/>
      <c r="E898" s="1"/>
      <c r="F898" s="1"/>
      <c r="G898" s="1"/>
      <c r="H898" s="1"/>
      <c r="I898" s="1"/>
      <c r="J898" s="1"/>
      <c r="K898" s="1"/>
      <c r="L898" s="1"/>
      <c r="M898" s="1"/>
      <c r="N898" s="1"/>
    </row>
    <row r="899" ht="15.75" customHeight="1">
      <c r="A899" s="1"/>
      <c r="B899" s="1"/>
      <c r="C899" s="1"/>
      <c r="D899" s="1"/>
      <c r="E899" s="1"/>
      <c r="F899" s="1"/>
      <c r="G899" s="1"/>
      <c r="H899" s="1"/>
      <c r="I899" s="1"/>
      <c r="J899" s="1"/>
      <c r="K899" s="1"/>
      <c r="L899" s="1"/>
      <c r="M899" s="1"/>
      <c r="N899" s="1"/>
    </row>
    <row r="900" ht="15.75" customHeight="1">
      <c r="A900" s="1"/>
      <c r="B900" s="1"/>
      <c r="C900" s="1"/>
      <c r="D900" s="1"/>
      <c r="E900" s="1"/>
      <c r="F900" s="1"/>
      <c r="G900" s="1"/>
      <c r="H900" s="1"/>
      <c r="I900" s="1"/>
      <c r="J900" s="1"/>
      <c r="K900" s="1"/>
      <c r="L900" s="1"/>
      <c r="M900" s="1"/>
      <c r="N900" s="1"/>
    </row>
    <row r="901" ht="15.75" customHeight="1">
      <c r="A901" s="1"/>
      <c r="B901" s="1"/>
      <c r="C901" s="1"/>
      <c r="D901" s="1"/>
      <c r="E901" s="1"/>
      <c r="F901" s="1"/>
      <c r="G901" s="1"/>
      <c r="H901" s="1"/>
      <c r="I901" s="1"/>
      <c r="J901" s="1"/>
      <c r="K901" s="1"/>
      <c r="L901" s="1"/>
      <c r="M901" s="1"/>
      <c r="N901" s="1"/>
    </row>
    <row r="902" ht="15.75" customHeight="1">
      <c r="A902" s="1"/>
      <c r="B902" s="1"/>
      <c r="C902" s="1"/>
      <c r="D902" s="1"/>
      <c r="E902" s="1"/>
      <c r="F902" s="1"/>
      <c r="G902" s="1"/>
      <c r="H902" s="1"/>
      <c r="I902" s="1"/>
      <c r="J902" s="1"/>
      <c r="K902" s="1"/>
      <c r="L902" s="1"/>
      <c r="M902" s="1"/>
      <c r="N902" s="1"/>
    </row>
    <row r="903" ht="15.75" customHeight="1">
      <c r="A903" s="1"/>
      <c r="B903" s="1"/>
      <c r="C903" s="1"/>
      <c r="D903" s="1"/>
      <c r="E903" s="1"/>
      <c r="F903" s="1"/>
      <c r="G903" s="1"/>
      <c r="H903" s="1"/>
      <c r="I903" s="1"/>
      <c r="J903" s="1"/>
      <c r="K903" s="1"/>
      <c r="L903" s="1"/>
      <c r="M903" s="1"/>
      <c r="N903" s="1"/>
    </row>
    <row r="904" ht="15.75" customHeight="1">
      <c r="A904" s="1"/>
      <c r="B904" s="1"/>
      <c r="C904" s="1"/>
      <c r="D904" s="1"/>
      <c r="E904" s="1"/>
      <c r="F904" s="1"/>
      <c r="G904" s="1"/>
      <c r="H904" s="1"/>
      <c r="I904" s="1"/>
      <c r="J904" s="1"/>
      <c r="K904" s="1"/>
      <c r="L904" s="1"/>
      <c r="M904" s="1"/>
      <c r="N904" s="1"/>
    </row>
    <row r="905" ht="15.75" customHeight="1">
      <c r="A905" s="1"/>
      <c r="B905" s="1"/>
      <c r="C905" s="1"/>
      <c r="D905" s="1"/>
      <c r="E905" s="1"/>
      <c r="F905" s="1"/>
      <c r="G905" s="1"/>
      <c r="H905" s="1"/>
      <c r="I905" s="1"/>
      <c r="J905" s="1"/>
      <c r="K905" s="1"/>
      <c r="L905" s="1"/>
      <c r="M905" s="1"/>
      <c r="N905" s="1"/>
    </row>
    <row r="906" ht="15.75" customHeight="1">
      <c r="A906" s="1"/>
      <c r="B906" s="1"/>
      <c r="C906" s="1"/>
      <c r="D906" s="1"/>
      <c r="E906" s="1"/>
      <c r="F906" s="1"/>
      <c r="G906" s="1"/>
      <c r="H906" s="1"/>
      <c r="I906" s="1"/>
      <c r="J906" s="1"/>
      <c r="K906" s="1"/>
      <c r="L906" s="1"/>
      <c r="M906" s="1"/>
      <c r="N906" s="1"/>
    </row>
    <row r="907" ht="15.75" customHeight="1">
      <c r="A907" s="1"/>
      <c r="B907" s="1"/>
      <c r="C907" s="1"/>
      <c r="D907" s="1"/>
      <c r="E907" s="1"/>
      <c r="F907" s="1"/>
      <c r="G907" s="1"/>
      <c r="H907" s="1"/>
      <c r="I907" s="1"/>
      <c r="J907" s="1"/>
      <c r="K907" s="1"/>
      <c r="L907" s="1"/>
      <c r="M907" s="1"/>
      <c r="N907" s="1"/>
    </row>
    <row r="908" ht="15.75" customHeight="1">
      <c r="A908" s="1"/>
      <c r="B908" s="1"/>
      <c r="C908" s="1"/>
      <c r="D908" s="1"/>
      <c r="E908" s="1"/>
      <c r="F908" s="1"/>
      <c r="G908" s="1"/>
      <c r="H908" s="1"/>
      <c r="I908" s="1"/>
      <c r="J908" s="1"/>
      <c r="K908" s="1"/>
      <c r="L908" s="1"/>
      <c r="M908" s="1"/>
      <c r="N908" s="1"/>
    </row>
    <row r="909" ht="15.75" customHeight="1">
      <c r="A909" s="1"/>
      <c r="B909" s="1"/>
      <c r="C909" s="1"/>
      <c r="D909" s="1"/>
      <c r="E909" s="1"/>
      <c r="F909" s="1"/>
      <c r="G909" s="1"/>
      <c r="H909" s="1"/>
      <c r="I909" s="1"/>
      <c r="J909" s="1"/>
      <c r="K909" s="1"/>
      <c r="L909" s="1"/>
      <c r="M909" s="1"/>
      <c r="N909" s="1"/>
    </row>
    <row r="910" ht="15.75" customHeight="1">
      <c r="A910" s="1"/>
      <c r="B910" s="1"/>
      <c r="C910" s="1"/>
      <c r="D910" s="1"/>
      <c r="E910" s="1"/>
      <c r="F910" s="1"/>
      <c r="G910" s="1"/>
      <c r="H910" s="1"/>
      <c r="I910" s="1"/>
      <c r="J910" s="1"/>
      <c r="K910" s="1"/>
      <c r="L910" s="1"/>
      <c r="M910" s="1"/>
      <c r="N910" s="1"/>
    </row>
    <row r="911" ht="15.75" customHeight="1">
      <c r="A911" s="1"/>
      <c r="B911" s="1"/>
      <c r="C911" s="1"/>
      <c r="D911" s="1"/>
      <c r="E911" s="1"/>
      <c r="F911" s="1"/>
      <c r="G911" s="1"/>
      <c r="H911" s="1"/>
      <c r="I911" s="1"/>
      <c r="J911" s="1"/>
      <c r="K911" s="1"/>
      <c r="L911" s="1"/>
      <c r="M911" s="1"/>
      <c r="N911" s="1"/>
    </row>
    <row r="912" ht="15.75" customHeight="1">
      <c r="A912" s="1"/>
      <c r="B912" s="1"/>
      <c r="C912" s="1"/>
      <c r="D912" s="1"/>
      <c r="E912" s="1"/>
      <c r="F912" s="1"/>
      <c r="G912" s="1"/>
      <c r="H912" s="1"/>
      <c r="I912" s="1"/>
      <c r="J912" s="1"/>
      <c r="K912" s="1"/>
      <c r="L912" s="1"/>
      <c r="M912" s="1"/>
      <c r="N912" s="1"/>
    </row>
    <row r="913" ht="15.75" customHeight="1">
      <c r="A913" s="1"/>
      <c r="B913" s="1"/>
      <c r="C913" s="1"/>
      <c r="D913" s="1"/>
      <c r="E913" s="1"/>
      <c r="F913" s="1"/>
      <c r="G913" s="1"/>
      <c r="H913" s="1"/>
      <c r="I913" s="1"/>
      <c r="J913" s="1"/>
      <c r="K913" s="1"/>
      <c r="L913" s="1"/>
      <c r="M913" s="1"/>
      <c r="N913" s="1"/>
    </row>
    <row r="914" ht="15.75" customHeight="1">
      <c r="A914" s="1"/>
      <c r="B914" s="1"/>
      <c r="C914" s="1"/>
      <c r="D914" s="1"/>
      <c r="E914" s="1"/>
      <c r="F914" s="1"/>
      <c r="G914" s="1"/>
      <c r="H914" s="1"/>
      <c r="I914" s="1"/>
      <c r="J914" s="1"/>
      <c r="K914" s="1"/>
      <c r="L914" s="1"/>
      <c r="M914" s="1"/>
      <c r="N914" s="1"/>
    </row>
    <row r="915" ht="15.75" customHeight="1">
      <c r="A915" s="1"/>
      <c r="B915" s="1"/>
      <c r="C915" s="1"/>
      <c r="D915" s="1"/>
      <c r="E915" s="1"/>
      <c r="F915" s="1"/>
      <c r="G915" s="1"/>
      <c r="H915" s="1"/>
      <c r="I915" s="1"/>
      <c r="J915" s="1"/>
      <c r="K915" s="1"/>
      <c r="L915" s="1"/>
      <c r="M915" s="1"/>
      <c r="N915" s="1"/>
    </row>
    <row r="916" ht="15.75" customHeight="1">
      <c r="A916" s="1"/>
      <c r="B916" s="1"/>
      <c r="C916" s="1"/>
      <c r="D916" s="1"/>
      <c r="E916" s="1"/>
      <c r="F916" s="1"/>
      <c r="G916" s="1"/>
      <c r="H916" s="1"/>
      <c r="I916" s="1"/>
      <c r="J916" s="1"/>
      <c r="K916" s="1"/>
      <c r="L916" s="1"/>
      <c r="M916" s="1"/>
      <c r="N916" s="1"/>
    </row>
    <row r="917" ht="15.75" customHeight="1">
      <c r="A917" s="1"/>
      <c r="B917" s="1"/>
      <c r="C917" s="1"/>
      <c r="D917" s="1"/>
      <c r="E917" s="1"/>
      <c r="F917" s="1"/>
      <c r="G917" s="1"/>
      <c r="H917" s="1"/>
      <c r="I917" s="1"/>
      <c r="J917" s="1"/>
      <c r="K917" s="1"/>
      <c r="L917" s="1"/>
      <c r="M917" s="1"/>
      <c r="N917" s="1"/>
    </row>
    <row r="918" ht="15.75" customHeight="1">
      <c r="A918" s="1"/>
      <c r="B918" s="1"/>
      <c r="C918" s="1"/>
      <c r="D918" s="1"/>
      <c r="E918" s="1"/>
      <c r="F918" s="1"/>
      <c r="G918" s="1"/>
      <c r="H918" s="1"/>
      <c r="I918" s="1"/>
      <c r="J918" s="1"/>
      <c r="K918" s="1"/>
      <c r="L918" s="1"/>
      <c r="M918" s="1"/>
      <c r="N918" s="1"/>
    </row>
    <row r="919" ht="15.75" customHeight="1">
      <c r="A919" s="1"/>
      <c r="B919" s="1"/>
      <c r="C919" s="1"/>
      <c r="D919" s="1"/>
      <c r="E919" s="1"/>
      <c r="F919" s="1"/>
      <c r="G919" s="1"/>
      <c r="H919" s="1"/>
      <c r="I919" s="1"/>
      <c r="J919" s="1"/>
      <c r="K919" s="1"/>
      <c r="L919" s="1"/>
      <c r="M919" s="1"/>
      <c r="N919" s="1"/>
    </row>
    <row r="920" ht="15.75" customHeight="1">
      <c r="A920" s="1"/>
      <c r="B920" s="1"/>
      <c r="C920" s="1"/>
      <c r="D920" s="1"/>
      <c r="E920" s="1"/>
      <c r="F920" s="1"/>
      <c r="G920" s="1"/>
      <c r="H920" s="1"/>
      <c r="I920" s="1"/>
      <c r="J920" s="1"/>
      <c r="K920" s="1"/>
      <c r="L920" s="1"/>
      <c r="M920" s="1"/>
      <c r="N920" s="1"/>
    </row>
    <row r="921" ht="15.75" customHeight="1">
      <c r="A921" s="1"/>
      <c r="B921" s="1"/>
      <c r="C921" s="1"/>
      <c r="D921" s="1"/>
      <c r="E921" s="1"/>
      <c r="F921" s="1"/>
      <c r="G921" s="1"/>
      <c r="H921" s="1"/>
      <c r="I921" s="1"/>
      <c r="J921" s="1"/>
      <c r="K921" s="1"/>
      <c r="L921" s="1"/>
      <c r="M921" s="1"/>
      <c r="N921" s="1"/>
    </row>
    <row r="922" ht="15.75" customHeight="1">
      <c r="A922" s="1"/>
      <c r="B922" s="1"/>
      <c r="C922" s="1"/>
      <c r="D922" s="1"/>
      <c r="E922" s="1"/>
      <c r="F922" s="1"/>
      <c r="G922" s="1"/>
      <c r="H922" s="1"/>
      <c r="I922" s="1"/>
      <c r="J922" s="1"/>
      <c r="K922" s="1"/>
      <c r="L922" s="1"/>
      <c r="M922" s="1"/>
      <c r="N922" s="1"/>
    </row>
    <row r="923" ht="15.75" customHeight="1">
      <c r="A923" s="1"/>
      <c r="B923" s="1"/>
      <c r="C923" s="1"/>
      <c r="D923" s="1"/>
      <c r="E923" s="1"/>
      <c r="F923" s="1"/>
      <c r="G923" s="1"/>
      <c r="H923" s="1"/>
      <c r="I923" s="1"/>
      <c r="J923" s="1"/>
      <c r="K923" s="1"/>
      <c r="L923" s="1"/>
      <c r="M923" s="1"/>
      <c r="N923" s="1"/>
    </row>
    <row r="924" ht="15.75" customHeight="1">
      <c r="A924" s="1"/>
      <c r="B924" s="1"/>
      <c r="C924" s="1"/>
      <c r="D924" s="1"/>
      <c r="E924" s="1"/>
      <c r="F924" s="1"/>
      <c r="G924" s="1"/>
      <c r="H924" s="1"/>
      <c r="I924" s="1"/>
      <c r="J924" s="1"/>
      <c r="K924" s="1"/>
      <c r="L924" s="1"/>
      <c r="M924" s="1"/>
      <c r="N924" s="1"/>
    </row>
    <row r="925" ht="15.75" customHeight="1">
      <c r="A925" s="1"/>
      <c r="B925" s="1"/>
      <c r="C925" s="1"/>
      <c r="D925" s="1"/>
      <c r="E925" s="1"/>
      <c r="F925" s="1"/>
      <c r="G925" s="1"/>
      <c r="H925" s="1"/>
      <c r="I925" s="1"/>
      <c r="J925" s="1"/>
      <c r="K925" s="1"/>
      <c r="L925" s="1"/>
      <c r="M925" s="1"/>
      <c r="N925" s="1"/>
    </row>
    <row r="926" ht="15.75" customHeight="1">
      <c r="A926" s="1"/>
      <c r="B926" s="1"/>
      <c r="C926" s="1"/>
      <c r="D926" s="1"/>
      <c r="E926" s="1"/>
      <c r="F926" s="1"/>
      <c r="G926" s="1"/>
      <c r="H926" s="1"/>
      <c r="I926" s="1"/>
      <c r="J926" s="1"/>
      <c r="K926" s="1"/>
      <c r="L926" s="1"/>
      <c r="M926" s="1"/>
      <c r="N926" s="1"/>
    </row>
    <row r="927" ht="15.75" customHeight="1">
      <c r="A927" s="1"/>
      <c r="B927" s="1"/>
      <c r="C927" s="1"/>
      <c r="D927" s="1"/>
      <c r="E927" s="1"/>
      <c r="F927" s="1"/>
      <c r="G927" s="1"/>
      <c r="H927" s="1"/>
      <c r="I927" s="1"/>
      <c r="J927" s="1"/>
      <c r="K927" s="1"/>
      <c r="L927" s="1"/>
      <c r="M927" s="1"/>
      <c r="N927" s="1"/>
    </row>
    <row r="928" ht="15.75" customHeight="1">
      <c r="A928" s="1"/>
      <c r="B928" s="1"/>
      <c r="C928" s="1"/>
      <c r="D928" s="1"/>
      <c r="E928" s="1"/>
      <c r="F928" s="1"/>
      <c r="G928" s="1"/>
      <c r="H928" s="1"/>
      <c r="I928" s="1"/>
      <c r="J928" s="1"/>
      <c r="K928" s="1"/>
      <c r="L928" s="1"/>
      <c r="M928" s="1"/>
      <c r="N928" s="1"/>
    </row>
    <row r="929" ht="15.75" customHeight="1">
      <c r="A929" s="1"/>
      <c r="B929" s="1"/>
      <c r="C929" s="1"/>
      <c r="D929" s="1"/>
      <c r="E929" s="1"/>
      <c r="F929" s="1"/>
      <c r="G929" s="1"/>
      <c r="H929" s="1"/>
      <c r="I929" s="1"/>
      <c r="J929" s="1"/>
      <c r="K929" s="1"/>
      <c r="L929" s="1"/>
      <c r="M929" s="1"/>
      <c r="N929" s="1"/>
    </row>
    <row r="930" ht="15.75" customHeight="1">
      <c r="A930" s="1"/>
      <c r="B930" s="1"/>
      <c r="C930" s="1"/>
      <c r="D930" s="1"/>
      <c r="E930" s="1"/>
      <c r="F930" s="1"/>
      <c r="G930" s="1"/>
      <c r="H930" s="1"/>
      <c r="I930" s="1"/>
      <c r="J930" s="1"/>
      <c r="K930" s="1"/>
      <c r="L930" s="1"/>
      <c r="M930" s="1"/>
      <c r="N930" s="1"/>
    </row>
    <row r="931" ht="15.75" customHeight="1">
      <c r="A931" s="1"/>
      <c r="B931" s="1"/>
      <c r="C931" s="1"/>
      <c r="D931" s="1"/>
      <c r="E931" s="1"/>
      <c r="F931" s="1"/>
      <c r="G931" s="1"/>
      <c r="H931" s="1"/>
      <c r="I931" s="1"/>
      <c r="J931" s="1"/>
      <c r="K931" s="1"/>
      <c r="L931" s="1"/>
      <c r="M931" s="1"/>
      <c r="N931" s="1"/>
    </row>
    <row r="932" ht="15.75" customHeight="1">
      <c r="A932" s="1"/>
      <c r="B932" s="1"/>
      <c r="C932" s="1"/>
      <c r="D932" s="1"/>
      <c r="E932" s="1"/>
      <c r="F932" s="1"/>
      <c r="G932" s="1"/>
      <c r="H932" s="1"/>
      <c r="I932" s="1"/>
      <c r="J932" s="1"/>
      <c r="K932" s="1"/>
      <c r="L932" s="1"/>
      <c r="M932" s="1"/>
      <c r="N932" s="1"/>
    </row>
    <row r="933" ht="15.75" customHeight="1">
      <c r="A933" s="1"/>
      <c r="B933" s="1"/>
      <c r="C933" s="1"/>
      <c r="D933" s="1"/>
      <c r="E933" s="1"/>
      <c r="F933" s="1"/>
      <c r="G933" s="1"/>
      <c r="H933" s="1"/>
      <c r="I933" s="1"/>
      <c r="J933" s="1"/>
      <c r="K933" s="1"/>
      <c r="L933" s="1"/>
      <c r="M933" s="1"/>
      <c r="N933" s="1"/>
    </row>
    <row r="934" ht="15.75" customHeight="1">
      <c r="A934" s="1"/>
      <c r="B934" s="1"/>
      <c r="C934" s="1"/>
      <c r="D934" s="1"/>
      <c r="E934" s="1"/>
      <c r="F934" s="1"/>
      <c r="G934" s="1"/>
      <c r="H934" s="1"/>
      <c r="I934" s="1"/>
      <c r="J934" s="1"/>
      <c r="K934" s="1"/>
      <c r="L934" s="1"/>
      <c r="M934" s="1"/>
      <c r="N934" s="1"/>
    </row>
    <row r="935" ht="15.75" customHeight="1">
      <c r="A935" s="1"/>
      <c r="B935" s="1"/>
      <c r="C935" s="1"/>
      <c r="D935" s="1"/>
      <c r="E935" s="1"/>
      <c r="F935" s="1"/>
      <c r="G935" s="1"/>
      <c r="H935" s="1"/>
      <c r="I935" s="1"/>
      <c r="J935" s="1"/>
      <c r="K935" s="1"/>
      <c r="L935" s="1"/>
      <c r="M935" s="1"/>
      <c r="N935" s="1"/>
    </row>
    <row r="936" ht="15.75" customHeight="1">
      <c r="A936" s="1"/>
      <c r="B936" s="1"/>
      <c r="C936" s="1"/>
      <c r="D936" s="1"/>
      <c r="E936" s="1"/>
      <c r="F936" s="1"/>
      <c r="G936" s="1"/>
      <c r="H936" s="1"/>
      <c r="I936" s="1"/>
      <c r="J936" s="1"/>
      <c r="K936" s="1"/>
      <c r="L936" s="1"/>
      <c r="M936" s="1"/>
      <c r="N936" s="1"/>
    </row>
    <row r="937" ht="15.75" customHeight="1">
      <c r="A937" s="1"/>
      <c r="B937" s="1"/>
      <c r="C937" s="1"/>
      <c r="D937" s="1"/>
      <c r="E937" s="1"/>
      <c r="F937" s="1"/>
      <c r="G937" s="1"/>
      <c r="H937" s="1"/>
      <c r="I937" s="1"/>
      <c r="J937" s="1"/>
      <c r="K937" s="1"/>
      <c r="L937" s="1"/>
      <c r="M937" s="1"/>
      <c r="N937" s="1"/>
    </row>
    <row r="938" ht="15.75" customHeight="1">
      <c r="A938" s="1"/>
      <c r="B938" s="1"/>
      <c r="C938" s="1"/>
      <c r="D938" s="1"/>
      <c r="E938" s="1"/>
      <c r="F938" s="1"/>
      <c r="G938" s="1"/>
      <c r="H938" s="1"/>
      <c r="I938" s="1"/>
      <c r="J938" s="1"/>
      <c r="K938" s="1"/>
      <c r="L938" s="1"/>
      <c r="M938" s="1"/>
      <c r="N938" s="1"/>
    </row>
    <row r="939" ht="15.75" customHeight="1">
      <c r="A939" s="1"/>
      <c r="B939" s="1"/>
      <c r="C939" s="1"/>
      <c r="D939" s="1"/>
      <c r="E939" s="1"/>
      <c r="F939" s="1"/>
      <c r="G939" s="1"/>
      <c r="H939" s="1"/>
      <c r="I939" s="1"/>
      <c r="J939" s="1"/>
      <c r="K939" s="1"/>
      <c r="L939" s="1"/>
      <c r="M939" s="1"/>
      <c r="N939" s="1"/>
    </row>
    <row r="940" ht="15.75" customHeight="1">
      <c r="A940" s="1"/>
      <c r="B940" s="1"/>
      <c r="C940" s="1"/>
      <c r="D940" s="1"/>
      <c r="E940" s="1"/>
      <c r="F940" s="1"/>
      <c r="G940" s="1"/>
      <c r="H940" s="1"/>
      <c r="I940" s="1"/>
      <c r="J940" s="1"/>
      <c r="K940" s="1"/>
      <c r="L940" s="1"/>
      <c r="M940" s="1"/>
      <c r="N940" s="1"/>
    </row>
    <row r="941" ht="15.75" customHeight="1">
      <c r="A941" s="1"/>
      <c r="B941" s="1"/>
      <c r="C941" s="1"/>
      <c r="D941" s="1"/>
      <c r="E941" s="1"/>
      <c r="F941" s="1"/>
      <c r="G941" s="1"/>
      <c r="H941" s="1"/>
      <c r="I941" s="1"/>
      <c r="J941" s="1"/>
      <c r="K941" s="1"/>
      <c r="L941" s="1"/>
      <c r="M941" s="1"/>
      <c r="N941" s="1"/>
    </row>
    <row r="942" ht="15.75" customHeight="1">
      <c r="A942" s="1"/>
      <c r="B942" s="1"/>
      <c r="C942" s="1"/>
      <c r="D942" s="1"/>
      <c r="E942" s="1"/>
      <c r="F942" s="1"/>
      <c r="G942" s="1"/>
      <c r="H942" s="1"/>
      <c r="I942" s="1"/>
      <c r="J942" s="1"/>
      <c r="K942" s="1"/>
      <c r="L942" s="1"/>
      <c r="M942" s="1"/>
      <c r="N942" s="1"/>
    </row>
    <row r="943" ht="15.75" customHeight="1">
      <c r="A943" s="1"/>
      <c r="B943" s="1"/>
      <c r="C943" s="1"/>
      <c r="D943" s="1"/>
      <c r="E943" s="1"/>
      <c r="F943" s="1"/>
      <c r="G943" s="1"/>
      <c r="H943" s="1"/>
      <c r="I943" s="1"/>
      <c r="J943" s="1"/>
      <c r="K943" s="1"/>
      <c r="L943" s="1"/>
      <c r="M943" s="1"/>
      <c r="N943" s="1"/>
    </row>
    <row r="944" ht="15.75" customHeight="1">
      <c r="A944" s="1"/>
      <c r="B944" s="1"/>
      <c r="C944" s="1"/>
      <c r="D944" s="1"/>
      <c r="E944" s="1"/>
      <c r="F944" s="1"/>
      <c r="G944" s="1"/>
      <c r="H944" s="1"/>
      <c r="I944" s="1"/>
      <c r="J944" s="1"/>
      <c r="K944" s="1"/>
      <c r="L944" s="1"/>
      <c r="M944" s="1"/>
      <c r="N944" s="1"/>
    </row>
    <row r="945" ht="15.75" customHeight="1">
      <c r="A945" s="1"/>
      <c r="B945" s="1"/>
      <c r="C945" s="1"/>
      <c r="D945" s="1"/>
      <c r="E945" s="1"/>
      <c r="F945" s="1"/>
      <c r="G945" s="1"/>
      <c r="H945" s="1"/>
      <c r="I945" s="1"/>
      <c r="J945" s="1"/>
      <c r="K945" s="1"/>
      <c r="L945" s="1"/>
      <c r="M945" s="1"/>
      <c r="N945" s="1"/>
    </row>
    <row r="946" ht="15.75" customHeight="1">
      <c r="A946" s="1"/>
      <c r="B946" s="1"/>
      <c r="C946" s="1"/>
      <c r="D946" s="1"/>
      <c r="E946" s="1"/>
      <c r="F946" s="1"/>
      <c r="G946" s="1"/>
      <c r="H946" s="1"/>
      <c r="I946" s="1"/>
      <c r="J946" s="1"/>
      <c r="K946" s="1"/>
      <c r="L946" s="1"/>
      <c r="M946" s="1"/>
      <c r="N946" s="1"/>
    </row>
    <row r="947" ht="15.75" customHeight="1">
      <c r="A947" s="1"/>
      <c r="B947" s="1"/>
      <c r="C947" s="1"/>
      <c r="D947" s="1"/>
      <c r="E947" s="1"/>
      <c r="F947" s="1"/>
      <c r="G947" s="1"/>
      <c r="H947" s="1"/>
      <c r="I947" s="1"/>
      <c r="J947" s="1"/>
      <c r="K947" s="1"/>
      <c r="L947" s="1"/>
      <c r="M947" s="1"/>
      <c r="N947" s="1"/>
    </row>
    <row r="948" ht="15.75" customHeight="1">
      <c r="A948" s="1"/>
      <c r="B948" s="1"/>
      <c r="C948" s="1"/>
      <c r="D948" s="1"/>
      <c r="E948" s="1"/>
      <c r="F948" s="1"/>
      <c r="G948" s="1"/>
      <c r="H948" s="1"/>
      <c r="I948" s="1"/>
      <c r="J948" s="1"/>
      <c r="K948" s="1"/>
      <c r="L948" s="1"/>
      <c r="M948" s="1"/>
      <c r="N948" s="1"/>
    </row>
    <row r="949" ht="15.75" customHeight="1">
      <c r="A949" s="1"/>
      <c r="B949" s="1"/>
      <c r="C949" s="1"/>
      <c r="D949" s="1"/>
      <c r="E949" s="1"/>
      <c r="F949" s="1"/>
      <c r="G949" s="1"/>
      <c r="H949" s="1"/>
      <c r="I949" s="1"/>
      <c r="J949" s="1"/>
      <c r="K949" s="1"/>
      <c r="L949" s="1"/>
      <c r="M949" s="1"/>
      <c r="N949" s="1"/>
    </row>
    <row r="950" ht="15.75" customHeight="1">
      <c r="A950" s="1"/>
      <c r="B950" s="1"/>
      <c r="C950" s="1"/>
      <c r="D950" s="1"/>
      <c r="E950" s="1"/>
      <c r="F950" s="1"/>
      <c r="G950" s="1"/>
      <c r="H950" s="1"/>
      <c r="I950" s="1"/>
      <c r="J950" s="1"/>
      <c r="K950" s="1"/>
      <c r="L950" s="1"/>
      <c r="M950" s="1"/>
      <c r="N950" s="1"/>
    </row>
    <row r="951" ht="15.75" customHeight="1">
      <c r="A951" s="1"/>
      <c r="B951" s="1"/>
      <c r="C951" s="1"/>
      <c r="D951" s="1"/>
      <c r="E951" s="1"/>
      <c r="F951" s="1"/>
      <c r="G951" s="1"/>
      <c r="H951" s="1"/>
      <c r="I951" s="1"/>
      <c r="J951" s="1"/>
      <c r="K951" s="1"/>
      <c r="L951" s="1"/>
      <c r="M951" s="1"/>
      <c r="N951" s="1"/>
    </row>
    <row r="952" ht="15.75" customHeight="1">
      <c r="A952" s="1"/>
      <c r="B952" s="1"/>
      <c r="C952" s="1"/>
      <c r="D952" s="1"/>
      <c r="E952" s="1"/>
      <c r="F952" s="1"/>
      <c r="G952" s="1"/>
      <c r="H952" s="1"/>
      <c r="I952" s="1"/>
      <c r="J952" s="1"/>
      <c r="K952" s="1"/>
      <c r="L952" s="1"/>
      <c r="M952" s="1"/>
      <c r="N952" s="1"/>
    </row>
    <row r="953" ht="15.75" customHeight="1">
      <c r="A953" s="1"/>
      <c r="B953" s="1"/>
      <c r="C953" s="1"/>
      <c r="D953" s="1"/>
      <c r="E953" s="1"/>
      <c r="F953" s="1"/>
      <c r="G953" s="1"/>
      <c r="H953" s="1"/>
      <c r="I953" s="1"/>
      <c r="J953" s="1"/>
      <c r="K953" s="1"/>
      <c r="L953" s="1"/>
      <c r="M953" s="1"/>
      <c r="N953" s="1"/>
    </row>
    <row r="954" ht="15.75" customHeight="1">
      <c r="A954" s="1"/>
      <c r="B954" s="1"/>
      <c r="C954" s="1"/>
      <c r="D954" s="1"/>
      <c r="E954" s="1"/>
      <c r="F954" s="1"/>
      <c r="G954" s="1"/>
      <c r="H954" s="1"/>
      <c r="I954" s="1"/>
      <c r="J954" s="1"/>
      <c r="K954" s="1"/>
      <c r="L954" s="1"/>
      <c r="M954" s="1"/>
      <c r="N954" s="1"/>
    </row>
    <row r="955" ht="15.75" customHeight="1">
      <c r="A955" s="1"/>
      <c r="B955" s="1"/>
      <c r="C955" s="1"/>
      <c r="D955" s="1"/>
      <c r="E955" s="1"/>
      <c r="F955" s="1"/>
      <c r="G955" s="1"/>
      <c r="H955" s="1"/>
      <c r="I955" s="1"/>
      <c r="J955" s="1"/>
      <c r="K955" s="1"/>
      <c r="L955" s="1"/>
      <c r="M955" s="1"/>
      <c r="N955" s="1"/>
    </row>
    <row r="956" ht="15.75" customHeight="1">
      <c r="A956" s="1"/>
      <c r="B956" s="1"/>
      <c r="C956" s="1"/>
      <c r="D956" s="1"/>
      <c r="E956" s="1"/>
      <c r="F956" s="1"/>
      <c r="G956" s="1"/>
      <c r="H956" s="1"/>
      <c r="I956" s="1"/>
      <c r="J956" s="1"/>
      <c r="K956" s="1"/>
      <c r="L956" s="1"/>
      <c r="M956" s="1"/>
      <c r="N956" s="1"/>
    </row>
    <row r="957" ht="15.75" customHeight="1">
      <c r="A957" s="1"/>
      <c r="B957" s="1"/>
      <c r="C957" s="1"/>
      <c r="D957" s="1"/>
      <c r="E957" s="1"/>
      <c r="F957" s="1"/>
      <c r="G957" s="1"/>
      <c r="H957" s="1"/>
      <c r="I957" s="1"/>
      <c r="J957" s="1"/>
      <c r="K957" s="1"/>
      <c r="L957" s="1"/>
      <c r="M957" s="1"/>
      <c r="N957" s="1"/>
    </row>
    <row r="958" ht="15.75" customHeight="1">
      <c r="A958" s="1"/>
      <c r="B958" s="1"/>
      <c r="C958" s="1"/>
      <c r="D958" s="1"/>
      <c r="E958" s="1"/>
      <c r="F958" s="1"/>
      <c r="G958" s="1"/>
      <c r="H958" s="1"/>
      <c r="I958" s="1"/>
      <c r="J958" s="1"/>
      <c r="K958" s="1"/>
      <c r="L958" s="1"/>
      <c r="M958" s="1"/>
      <c r="N958" s="1"/>
    </row>
    <row r="959" ht="15.75" customHeight="1">
      <c r="A959" s="1"/>
      <c r="B959" s="1"/>
      <c r="C959" s="1"/>
      <c r="D959" s="1"/>
      <c r="E959" s="1"/>
      <c r="F959" s="1"/>
      <c r="G959" s="1"/>
      <c r="H959" s="1"/>
      <c r="I959" s="1"/>
      <c r="J959" s="1"/>
      <c r="K959" s="1"/>
      <c r="L959" s="1"/>
      <c r="M959" s="1"/>
      <c r="N959" s="1"/>
    </row>
    <row r="960" ht="15.75" customHeight="1">
      <c r="A960" s="1"/>
      <c r="B960" s="1"/>
      <c r="C960" s="1"/>
      <c r="D960" s="1"/>
      <c r="E960" s="1"/>
      <c r="F960" s="1"/>
      <c r="G960" s="1"/>
      <c r="H960" s="1"/>
      <c r="I960" s="1"/>
      <c r="J960" s="1"/>
      <c r="K960" s="1"/>
      <c r="L960" s="1"/>
      <c r="M960" s="1"/>
      <c r="N960" s="1"/>
    </row>
    <row r="961" ht="15.75" customHeight="1">
      <c r="A961" s="1"/>
      <c r="B961" s="1"/>
      <c r="C961" s="1"/>
      <c r="D961" s="1"/>
      <c r="E961" s="1"/>
      <c r="F961" s="1"/>
      <c r="G961" s="1"/>
      <c r="H961" s="1"/>
      <c r="I961" s="1"/>
      <c r="J961" s="1"/>
      <c r="K961" s="1"/>
      <c r="L961" s="1"/>
      <c r="M961" s="1"/>
      <c r="N961" s="1"/>
    </row>
    <row r="962" ht="15.75" customHeight="1">
      <c r="A962" s="1"/>
      <c r="B962" s="1"/>
      <c r="C962" s="1"/>
      <c r="D962" s="1"/>
      <c r="E962" s="1"/>
      <c r="F962" s="1"/>
      <c r="G962" s="1"/>
      <c r="H962" s="1"/>
      <c r="I962" s="1"/>
      <c r="J962" s="1"/>
      <c r="K962" s="1"/>
      <c r="L962" s="1"/>
      <c r="M962" s="1"/>
      <c r="N962" s="1"/>
    </row>
    <row r="963" ht="15.75" customHeight="1">
      <c r="A963" s="1"/>
      <c r="B963" s="1"/>
      <c r="C963" s="1"/>
      <c r="D963" s="1"/>
      <c r="E963" s="1"/>
      <c r="F963" s="1"/>
      <c r="G963" s="1"/>
      <c r="H963" s="1"/>
      <c r="I963" s="1"/>
      <c r="J963" s="1"/>
      <c r="K963" s="1"/>
      <c r="L963" s="1"/>
      <c r="M963" s="1"/>
      <c r="N963" s="1"/>
    </row>
    <row r="964" ht="15.75" customHeight="1">
      <c r="A964" s="1"/>
      <c r="B964" s="1"/>
      <c r="C964" s="1"/>
      <c r="D964" s="1"/>
      <c r="E964" s="1"/>
      <c r="F964" s="1"/>
      <c r="G964" s="1"/>
      <c r="H964" s="1"/>
      <c r="I964" s="1"/>
      <c r="J964" s="1"/>
      <c r="K964" s="1"/>
      <c r="L964" s="1"/>
      <c r="M964" s="1"/>
      <c r="N964" s="1"/>
    </row>
    <row r="965" ht="15.75" customHeight="1">
      <c r="A965" s="1"/>
      <c r="B965" s="1"/>
      <c r="C965" s="1"/>
      <c r="D965" s="1"/>
      <c r="E965" s="1"/>
      <c r="F965" s="1"/>
      <c r="G965" s="1"/>
      <c r="H965" s="1"/>
      <c r="I965" s="1"/>
      <c r="J965" s="1"/>
      <c r="K965" s="1"/>
      <c r="L965" s="1"/>
      <c r="M965" s="1"/>
      <c r="N965" s="1"/>
    </row>
    <row r="966" ht="15.75" customHeight="1">
      <c r="A966" s="1"/>
      <c r="B966" s="1"/>
      <c r="C966" s="1"/>
      <c r="D966" s="1"/>
      <c r="E966" s="1"/>
      <c r="F966" s="1"/>
      <c r="G966" s="1"/>
      <c r="H966" s="1"/>
      <c r="I966" s="1"/>
      <c r="J966" s="1"/>
      <c r="K966" s="1"/>
      <c r="L966" s="1"/>
      <c r="M966" s="1"/>
      <c r="N966" s="1"/>
    </row>
    <row r="967" ht="15.75" customHeight="1">
      <c r="A967" s="1"/>
      <c r="B967" s="1"/>
      <c r="C967" s="1"/>
      <c r="D967" s="1"/>
      <c r="E967" s="1"/>
      <c r="F967" s="1"/>
      <c r="G967" s="1"/>
      <c r="H967" s="1"/>
      <c r="I967" s="1"/>
      <c r="J967" s="1"/>
      <c r="K967" s="1"/>
      <c r="L967" s="1"/>
      <c r="M967" s="1"/>
      <c r="N967" s="1"/>
    </row>
    <row r="968" ht="15.75" customHeight="1">
      <c r="A968" s="1"/>
      <c r="B968" s="1"/>
      <c r="C968" s="1"/>
      <c r="D968" s="1"/>
      <c r="E968" s="1"/>
      <c r="F968" s="1"/>
      <c r="G968" s="1"/>
      <c r="H968" s="1"/>
      <c r="I968" s="1"/>
      <c r="J968" s="1"/>
      <c r="K968" s="1"/>
      <c r="L968" s="1"/>
      <c r="M968" s="1"/>
      <c r="N968" s="1"/>
    </row>
    <row r="969" ht="15.75" customHeight="1">
      <c r="A969" s="1"/>
      <c r="B969" s="1"/>
      <c r="C969" s="1"/>
      <c r="D969" s="1"/>
      <c r="E969" s="1"/>
      <c r="F969" s="1"/>
      <c r="G969" s="1"/>
      <c r="H969" s="1"/>
      <c r="I969" s="1"/>
      <c r="J969" s="1"/>
      <c r="K969" s="1"/>
      <c r="L969" s="1"/>
      <c r="M969" s="1"/>
      <c r="N969" s="1"/>
    </row>
    <row r="970" ht="15.75" customHeight="1">
      <c r="A970" s="1"/>
      <c r="B970" s="1"/>
      <c r="C970" s="1"/>
      <c r="D970" s="1"/>
      <c r="E970" s="1"/>
      <c r="F970" s="1"/>
      <c r="G970" s="1"/>
      <c r="H970" s="1"/>
      <c r="I970" s="1"/>
      <c r="J970" s="1"/>
      <c r="K970" s="1"/>
      <c r="L970" s="1"/>
      <c r="M970" s="1"/>
      <c r="N970" s="1"/>
    </row>
    <row r="971" ht="15.75" customHeight="1">
      <c r="A971" s="1"/>
      <c r="B971" s="1"/>
      <c r="C971" s="1"/>
      <c r="D971" s="1"/>
      <c r="E971" s="1"/>
      <c r="F971" s="1"/>
      <c r="G971" s="1"/>
      <c r="H971" s="1"/>
      <c r="I971" s="1"/>
      <c r="J971" s="1"/>
      <c r="K971" s="1"/>
      <c r="L971" s="1"/>
      <c r="M971" s="1"/>
      <c r="N971" s="1"/>
    </row>
    <row r="972" ht="15.75" customHeight="1">
      <c r="A972" s="1"/>
      <c r="B972" s="1"/>
      <c r="C972" s="1"/>
      <c r="D972" s="1"/>
      <c r="E972" s="1"/>
      <c r="F972" s="1"/>
      <c r="G972" s="1"/>
      <c r="H972" s="1"/>
      <c r="I972" s="1"/>
      <c r="J972" s="1"/>
      <c r="K972" s="1"/>
      <c r="L972" s="1"/>
      <c r="M972" s="1"/>
      <c r="N972" s="1"/>
    </row>
    <row r="973" ht="15.75" customHeight="1">
      <c r="A973" s="1"/>
      <c r="B973" s="1"/>
      <c r="C973" s="1"/>
      <c r="D973" s="1"/>
      <c r="E973" s="1"/>
      <c r="F973" s="1"/>
      <c r="G973" s="1"/>
      <c r="H973" s="1"/>
      <c r="I973" s="1"/>
      <c r="J973" s="1"/>
      <c r="K973" s="1"/>
      <c r="L973" s="1"/>
      <c r="M973" s="1"/>
      <c r="N973" s="1"/>
    </row>
    <row r="974" ht="15.75" customHeight="1">
      <c r="A974" s="1"/>
      <c r="B974" s="1"/>
      <c r="C974" s="1"/>
      <c r="D974" s="1"/>
      <c r="E974" s="1"/>
      <c r="F974" s="1"/>
      <c r="G974" s="1"/>
      <c r="H974" s="1"/>
      <c r="I974" s="1"/>
      <c r="J974" s="1"/>
      <c r="K974" s="1"/>
      <c r="L974" s="1"/>
      <c r="M974" s="1"/>
      <c r="N974" s="1"/>
    </row>
    <row r="975" ht="15.75" customHeight="1">
      <c r="A975" s="1"/>
      <c r="B975" s="1"/>
      <c r="C975" s="1"/>
      <c r="D975" s="1"/>
      <c r="E975" s="1"/>
      <c r="F975" s="1"/>
      <c r="G975" s="1"/>
      <c r="H975" s="1"/>
      <c r="I975" s="1"/>
      <c r="J975" s="1"/>
      <c r="K975" s="1"/>
      <c r="L975" s="1"/>
      <c r="M975" s="1"/>
      <c r="N975" s="1"/>
    </row>
    <row r="976" ht="15.75" customHeight="1">
      <c r="A976" s="1"/>
      <c r="B976" s="1"/>
      <c r="C976" s="1"/>
      <c r="D976" s="1"/>
      <c r="E976" s="1"/>
      <c r="F976" s="1"/>
      <c r="G976" s="1"/>
      <c r="H976" s="1"/>
      <c r="I976" s="1"/>
      <c r="J976" s="1"/>
      <c r="K976" s="1"/>
      <c r="L976" s="1"/>
      <c r="M976" s="1"/>
      <c r="N976" s="1"/>
    </row>
    <row r="977" ht="15.75" customHeight="1">
      <c r="A977" s="1"/>
      <c r="B977" s="1"/>
      <c r="C977" s="1"/>
      <c r="D977" s="1"/>
      <c r="E977" s="1"/>
      <c r="F977" s="1"/>
      <c r="G977" s="1"/>
      <c r="H977" s="1"/>
      <c r="I977" s="1"/>
      <c r="J977" s="1"/>
      <c r="K977" s="1"/>
      <c r="L977" s="1"/>
      <c r="M977" s="1"/>
      <c r="N977" s="1"/>
    </row>
    <row r="978" ht="15.75" customHeight="1">
      <c r="A978" s="1"/>
      <c r="B978" s="1"/>
      <c r="C978" s="1"/>
      <c r="D978" s="1"/>
      <c r="E978" s="1"/>
      <c r="F978" s="1"/>
      <c r="G978" s="1"/>
      <c r="H978" s="1"/>
      <c r="I978" s="1"/>
      <c r="J978" s="1"/>
      <c r="K978" s="1"/>
      <c r="L978" s="1"/>
      <c r="M978" s="1"/>
      <c r="N978" s="1"/>
    </row>
    <row r="979" ht="15.75" customHeight="1">
      <c r="A979" s="1"/>
      <c r="B979" s="1"/>
      <c r="C979" s="1"/>
      <c r="D979" s="1"/>
      <c r="E979" s="1"/>
      <c r="F979" s="1"/>
      <c r="G979" s="1"/>
      <c r="H979" s="1"/>
      <c r="I979" s="1"/>
      <c r="J979" s="1"/>
      <c r="K979" s="1"/>
      <c r="L979" s="1"/>
      <c r="M979" s="1"/>
      <c r="N979" s="1"/>
    </row>
    <row r="980" ht="15.75" customHeight="1">
      <c r="A980" s="1"/>
      <c r="B980" s="1"/>
      <c r="C980" s="1"/>
      <c r="D980" s="1"/>
      <c r="E980" s="1"/>
      <c r="F980" s="1"/>
      <c r="G980" s="1"/>
      <c r="H980" s="1"/>
      <c r="I980" s="1"/>
      <c r="J980" s="1"/>
      <c r="K980" s="1"/>
      <c r="L980" s="1"/>
      <c r="M980" s="1"/>
      <c r="N980" s="1"/>
    </row>
    <row r="981" ht="15.75" customHeight="1">
      <c r="A981" s="1"/>
      <c r="B981" s="1"/>
      <c r="C981" s="1"/>
      <c r="D981" s="1"/>
      <c r="E981" s="1"/>
      <c r="F981" s="1"/>
      <c r="G981" s="1"/>
      <c r="H981" s="1"/>
      <c r="I981" s="1"/>
      <c r="J981" s="1"/>
      <c r="K981" s="1"/>
      <c r="L981" s="1"/>
      <c r="M981" s="1"/>
      <c r="N981" s="1"/>
    </row>
    <row r="982" ht="15.75" customHeight="1">
      <c r="A982" s="1"/>
      <c r="B982" s="1"/>
      <c r="C982" s="1"/>
      <c r="D982" s="1"/>
      <c r="E982" s="1"/>
      <c r="F982" s="1"/>
      <c r="G982" s="1"/>
      <c r="H982" s="1"/>
      <c r="I982" s="1"/>
      <c r="J982" s="1"/>
      <c r="K982" s="1"/>
      <c r="L982" s="1"/>
      <c r="M982" s="1"/>
      <c r="N982" s="1"/>
    </row>
    <row r="983" ht="15.75" customHeight="1">
      <c r="A983" s="1"/>
      <c r="B983" s="1"/>
      <c r="C983" s="1"/>
      <c r="D983" s="1"/>
      <c r="E983" s="1"/>
      <c r="F983" s="1"/>
      <c r="G983" s="1"/>
      <c r="H983" s="1"/>
      <c r="I983" s="1"/>
      <c r="J983" s="1"/>
      <c r="K983" s="1"/>
      <c r="L983" s="1"/>
      <c r="M983" s="1"/>
      <c r="N983" s="1"/>
    </row>
    <row r="984" ht="15.75" customHeight="1">
      <c r="A984" s="1"/>
      <c r="B984" s="1"/>
      <c r="C984" s="1"/>
      <c r="D984" s="1"/>
      <c r="E984" s="1"/>
      <c r="F984" s="1"/>
      <c r="G984" s="1"/>
      <c r="H984" s="1"/>
      <c r="I984" s="1"/>
      <c r="J984" s="1"/>
      <c r="K984" s="1"/>
      <c r="L984" s="1"/>
      <c r="M984" s="1"/>
      <c r="N984" s="1"/>
    </row>
    <row r="985" ht="15.75" customHeight="1">
      <c r="A985" s="1"/>
      <c r="B985" s="1"/>
      <c r="C985" s="1"/>
      <c r="D985" s="1"/>
      <c r="E985" s="1"/>
      <c r="F985" s="1"/>
      <c r="G985" s="1"/>
      <c r="H985" s="1"/>
      <c r="I985" s="1"/>
      <c r="J985" s="1"/>
      <c r="K985" s="1"/>
      <c r="L985" s="1"/>
      <c r="M985" s="1"/>
      <c r="N985" s="1"/>
    </row>
    <row r="986" ht="15.75" customHeight="1">
      <c r="A986" s="1"/>
      <c r="B986" s="1"/>
      <c r="C986" s="1"/>
      <c r="D986" s="1"/>
      <c r="E986" s="1"/>
      <c r="F986" s="1"/>
      <c r="G986" s="1"/>
      <c r="H986" s="1"/>
      <c r="I986" s="1"/>
      <c r="J986" s="1"/>
      <c r="K986" s="1"/>
      <c r="L986" s="1"/>
      <c r="M986" s="1"/>
      <c r="N986" s="1"/>
    </row>
    <row r="987" ht="15.75" customHeight="1">
      <c r="A987" s="1"/>
      <c r="B987" s="1"/>
      <c r="C987" s="1"/>
      <c r="D987" s="1"/>
      <c r="E987" s="1"/>
      <c r="F987" s="1"/>
      <c r="G987" s="1"/>
      <c r="H987" s="1"/>
      <c r="I987" s="1"/>
      <c r="J987" s="1"/>
      <c r="K987" s="1"/>
      <c r="L987" s="1"/>
      <c r="M987" s="1"/>
      <c r="N987" s="1"/>
    </row>
    <row r="988" ht="15.75" customHeight="1">
      <c r="A988" s="1"/>
      <c r="B988" s="1"/>
      <c r="C988" s="1"/>
      <c r="D988" s="1"/>
      <c r="E988" s="1"/>
      <c r="F988" s="1"/>
      <c r="G988" s="1"/>
      <c r="H988" s="1"/>
      <c r="I988" s="1"/>
      <c r="J988" s="1"/>
      <c r="K988" s="1"/>
      <c r="L988" s="1"/>
      <c r="M988" s="1"/>
      <c r="N988" s="1"/>
    </row>
    <row r="989" ht="15.75" customHeight="1">
      <c r="A989" s="1"/>
      <c r="B989" s="1"/>
      <c r="C989" s="1"/>
      <c r="D989" s="1"/>
      <c r="E989" s="1"/>
      <c r="F989" s="1"/>
      <c r="G989" s="1"/>
      <c r="H989" s="1"/>
      <c r="I989" s="1"/>
      <c r="J989" s="1"/>
      <c r="K989" s="1"/>
      <c r="L989" s="1"/>
      <c r="M989" s="1"/>
      <c r="N989" s="1"/>
    </row>
    <row r="990" ht="15.75" customHeight="1">
      <c r="A990" s="1"/>
      <c r="B990" s="1"/>
      <c r="C990" s="1"/>
      <c r="D990" s="1"/>
      <c r="E990" s="1"/>
      <c r="F990" s="1"/>
      <c r="G990" s="1"/>
      <c r="H990" s="1"/>
      <c r="I990" s="1"/>
      <c r="J990" s="1"/>
      <c r="K990" s="1"/>
      <c r="L990" s="1"/>
      <c r="M990" s="1"/>
      <c r="N990" s="1"/>
    </row>
    <row r="991" ht="15.75" customHeight="1">
      <c r="A991" s="1"/>
      <c r="B991" s="1"/>
      <c r="C991" s="1"/>
      <c r="D991" s="1"/>
      <c r="E991" s="1"/>
      <c r="F991" s="1"/>
      <c r="G991" s="1"/>
      <c r="H991" s="1"/>
      <c r="I991" s="1"/>
      <c r="J991" s="1"/>
      <c r="K991" s="1"/>
      <c r="L991" s="1"/>
      <c r="M991" s="1"/>
      <c r="N991" s="1"/>
    </row>
    <row r="992" ht="15.75" customHeight="1">
      <c r="A992" s="1"/>
      <c r="B992" s="1"/>
      <c r="C992" s="1"/>
      <c r="D992" s="1"/>
      <c r="E992" s="1"/>
      <c r="F992" s="1"/>
      <c r="G992" s="1"/>
      <c r="H992" s="1"/>
      <c r="I992" s="1"/>
      <c r="J992" s="1"/>
      <c r="K992" s="1"/>
      <c r="L992" s="1"/>
      <c r="M992" s="1"/>
      <c r="N992" s="1"/>
    </row>
    <row r="993" ht="15.75" customHeight="1">
      <c r="A993" s="1"/>
      <c r="B993" s="1"/>
      <c r="C993" s="1"/>
      <c r="D993" s="1"/>
      <c r="E993" s="1"/>
      <c r="F993" s="1"/>
      <c r="G993" s="1"/>
      <c r="H993" s="1"/>
      <c r="I993" s="1"/>
      <c r="J993" s="1"/>
      <c r="K993" s="1"/>
      <c r="L993" s="1"/>
      <c r="M993" s="1"/>
      <c r="N993" s="1"/>
    </row>
    <row r="994" ht="15.75" customHeight="1">
      <c r="A994" s="1"/>
      <c r="B994" s="1"/>
      <c r="C994" s="1"/>
      <c r="D994" s="1"/>
      <c r="E994" s="1"/>
      <c r="F994" s="1"/>
      <c r="G994" s="1"/>
      <c r="H994" s="1"/>
      <c r="I994" s="1"/>
      <c r="J994" s="1"/>
      <c r="K994" s="1"/>
      <c r="L994" s="1"/>
      <c r="M994" s="1"/>
      <c r="N994" s="1"/>
    </row>
    <row r="995" ht="15.75" customHeight="1">
      <c r="A995" s="1"/>
      <c r="B995" s="1"/>
      <c r="C995" s="1"/>
      <c r="D995" s="1"/>
      <c r="E995" s="1"/>
      <c r="F995" s="1"/>
      <c r="G995" s="1"/>
      <c r="H995" s="1"/>
      <c r="I995" s="1"/>
      <c r="J995" s="1"/>
      <c r="K995" s="1"/>
      <c r="L995" s="1"/>
      <c r="M995" s="1"/>
      <c r="N995" s="1"/>
    </row>
    <row r="996" ht="15.75" customHeight="1">
      <c r="A996" s="1"/>
      <c r="B996" s="1"/>
      <c r="C996" s="1"/>
      <c r="D996" s="1"/>
      <c r="E996" s="1"/>
      <c r="F996" s="1"/>
      <c r="G996" s="1"/>
      <c r="H996" s="1"/>
      <c r="I996" s="1"/>
      <c r="J996" s="1"/>
      <c r="K996" s="1"/>
      <c r="L996" s="1"/>
      <c r="M996" s="1"/>
      <c r="N996" s="1"/>
    </row>
    <row r="997" ht="15.75" customHeight="1">
      <c r="A997" s="1"/>
      <c r="B997" s="1"/>
      <c r="C997" s="1"/>
      <c r="D997" s="1"/>
      <c r="E997" s="1"/>
      <c r="F997" s="1"/>
      <c r="G997" s="1"/>
      <c r="H997" s="1"/>
      <c r="I997" s="1"/>
      <c r="J997" s="1"/>
      <c r="K997" s="1"/>
      <c r="L997" s="1"/>
      <c r="M997" s="1"/>
      <c r="N997" s="1"/>
    </row>
    <row r="998" ht="15.75" customHeight="1">
      <c r="A998" s="1"/>
      <c r="B998" s="1"/>
      <c r="C998" s="1"/>
      <c r="D998" s="1"/>
      <c r="E998" s="1"/>
      <c r="F998" s="1"/>
      <c r="G998" s="1"/>
      <c r="H998" s="1"/>
      <c r="I998" s="1"/>
      <c r="J998" s="1"/>
      <c r="K998" s="1"/>
      <c r="L998" s="1"/>
      <c r="M998" s="1"/>
      <c r="N998" s="1"/>
    </row>
    <row r="999" ht="15.75" customHeight="1">
      <c r="A999" s="1"/>
      <c r="B999" s="1"/>
      <c r="C999" s="1"/>
      <c r="D999" s="1"/>
      <c r="E999" s="1"/>
      <c r="F999" s="1"/>
      <c r="G999" s="1"/>
      <c r="H999" s="1"/>
      <c r="I999" s="1"/>
      <c r="J999" s="1"/>
      <c r="K999" s="1"/>
      <c r="L999" s="1"/>
      <c r="M999" s="1"/>
      <c r="N999" s="1"/>
    </row>
    <row r="1000" ht="15.75" customHeight="1">
      <c r="A1000" s="1"/>
      <c r="B1000" s="1"/>
      <c r="C1000" s="1"/>
      <c r="D1000" s="1"/>
      <c r="E1000" s="1"/>
      <c r="F1000" s="1"/>
      <c r="G1000" s="1"/>
      <c r="H1000" s="1"/>
      <c r="I1000" s="1"/>
      <c r="J1000" s="1"/>
      <c r="K1000" s="1"/>
      <c r="L1000" s="1"/>
      <c r="M1000" s="1"/>
      <c r="N1000" s="1"/>
    </row>
  </sheetData>
  <autoFilter ref="$A$4:$N$45"/>
  <mergeCells count="2">
    <mergeCell ref="A1:N1"/>
    <mergeCell ref="A2:N2"/>
  </mergeCells>
  <conditionalFormatting sqref="A5:M45">
    <cfRule type="expression" dxfId="3" priority="1">
      <formula>$N5="Demonstrated in Real-World / Active Exploit"</formula>
    </cfRule>
  </conditionalFormatting>
  <conditionalFormatting sqref="A5:M45">
    <cfRule type="expression" dxfId="5" priority="2">
      <formula>$N5="Simulated / Proof-of-Concept"</formula>
    </cfRule>
  </conditionalFormatting>
  <conditionalFormatting sqref="A5:M45">
    <cfRule type="expression" dxfId="6" priority="3">
      <formula>$N5="Theoretical / Unexploited"</formula>
    </cfRule>
  </conditionalFormatting>
  <conditionalFormatting sqref="N5:N45">
    <cfRule type="expression" dxfId="7" priority="4">
      <formula>$N5="Demonstrated in Real-World / Active Exploit"</formula>
    </cfRule>
  </conditionalFormatting>
  <conditionalFormatting sqref="N5:N45">
    <cfRule type="expression" dxfId="8" priority="5">
      <formula>$N5="Simulated / Proof-of-Concept"</formula>
    </cfRule>
  </conditionalFormatting>
  <conditionalFormatting sqref="N5:N45">
    <cfRule type="expression" dxfId="9" priority="6">
      <formula>$N5="Theoretical / Unexploited"</formula>
    </cfRule>
  </conditionalFormatting>
  <dataValidations>
    <dataValidation type="list" allowBlank="1" sqref="L5:L45">
      <formula1>"E0,E1,E2,E3"</formula1>
    </dataValidation>
    <dataValidation type="list" allowBlank="1" sqref="H5:K45">
      <formula1>"A,P"</formula1>
    </dataValidation>
  </dataValidation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03A2E"/>
    <pageSetUpPr fitToPage="1"/>
  </sheetPr>
  <sheetViews>
    <sheetView showGridLines="0" workbookViewId="0"/>
  </sheetViews>
  <sheetFormatPr customHeight="1" defaultColWidth="14.43" defaultRowHeight="15.0"/>
  <cols>
    <col customWidth="1" min="1" max="1" width="3.0"/>
    <col customWidth="1" min="2" max="2" width="34.0"/>
    <col customWidth="1" min="3" max="5" width="16.0"/>
    <col customWidth="1" min="6" max="6" width="14.0"/>
    <col customWidth="1" min="7" max="26" width="8.71"/>
  </cols>
  <sheetData>
    <row r="1">
      <c r="A1" s="1"/>
      <c r="B1" s="1"/>
      <c r="C1" s="1"/>
      <c r="D1" s="1"/>
      <c r="E1" s="1"/>
      <c r="F1" s="1"/>
      <c r="G1" s="1"/>
      <c r="H1" s="1"/>
      <c r="I1" s="1"/>
    </row>
    <row r="2" ht="30.0" customHeight="1">
      <c r="A2" s="1"/>
      <c r="B2" s="2" t="s">
        <v>2215</v>
      </c>
      <c r="G2" s="1"/>
      <c r="H2" s="1"/>
      <c r="I2" s="1"/>
    </row>
    <row r="3" ht="15.0" customHeight="1">
      <c r="A3" s="1"/>
      <c r="B3" s="16" t="s">
        <v>2216</v>
      </c>
      <c r="G3" s="1"/>
      <c r="H3" s="1"/>
      <c r="I3" s="1"/>
    </row>
    <row r="4">
      <c r="A4" s="1"/>
      <c r="B4" s="1"/>
      <c r="C4" s="1"/>
      <c r="D4" s="1"/>
      <c r="E4" s="1"/>
      <c r="F4" s="1"/>
      <c r="G4" s="1"/>
      <c r="H4" s="1"/>
      <c r="I4" s="1"/>
    </row>
    <row r="5" ht="25.5" customHeight="1">
      <c r="A5" s="1"/>
      <c r="B5" s="153" t="s">
        <v>2217</v>
      </c>
      <c r="C5" s="154" t="s">
        <v>2218</v>
      </c>
      <c r="D5" s="155" t="s">
        <v>2219</v>
      </c>
      <c r="E5" s="156" t="s">
        <v>2220</v>
      </c>
      <c r="F5" s="1"/>
      <c r="G5" s="1"/>
      <c r="H5" s="1"/>
      <c r="I5" s="1"/>
    </row>
    <row r="6" ht="43.5" customHeight="1">
      <c r="A6" s="1"/>
      <c r="B6" s="157">
        <f>COUNTA('Threat Atlas'!$J$6:$J$48)</f>
        <v>43</v>
      </c>
      <c r="C6" s="158">
        <f>COUNTIF('Threat Atlas'!$J$6:$J$48,"Demonstrated in Real-World / Active Exploit")</f>
        <v>2</v>
      </c>
      <c r="D6" s="159">
        <f>COUNTIF('Threat Atlas'!$J$6:$J$48,"Simulated / Proof-of-Concept")</f>
        <v>20</v>
      </c>
      <c r="E6" s="160">
        <f>COUNTIF('Threat Atlas'!$J$6:$J$48,"Theoretical / Unexploited")</f>
        <v>21</v>
      </c>
      <c r="F6" s="1"/>
      <c r="G6" s="1"/>
      <c r="H6" s="1"/>
      <c r="I6" s="1"/>
    </row>
    <row r="7" ht="19.5" customHeight="1">
      <c r="A7" s="1"/>
      <c r="B7" s="161" t="s">
        <v>2221</v>
      </c>
      <c r="C7" s="162">
        <f t="shared" ref="C7:E7" si="1">C6/$B$6</f>
        <v>0.04651162791</v>
      </c>
      <c r="D7" s="163">
        <f t="shared" si="1"/>
        <v>0.4651162791</v>
      </c>
      <c r="E7" s="164">
        <f t="shared" si="1"/>
        <v>0.488372093</v>
      </c>
      <c r="F7" s="1"/>
      <c r="G7" s="1"/>
      <c r="H7" s="1"/>
      <c r="I7" s="1"/>
    </row>
    <row r="8">
      <c r="A8" s="1"/>
      <c r="B8" s="1"/>
      <c r="C8" s="1"/>
      <c r="D8" s="1"/>
      <c r="E8" s="1"/>
      <c r="F8" s="1"/>
      <c r="G8" s="1"/>
      <c r="H8" s="1"/>
      <c r="I8" s="1"/>
    </row>
    <row r="9" ht="15.75" customHeight="1">
      <c r="A9" s="1"/>
      <c r="B9" s="36" t="s">
        <v>2222</v>
      </c>
      <c r="C9" s="1"/>
      <c r="D9" s="1"/>
      <c r="E9" s="1"/>
      <c r="F9" s="1"/>
      <c r="G9" s="1"/>
      <c r="H9" s="1"/>
      <c r="I9" s="1"/>
    </row>
    <row r="10" ht="27.75" customHeight="1">
      <c r="A10" s="1"/>
      <c r="B10" s="39" t="s">
        <v>111</v>
      </c>
      <c r="C10" s="51" t="s">
        <v>2218</v>
      </c>
      <c r="D10" s="87" t="s">
        <v>2219</v>
      </c>
      <c r="E10" s="111" t="s">
        <v>2220</v>
      </c>
      <c r="F10" s="39" t="s">
        <v>85</v>
      </c>
      <c r="G10" s="1"/>
      <c r="H10" s="1"/>
      <c r="I10" s="1"/>
    </row>
    <row r="11" ht="19.5" customHeight="1">
      <c r="A11" s="1"/>
      <c r="B11" s="165" t="s">
        <v>380</v>
      </c>
      <c r="C11" s="65">
        <f>COUNTIFS('Threat Atlas'!$N$6:$N$48,$B11,'Threat Atlas'!$J$6:$J$48,"Demonstrated in Real-World / Active Exploit")</f>
        <v>0</v>
      </c>
      <c r="D11" s="92">
        <f>COUNTIFS('Threat Atlas'!$N$6:$N$48,$B11,'Threat Atlas'!$J$6:$J$48,"Simulated / Proof-of-Concept")</f>
        <v>8</v>
      </c>
      <c r="E11" s="115">
        <f>COUNTIFS('Threat Atlas'!$N$6:$N$48,$B11,'Threat Atlas'!$J$6:$J$48,"Theoretical / Unexploited")</f>
        <v>6</v>
      </c>
      <c r="F11" s="140">
        <f t="shared" ref="F11:F16" si="2">SUM(C11:E11)</f>
        <v>14</v>
      </c>
      <c r="G11" s="1"/>
      <c r="H11" s="1"/>
      <c r="I11" s="1"/>
    </row>
    <row r="12" ht="19.5" customHeight="1">
      <c r="A12" s="1"/>
      <c r="B12" s="165" t="s">
        <v>458</v>
      </c>
      <c r="C12" s="65">
        <f>COUNTIFS('Threat Atlas'!$N$6:$N$48,$B12,'Threat Atlas'!$J$6:$J$48,"Demonstrated in Real-World / Active Exploit")</f>
        <v>0</v>
      </c>
      <c r="D12" s="92">
        <f>COUNTIFS('Threat Atlas'!$N$6:$N$48,$B12,'Threat Atlas'!$J$6:$J$48,"Simulated / Proof-of-Concept")</f>
        <v>4</v>
      </c>
      <c r="E12" s="115">
        <f>COUNTIFS('Threat Atlas'!$N$6:$N$48,$B12,'Threat Atlas'!$J$6:$J$48,"Theoretical / Unexploited")</f>
        <v>1</v>
      </c>
      <c r="F12" s="140">
        <f t="shared" si="2"/>
        <v>5</v>
      </c>
      <c r="G12" s="1"/>
      <c r="H12" s="1"/>
      <c r="I12" s="1"/>
    </row>
    <row r="13" ht="19.5" customHeight="1">
      <c r="A13" s="1"/>
      <c r="B13" s="165" t="s">
        <v>180</v>
      </c>
      <c r="C13" s="65">
        <f>COUNTIFS('Threat Atlas'!$N$6:$N$48,$B13,'Threat Atlas'!$J$6:$J$48,"Demonstrated in Real-World / Active Exploit")</f>
        <v>1</v>
      </c>
      <c r="D13" s="92">
        <f>COUNTIFS('Threat Atlas'!$N$6:$N$48,$B13,'Threat Atlas'!$J$6:$J$48,"Simulated / Proof-of-Concept")</f>
        <v>0</v>
      </c>
      <c r="E13" s="115">
        <f>COUNTIFS('Threat Atlas'!$N$6:$N$48,$B13,'Threat Atlas'!$J$6:$J$48,"Theoretical / Unexploited")</f>
        <v>4</v>
      </c>
      <c r="F13" s="140">
        <f t="shared" si="2"/>
        <v>5</v>
      </c>
      <c r="G13" s="1"/>
      <c r="H13" s="1"/>
      <c r="I13" s="1"/>
    </row>
    <row r="14" ht="19.5" customHeight="1">
      <c r="A14" s="1"/>
      <c r="B14" s="165" t="s">
        <v>313</v>
      </c>
      <c r="C14" s="65">
        <f>COUNTIFS('Threat Atlas'!$N$6:$N$48,$B14,'Threat Atlas'!$J$6:$J$48,"Demonstrated in Real-World / Active Exploit")</f>
        <v>1</v>
      </c>
      <c r="D14" s="92">
        <f>COUNTIFS('Threat Atlas'!$N$6:$N$48,$B14,'Threat Atlas'!$J$6:$J$48,"Simulated / Proof-of-Concept")</f>
        <v>5</v>
      </c>
      <c r="E14" s="115">
        <f>COUNTIFS('Threat Atlas'!$N$6:$N$48,$B14,'Threat Atlas'!$J$6:$J$48,"Theoretical / Unexploited")</f>
        <v>8</v>
      </c>
      <c r="F14" s="140">
        <f t="shared" si="2"/>
        <v>14</v>
      </c>
      <c r="G14" s="1"/>
      <c r="H14" s="1"/>
      <c r="I14" s="1"/>
    </row>
    <row r="15" ht="19.5" customHeight="1">
      <c r="A15" s="1"/>
      <c r="B15" s="165" t="s">
        <v>958</v>
      </c>
      <c r="C15" s="65">
        <f>COUNTIFS('Threat Atlas'!$N$6:$N$48,$B15,'Threat Atlas'!$J$6:$J$48,"Demonstrated in Real-World / Active Exploit")</f>
        <v>0</v>
      </c>
      <c r="D15" s="92">
        <f>COUNTIFS('Threat Atlas'!$N$6:$N$48,$B15,'Threat Atlas'!$J$6:$J$48,"Simulated / Proof-of-Concept")</f>
        <v>1</v>
      </c>
      <c r="E15" s="115">
        <f>COUNTIFS('Threat Atlas'!$N$6:$N$48,$B15,'Threat Atlas'!$J$6:$J$48,"Theoretical / Unexploited")</f>
        <v>1</v>
      </c>
      <c r="F15" s="140">
        <f t="shared" si="2"/>
        <v>2</v>
      </c>
      <c r="G15" s="1"/>
      <c r="H15" s="1"/>
      <c r="I15" s="1"/>
    </row>
    <row r="16" ht="19.5" customHeight="1">
      <c r="A16" s="1"/>
      <c r="B16" s="165" t="s">
        <v>883</v>
      </c>
      <c r="C16" s="65">
        <f>COUNTIFS('Threat Atlas'!$N$6:$N$48,$B16,'Threat Atlas'!$J$6:$J$48,"Demonstrated in Real-World / Active Exploit")</f>
        <v>0</v>
      </c>
      <c r="D16" s="92">
        <f>COUNTIFS('Threat Atlas'!$N$6:$N$48,$B16,'Threat Atlas'!$J$6:$J$48,"Simulated / Proof-of-Concept")</f>
        <v>2</v>
      </c>
      <c r="E16" s="115">
        <f>COUNTIFS('Threat Atlas'!$N$6:$N$48,$B16,'Threat Atlas'!$J$6:$J$48,"Theoretical / Unexploited")</f>
        <v>1</v>
      </c>
      <c r="F16" s="140">
        <f t="shared" si="2"/>
        <v>3</v>
      </c>
      <c r="G16" s="1"/>
      <c r="H16" s="1"/>
      <c r="I16" s="1"/>
    </row>
    <row r="17" ht="15.0" customHeight="1">
      <c r="A17" s="1"/>
      <c r="B17" s="166" t="s">
        <v>85</v>
      </c>
      <c r="C17" s="167">
        <f t="shared" ref="C17:F17" si="3">SUM(C11:C16)</f>
        <v>2</v>
      </c>
      <c r="D17" s="167">
        <f t="shared" si="3"/>
        <v>20</v>
      </c>
      <c r="E17" s="167">
        <f t="shared" si="3"/>
        <v>21</v>
      </c>
      <c r="F17" s="167">
        <f t="shared" si="3"/>
        <v>43</v>
      </c>
      <c r="G17" s="1"/>
      <c r="H17" s="1"/>
      <c r="I17" s="1"/>
    </row>
    <row r="18" ht="15.0" customHeight="1">
      <c r="A18" s="1"/>
      <c r="B18" s="168" t="s">
        <v>2223</v>
      </c>
      <c r="C18" s="1"/>
      <c r="D18" s="1"/>
      <c r="E18" s="1"/>
      <c r="F18" s="169" t="str">
        <f>IF(F17=B6,"OK","MISMATCH")</f>
        <v>OK</v>
      </c>
      <c r="G18" s="1"/>
      <c r="H18" s="1"/>
      <c r="I18" s="1"/>
    </row>
    <row r="19">
      <c r="A19" s="1"/>
      <c r="B19" s="1"/>
      <c r="C19" s="1"/>
      <c r="D19" s="1"/>
      <c r="E19" s="1"/>
      <c r="F19" s="1"/>
      <c r="G19" s="1"/>
      <c r="H19" s="1"/>
      <c r="I19" s="1"/>
    </row>
    <row r="20">
      <c r="A20" s="1"/>
      <c r="B20" s="1"/>
      <c r="C20" s="1"/>
      <c r="D20" s="1"/>
      <c r="E20" s="1"/>
      <c r="F20" s="1"/>
      <c r="G20" s="1"/>
      <c r="H20" s="1"/>
      <c r="I20" s="1"/>
    </row>
    <row r="21" ht="15.75" customHeight="1">
      <c r="A21" s="1"/>
      <c r="B21" s="1"/>
      <c r="C21" s="1"/>
      <c r="D21" s="1"/>
      <c r="E21" s="1"/>
      <c r="F21" s="1"/>
      <c r="G21" s="1"/>
      <c r="H21" s="1"/>
      <c r="I21" s="1"/>
    </row>
    <row r="22" ht="15.75" customHeight="1">
      <c r="A22" s="1"/>
      <c r="B22" s="1"/>
      <c r="C22" s="1"/>
      <c r="D22" s="1"/>
      <c r="E22" s="1"/>
      <c r="F22" s="1"/>
      <c r="G22" s="1"/>
      <c r="H22" s="1"/>
      <c r="I22" s="1"/>
    </row>
    <row r="23" ht="15.75" customHeight="1">
      <c r="A23" s="1"/>
      <c r="B23" s="1"/>
      <c r="C23" s="1"/>
      <c r="D23" s="1"/>
      <c r="E23" s="1"/>
      <c r="F23" s="1"/>
      <c r="G23" s="1"/>
      <c r="H23" s="1"/>
      <c r="I23" s="1"/>
    </row>
    <row r="24" ht="15.75" customHeight="1">
      <c r="A24" s="1"/>
      <c r="B24" s="1"/>
      <c r="C24" s="1"/>
      <c r="D24" s="1"/>
      <c r="E24" s="1"/>
      <c r="F24" s="1"/>
      <c r="G24" s="1"/>
      <c r="H24" s="1"/>
      <c r="I24" s="1"/>
    </row>
    <row r="25" ht="15.75" customHeight="1">
      <c r="A25" s="1"/>
      <c r="B25" s="1"/>
      <c r="C25" s="1"/>
      <c r="D25" s="1"/>
      <c r="E25" s="1"/>
      <c r="F25" s="1"/>
      <c r="G25" s="1"/>
      <c r="H25" s="1"/>
      <c r="I25" s="1"/>
    </row>
    <row r="26" ht="15.75" customHeight="1">
      <c r="A26" s="1"/>
      <c r="B26" s="1"/>
      <c r="C26" s="1"/>
      <c r="D26" s="1"/>
      <c r="E26" s="1"/>
      <c r="F26" s="1"/>
      <c r="G26" s="1"/>
      <c r="H26" s="1"/>
      <c r="I26" s="1"/>
    </row>
    <row r="27" ht="15.75" customHeight="1">
      <c r="A27" s="1"/>
      <c r="B27" s="1"/>
      <c r="C27" s="1"/>
      <c r="D27" s="1"/>
      <c r="E27" s="1"/>
      <c r="F27" s="1"/>
      <c r="G27" s="1"/>
      <c r="H27" s="1"/>
      <c r="I27" s="1"/>
    </row>
    <row r="28" ht="15.75" customHeight="1">
      <c r="A28" s="1"/>
      <c r="B28" s="1"/>
      <c r="C28" s="1"/>
      <c r="D28" s="1"/>
      <c r="E28" s="1"/>
      <c r="F28" s="1"/>
      <c r="G28" s="1"/>
      <c r="H28" s="1"/>
      <c r="I28" s="1"/>
    </row>
    <row r="29" ht="15.75" customHeight="1">
      <c r="A29" s="1"/>
      <c r="B29" s="1"/>
      <c r="C29" s="1"/>
      <c r="D29" s="1"/>
      <c r="E29" s="1"/>
      <c r="F29" s="1"/>
      <c r="G29" s="1"/>
      <c r="H29" s="1"/>
      <c r="I29" s="1"/>
    </row>
    <row r="30" ht="15.75" customHeight="1">
      <c r="A30" s="1"/>
      <c r="B30" s="1"/>
      <c r="C30" s="1"/>
      <c r="D30" s="1"/>
      <c r="E30" s="1"/>
      <c r="F30" s="1"/>
      <c r="G30" s="1"/>
      <c r="H30" s="1"/>
      <c r="I30" s="1"/>
    </row>
    <row r="31" ht="15.75" customHeight="1">
      <c r="A31" s="1"/>
      <c r="B31" s="1"/>
      <c r="C31" s="1"/>
      <c r="D31" s="1"/>
      <c r="E31" s="1"/>
      <c r="F31" s="1"/>
      <c r="G31" s="1"/>
      <c r="H31" s="1"/>
      <c r="I31" s="1"/>
    </row>
    <row r="32" ht="15.75" customHeight="1">
      <c r="A32" s="1"/>
      <c r="B32" s="1"/>
      <c r="C32" s="1"/>
      <c r="D32" s="1"/>
      <c r="E32" s="1"/>
      <c r="F32" s="1"/>
      <c r="G32" s="1"/>
      <c r="H32" s="1"/>
      <c r="I32" s="1"/>
    </row>
    <row r="33" ht="15.75" customHeight="1">
      <c r="A33" s="1"/>
      <c r="B33" s="1"/>
      <c r="C33" s="1"/>
      <c r="D33" s="1"/>
      <c r="E33" s="1"/>
      <c r="F33" s="1"/>
      <c r="G33" s="1"/>
      <c r="H33" s="1"/>
      <c r="I33" s="1"/>
    </row>
    <row r="34" ht="15.75" customHeight="1">
      <c r="A34" s="1"/>
      <c r="B34" s="1"/>
      <c r="C34" s="1"/>
      <c r="D34" s="1"/>
      <c r="E34" s="1"/>
      <c r="F34" s="1"/>
      <c r="G34" s="1"/>
      <c r="H34" s="1"/>
      <c r="I34" s="1"/>
    </row>
    <row r="35" ht="15.75" customHeight="1">
      <c r="A35" s="1"/>
      <c r="B35" s="1"/>
      <c r="C35" s="1"/>
      <c r="D35" s="1"/>
      <c r="E35" s="1"/>
      <c r="F35" s="1"/>
      <c r="G35" s="1"/>
      <c r="H35" s="1"/>
      <c r="I35" s="1"/>
    </row>
    <row r="36" ht="15.75" customHeight="1">
      <c r="A36" s="1"/>
      <c r="B36" s="1"/>
      <c r="C36" s="1"/>
      <c r="D36" s="1"/>
      <c r="E36" s="1"/>
      <c r="F36" s="1"/>
      <c r="G36" s="1"/>
      <c r="H36" s="1"/>
      <c r="I36" s="1"/>
    </row>
    <row r="37" ht="15.75" customHeight="1">
      <c r="A37" s="1"/>
      <c r="B37" s="1"/>
      <c r="C37" s="1"/>
      <c r="D37" s="1"/>
      <c r="E37" s="1"/>
      <c r="F37" s="1"/>
      <c r="G37" s="1"/>
      <c r="H37" s="1"/>
      <c r="I37" s="1"/>
    </row>
    <row r="38" ht="15.75" customHeight="1">
      <c r="A38" s="1"/>
      <c r="B38" s="1"/>
      <c r="C38" s="1"/>
      <c r="D38" s="1"/>
      <c r="E38" s="1"/>
      <c r="F38" s="1"/>
      <c r="G38" s="1"/>
      <c r="H38" s="1"/>
      <c r="I38" s="1"/>
    </row>
    <row r="39" ht="15.75" customHeight="1">
      <c r="A39" s="1"/>
      <c r="B39" s="36" t="s">
        <v>2224</v>
      </c>
      <c r="C39" s="1"/>
      <c r="D39" s="1"/>
      <c r="E39" s="1"/>
      <c r="F39" s="1"/>
      <c r="G39" s="1"/>
      <c r="H39" s="1"/>
      <c r="I39" s="1"/>
    </row>
    <row r="40" ht="15.0" customHeight="1">
      <c r="A40" s="1"/>
      <c r="B40" s="39" t="s">
        <v>2225</v>
      </c>
      <c r="C40" s="39" t="s">
        <v>2226</v>
      </c>
      <c r="D40" s="1"/>
      <c r="E40" s="1"/>
      <c r="F40" s="1"/>
      <c r="G40" s="1"/>
      <c r="H40" s="1"/>
      <c r="I40" s="1"/>
    </row>
    <row r="41" ht="15.0" customHeight="1">
      <c r="A41" s="1"/>
      <c r="B41" s="170" t="s">
        <v>293</v>
      </c>
      <c r="C41" s="171">
        <f>COUNTIF('Threat Atlas'!$E$6:$E$48,"ICORE2026 A~*")</f>
        <v>9</v>
      </c>
      <c r="D41" s="1"/>
      <c r="E41" s="1"/>
      <c r="F41" s="1"/>
      <c r="G41" s="1"/>
      <c r="H41" s="1"/>
      <c r="I41" s="1"/>
    </row>
    <row r="42" ht="15.0" customHeight="1">
      <c r="A42" s="1"/>
      <c r="B42" s="172" t="s">
        <v>147</v>
      </c>
      <c r="C42" s="173">
        <f>COUNTIF('Threat Atlas'!$E$6:$E$48,"ICORE2026 A")</f>
        <v>2</v>
      </c>
      <c r="D42" s="1"/>
      <c r="E42" s="1"/>
      <c r="F42" s="1"/>
      <c r="G42" s="1"/>
      <c r="H42" s="1"/>
      <c r="I42" s="1"/>
    </row>
    <row r="43" ht="15.0" customHeight="1">
      <c r="A43" s="1"/>
      <c r="B43" s="170" t="s">
        <v>360</v>
      </c>
      <c r="C43" s="171">
        <f>COUNTIF('Threat Atlas'!$E$6:$E$48,"ICORE2026 B")</f>
        <v>4</v>
      </c>
      <c r="D43" s="1"/>
      <c r="E43" s="1"/>
      <c r="F43" s="1"/>
      <c r="G43" s="1"/>
      <c r="H43" s="1"/>
      <c r="I43" s="1"/>
    </row>
    <row r="44" ht="15.0" customHeight="1">
      <c r="A44" s="1"/>
      <c r="B44" s="172" t="s">
        <v>943</v>
      </c>
      <c r="C44" s="173">
        <f>COUNTIF('Threat Atlas'!$E$6:$E$48,"SJR 2025 Q1")</f>
        <v>15</v>
      </c>
      <c r="D44" s="1"/>
      <c r="E44" s="1"/>
      <c r="F44" s="1"/>
      <c r="G44" s="1"/>
      <c r="H44" s="1"/>
      <c r="I44" s="1"/>
    </row>
    <row r="45" ht="15.0" customHeight="1">
      <c r="A45" s="1"/>
      <c r="B45" s="170" t="s">
        <v>1255</v>
      </c>
      <c r="C45" s="171">
        <f>COUNTIF('Threat Atlas'!$E$6:$E$48,"SJR 2025 Q2")</f>
        <v>3</v>
      </c>
      <c r="D45" s="1"/>
      <c r="E45" s="1"/>
      <c r="F45" s="1"/>
      <c r="G45" s="1"/>
      <c r="H45" s="1"/>
      <c r="I45" s="1"/>
    </row>
    <row r="46" ht="15.0" customHeight="1">
      <c r="A46" s="1"/>
      <c r="B46" s="172" t="s">
        <v>2227</v>
      </c>
      <c r="C46" s="173">
        <f>B6-SUM(C41:C45)</f>
        <v>10</v>
      </c>
      <c r="D46" s="1"/>
      <c r="E46" s="1"/>
      <c r="F46" s="1"/>
      <c r="G46" s="1"/>
      <c r="H46" s="1"/>
      <c r="I46" s="1"/>
    </row>
    <row r="47" ht="15.75" customHeight="1">
      <c r="A47" s="1"/>
      <c r="B47" s="1"/>
      <c r="C47" s="1"/>
      <c r="D47" s="1"/>
      <c r="E47" s="1"/>
      <c r="F47" s="1"/>
      <c r="G47" s="1"/>
      <c r="H47" s="1"/>
      <c r="I47" s="1"/>
    </row>
    <row r="48" ht="30.0" customHeight="1">
      <c r="A48" s="1"/>
      <c r="B48" s="174" t="s">
        <v>2228</v>
      </c>
      <c r="C48" s="175"/>
      <c r="D48" s="175"/>
      <c r="E48" s="175"/>
      <c r="F48" s="176"/>
      <c r="G48" s="1"/>
      <c r="H48" s="1"/>
      <c r="I48" s="1"/>
    </row>
    <row r="49" ht="30.0" customHeight="1">
      <c r="A49" s="1"/>
      <c r="B49" s="177"/>
      <c r="F49" s="178"/>
      <c r="G49" s="1"/>
      <c r="H49" s="1"/>
      <c r="I49" s="1"/>
    </row>
    <row r="50" ht="30.0" customHeight="1">
      <c r="A50" s="1"/>
      <c r="B50" s="177"/>
      <c r="F50" s="178"/>
      <c r="G50" s="1"/>
      <c r="H50" s="1"/>
      <c r="I50" s="1"/>
    </row>
    <row r="51" ht="21.75" customHeight="1">
      <c r="A51" s="1"/>
      <c r="B51" s="179"/>
      <c r="C51" s="180"/>
      <c r="D51" s="180"/>
      <c r="E51" s="180"/>
      <c r="F51" s="181"/>
      <c r="G51" s="1"/>
      <c r="H51" s="1"/>
      <c r="I51" s="1"/>
    </row>
    <row r="52" ht="15.75" customHeight="1">
      <c r="A52" s="1"/>
      <c r="B52" s="1"/>
      <c r="C52" s="1"/>
      <c r="D52" s="1"/>
      <c r="E52" s="1"/>
      <c r="F52" s="1"/>
      <c r="G52" s="1"/>
      <c r="H52" s="1"/>
      <c r="I52" s="1"/>
    </row>
    <row r="53" ht="15.75" customHeight="1">
      <c r="A53" s="1"/>
      <c r="B53" s="1"/>
      <c r="C53" s="1"/>
      <c r="D53" s="1"/>
      <c r="E53" s="1"/>
      <c r="F53" s="1"/>
      <c r="G53" s="1"/>
      <c r="H53" s="1"/>
      <c r="I53" s="1"/>
    </row>
    <row r="54" ht="15.75" customHeight="1">
      <c r="A54" s="1"/>
      <c r="B54" s="1"/>
      <c r="C54" s="1"/>
      <c r="D54" s="1"/>
      <c r="E54" s="1"/>
      <c r="F54" s="1"/>
      <c r="G54" s="1"/>
      <c r="H54" s="1"/>
      <c r="I54" s="1"/>
    </row>
    <row r="55" ht="15.75" customHeight="1">
      <c r="A55" s="1"/>
      <c r="B55" s="1"/>
      <c r="C55" s="1"/>
      <c r="D55" s="1"/>
      <c r="E55" s="1"/>
      <c r="F55" s="1"/>
      <c r="G55" s="1"/>
      <c r="H55" s="1"/>
      <c r="I55" s="1"/>
    </row>
    <row r="56" ht="15.75" customHeight="1">
      <c r="A56" s="1"/>
      <c r="B56" s="1"/>
      <c r="C56" s="1"/>
      <c r="D56" s="1"/>
      <c r="E56" s="1"/>
      <c r="F56" s="1"/>
      <c r="G56" s="1"/>
      <c r="H56" s="1"/>
      <c r="I56" s="1"/>
    </row>
    <row r="57" ht="15.75" customHeight="1">
      <c r="A57" s="1"/>
      <c r="B57" s="1"/>
      <c r="C57" s="1"/>
      <c r="D57" s="1"/>
      <c r="E57" s="1"/>
      <c r="F57" s="1"/>
      <c r="G57" s="1"/>
      <c r="H57" s="1"/>
      <c r="I57" s="1"/>
    </row>
    <row r="58" ht="15.75" customHeight="1">
      <c r="A58" s="1"/>
      <c r="B58" s="1"/>
      <c r="C58" s="1"/>
      <c r="D58" s="1"/>
      <c r="E58" s="1"/>
      <c r="F58" s="1"/>
      <c r="G58" s="1"/>
      <c r="H58" s="1"/>
      <c r="I58" s="1"/>
    </row>
    <row r="59" ht="15.75" customHeight="1">
      <c r="A59" s="1"/>
      <c r="B59" s="1"/>
      <c r="C59" s="1"/>
      <c r="D59" s="1"/>
      <c r="E59" s="1"/>
      <c r="F59" s="1"/>
      <c r="G59" s="1"/>
      <c r="H59" s="1"/>
      <c r="I59" s="1"/>
    </row>
    <row r="60" ht="15.75" customHeight="1">
      <c r="A60" s="1"/>
      <c r="B60" s="1"/>
      <c r="C60" s="1"/>
      <c r="D60" s="1"/>
      <c r="E60" s="1"/>
      <c r="F60" s="1"/>
      <c r="G60" s="1"/>
      <c r="H60" s="1"/>
      <c r="I60" s="1"/>
    </row>
    <row r="61" ht="15.75" customHeight="1">
      <c r="A61" s="1"/>
      <c r="B61" s="1"/>
      <c r="C61" s="1"/>
      <c r="D61" s="1"/>
      <c r="E61" s="1"/>
      <c r="F61" s="1"/>
      <c r="G61" s="1"/>
      <c r="H61" s="1"/>
      <c r="I61" s="1"/>
    </row>
    <row r="62" ht="15.75" customHeight="1">
      <c r="A62" s="1"/>
      <c r="B62" s="1"/>
      <c r="C62" s="1"/>
      <c r="D62" s="1"/>
      <c r="E62" s="1"/>
      <c r="F62" s="1"/>
      <c r="G62" s="1"/>
      <c r="H62" s="1"/>
      <c r="I62" s="1"/>
    </row>
    <row r="63" ht="15.75" customHeight="1">
      <c r="A63" s="1"/>
      <c r="B63" s="1"/>
      <c r="C63" s="1"/>
      <c r="D63" s="1"/>
      <c r="E63" s="1"/>
      <c r="F63" s="1"/>
      <c r="G63" s="1"/>
      <c r="H63" s="1"/>
      <c r="I63" s="1"/>
    </row>
    <row r="64" ht="15.75" customHeight="1">
      <c r="A64" s="1"/>
      <c r="B64" s="1"/>
      <c r="C64" s="1"/>
      <c r="D64" s="1"/>
      <c r="E64" s="1"/>
      <c r="F64" s="1"/>
      <c r="G64" s="1"/>
      <c r="H64" s="1"/>
      <c r="I64" s="1"/>
    </row>
    <row r="65" ht="15.75" customHeight="1">
      <c r="A65" s="1"/>
      <c r="B65" s="1"/>
      <c r="C65" s="1"/>
      <c r="D65" s="1"/>
      <c r="E65" s="1"/>
      <c r="F65" s="1"/>
      <c r="G65" s="1"/>
      <c r="H65" s="1"/>
      <c r="I65" s="1"/>
    </row>
    <row r="66" ht="15.75" customHeight="1">
      <c r="A66" s="1"/>
      <c r="B66" s="1"/>
      <c r="C66" s="1"/>
      <c r="D66" s="1"/>
      <c r="E66" s="1"/>
      <c r="F66" s="1"/>
      <c r="G66" s="1"/>
      <c r="H66" s="1"/>
      <c r="I66" s="1"/>
    </row>
    <row r="67" ht="15.75" customHeight="1">
      <c r="A67" s="1"/>
      <c r="B67" s="1"/>
      <c r="C67" s="1"/>
      <c r="D67" s="1"/>
      <c r="E67" s="1"/>
      <c r="F67" s="1"/>
      <c r="G67" s="1"/>
      <c r="H67" s="1"/>
      <c r="I67" s="1"/>
    </row>
    <row r="68" ht="15.75" customHeight="1">
      <c r="A68" s="1"/>
      <c r="B68" s="1"/>
      <c r="C68" s="1"/>
      <c r="D68" s="1"/>
      <c r="E68" s="1"/>
      <c r="F68" s="1"/>
      <c r="G68" s="1"/>
      <c r="H68" s="1"/>
      <c r="I68" s="1"/>
    </row>
    <row r="69" ht="15.75" customHeight="1">
      <c r="A69" s="1"/>
      <c r="B69" s="1"/>
      <c r="C69" s="1"/>
      <c r="D69" s="1"/>
      <c r="E69" s="1"/>
      <c r="F69" s="1"/>
      <c r="G69" s="1"/>
      <c r="H69" s="1"/>
      <c r="I69" s="1"/>
    </row>
    <row r="70" ht="15.75" customHeight="1">
      <c r="A70" s="1"/>
      <c r="B70" s="1"/>
      <c r="C70" s="1"/>
      <c r="D70" s="1"/>
      <c r="E70" s="1"/>
      <c r="F70" s="1"/>
      <c r="G70" s="1"/>
      <c r="H70" s="1"/>
      <c r="I70" s="1"/>
    </row>
    <row r="71" ht="15.75" customHeight="1">
      <c r="A71" s="1"/>
      <c r="B71" s="1"/>
      <c r="C71" s="1"/>
      <c r="D71" s="1"/>
      <c r="E71" s="1"/>
      <c r="F71" s="1"/>
      <c r="G71" s="1"/>
      <c r="H71" s="1"/>
      <c r="I71" s="1"/>
    </row>
    <row r="72" ht="15.75" customHeight="1">
      <c r="A72" s="1"/>
      <c r="B72" s="1"/>
      <c r="C72" s="1"/>
      <c r="D72" s="1"/>
      <c r="E72" s="1"/>
      <c r="F72" s="1"/>
      <c r="G72" s="1"/>
      <c r="H72" s="1"/>
      <c r="I72" s="1"/>
    </row>
    <row r="73" ht="15.75" customHeight="1">
      <c r="A73" s="1"/>
      <c r="B73" s="1"/>
      <c r="C73" s="1"/>
      <c r="D73" s="1"/>
      <c r="E73" s="1"/>
      <c r="F73" s="1"/>
      <c r="G73" s="1"/>
      <c r="H73" s="1"/>
      <c r="I73" s="1"/>
    </row>
    <row r="74" ht="15.75" customHeight="1">
      <c r="A74" s="1"/>
      <c r="B74" s="1"/>
      <c r="C74" s="1"/>
      <c r="D74" s="1"/>
      <c r="E74" s="1"/>
      <c r="F74" s="1"/>
      <c r="G74" s="1"/>
      <c r="H74" s="1"/>
      <c r="I74" s="1"/>
    </row>
    <row r="75" ht="15.75" customHeight="1">
      <c r="A75" s="1"/>
      <c r="B75" s="1"/>
      <c r="C75" s="1"/>
      <c r="D75" s="1"/>
      <c r="E75" s="1"/>
      <c r="F75" s="1"/>
      <c r="G75" s="1"/>
      <c r="H75" s="1"/>
      <c r="I75" s="1"/>
    </row>
    <row r="76" ht="15.75" customHeight="1">
      <c r="A76" s="1"/>
      <c r="B76" s="1"/>
      <c r="C76" s="1"/>
      <c r="D76" s="1"/>
      <c r="E76" s="1"/>
      <c r="F76" s="1"/>
      <c r="G76" s="1"/>
      <c r="H76" s="1"/>
      <c r="I76" s="1"/>
    </row>
    <row r="77" ht="15.75" customHeight="1">
      <c r="A77" s="1"/>
      <c r="B77" s="1"/>
      <c r="C77" s="1"/>
      <c r="D77" s="1"/>
      <c r="E77" s="1"/>
      <c r="F77" s="1"/>
      <c r="G77" s="1"/>
      <c r="H77" s="1"/>
      <c r="I77" s="1"/>
    </row>
    <row r="78" ht="15.75" customHeight="1">
      <c r="A78" s="1"/>
      <c r="B78" s="1"/>
      <c r="C78" s="1"/>
      <c r="D78" s="1"/>
      <c r="E78" s="1"/>
      <c r="F78" s="1"/>
      <c r="G78" s="1"/>
      <c r="H78" s="1"/>
      <c r="I78" s="1"/>
    </row>
    <row r="79" ht="15.75" customHeight="1">
      <c r="A79" s="1"/>
      <c r="B79" s="1"/>
      <c r="C79" s="1"/>
      <c r="D79" s="1"/>
      <c r="E79" s="1"/>
      <c r="F79" s="1"/>
      <c r="G79" s="1"/>
      <c r="H79" s="1"/>
      <c r="I79" s="1"/>
    </row>
    <row r="80" ht="15.75" customHeight="1">
      <c r="A80" s="1"/>
      <c r="B80" s="1"/>
      <c r="C80" s="1"/>
      <c r="D80" s="1"/>
      <c r="E80" s="1"/>
      <c r="F80" s="1"/>
      <c r="G80" s="1"/>
      <c r="H80" s="1"/>
      <c r="I80" s="1"/>
    </row>
    <row r="81" ht="15.75" customHeight="1">
      <c r="A81" s="1"/>
      <c r="B81" s="1"/>
      <c r="C81" s="1"/>
      <c r="D81" s="1"/>
      <c r="E81" s="1"/>
      <c r="F81" s="1"/>
      <c r="G81" s="1"/>
      <c r="H81" s="1"/>
      <c r="I81" s="1"/>
    </row>
    <row r="82" ht="15.75" customHeight="1">
      <c r="A82" s="1"/>
      <c r="B82" s="1"/>
      <c r="C82" s="1"/>
      <c r="D82" s="1"/>
      <c r="E82" s="1"/>
      <c r="F82" s="1"/>
      <c r="G82" s="1"/>
      <c r="H82" s="1"/>
      <c r="I82" s="1"/>
    </row>
    <row r="83" ht="15.75" customHeight="1">
      <c r="A83" s="1"/>
      <c r="B83" s="1"/>
      <c r="C83" s="1"/>
      <c r="D83" s="1"/>
      <c r="E83" s="1"/>
      <c r="F83" s="1"/>
      <c r="G83" s="1"/>
      <c r="H83" s="1"/>
      <c r="I83" s="1"/>
    </row>
    <row r="84" ht="15.75" customHeight="1">
      <c r="A84" s="1"/>
      <c r="B84" s="1"/>
      <c r="C84" s="1"/>
      <c r="D84" s="1"/>
      <c r="E84" s="1"/>
      <c r="F84" s="1"/>
      <c r="G84" s="1"/>
      <c r="H84" s="1"/>
      <c r="I84" s="1"/>
    </row>
    <row r="85" ht="15.75" customHeight="1">
      <c r="A85" s="1"/>
      <c r="B85" s="1"/>
      <c r="C85" s="1"/>
      <c r="D85" s="1"/>
      <c r="E85" s="1"/>
      <c r="F85" s="1"/>
      <c r="G85" s="1"/>
      <c r="H85" s="1"/>
      <c r="I85" s="1"/>
    </row>
    <row r="86" ht="15.75" customHeight="1">
      <c r="A86" s="1"/>
      <c r="B86" s="1"/>
      <c r="C86" s="1"/>
      <c r="D86" s="1"/>
      <c r="E86" s="1"/>
      <c r="F86" s="1"/>
      <c r="G86" s="1"/>
      <c r="H86" s="1"/>
      <c r="I86" s="1"/>
    </row>
    <row r="87" ht="15.75" customHeight="1">
      <c r="A87" s="1"/>
      <c r="B87" s="1"/>
      <c r="C87" s="1"/>
      <c r="D87" s="1"/>
      <c r="E87" s="1"/>
      <c r="F87" s="1"/>
      <c r="G87" s="1"/>
      <c r="H87" s="1"/>
      <c r="I87" s="1"/>
    </row>
    <row r="88" ht="15.75" customHeight="1">
      <c r="A88" s="1"/>
      <c r="B88" s="1"/>
      <c r="C88" s="1"/>
      <c r="D88" s="1"/>
      <c r="E88" s="1"/>
      <c r="F88" s="1"/>
      <c r="G88" s="1"/>
      <c r="H88" s="1"/>
      <c r="I88" s="1"/>
    </row>
    <row r="89" ht="15.75" customHeight="1">
      <c r="A89" s="1"/>
      <c r="B89" s="1"/>
      <c r="C89" s="1"/>
      <c r="D89" s="1"/>
      <c r="E89" s="1"/>
      <c r="F89" s="1"/>
      <c r="G89" s="1"/>
      <c r="H89" s="1"/>
      <c r="I89" s="1"/>
    </row>
    <row r="90" ht="15.75" customHeight="1">
      <c r="A90" s="1"/>
      <c r="B90" s="1"/>
      <c r="C90" s="1"/>
      <c r="D90" s="1"/>
      <c r="E90" s="1"/>
      <c r="F90" s="1"/>
      <c r="G90" s="1"/>
      <c r="H90" s="1"/>
      <c r="I90" s="1"/>
    </row>
    <row r="91" ht="15.75" customHeight="1">
      <c r="A91" s="1"/>
      <c r="B91" s="1"/>
      <c r="C91" s="1"/>
      <c r="D91" s="1"/>
      <c r="E91" s="1"/>
      <c r="F91" s="1"/>
      <c r="G91" s="1"/>
      <c r="H91" s="1"/>
      <c r="I91" s="1"/>
    </row>
    <row r="92" ht="15.75" customHeight="1">
      <c r="A92" s="1"/>
      <c r="B92" s="1"/>
      <c r="C92" s="1"/>
      <c r="D92" s="1"/>
      <c r="E92" s="1"/>
      <c r="F92" s="1"/>
      <c r="G92" s="1"/>
      <c r="H92" s="1"/>
      <c r="I92" s="1"/>
    </row>
    <row r="93" ht="15.75" customHeight="1">
      <c r="A93" s="1"/>
      <c r="B93" s="1"/>
      <c r="C93" s="1"/>
      <c r="D93" s="1"/>
      <c r="E93" s="1"/>
      <c r="F93" s="1"/>
      <c r="G93" s="1"/>
      <c r="H93" s="1"/>
      <c r="I93" s="1"/>
    </row>
    <row r="94" ht="15.75" customHeight="1">
      <c r="A94" s="1"/>
      <c r="B94" s="1"/>
      <c r="C94" s="1"/>
      <c r="D94" s="1"/>
      <c r="E94" s="1"/>
      <c r="F94" s="1"/>
      <c r="G94" s="1"/>
      <c r="H94" s="1"/>
      <c r="I94" s="1"/>
    </row>
    <row r="95" ht="15.75" customHeight="1">
      <c r="A95" s="1"/>
      <c r="B95" s="1"/>
      <c r="C95" s="1"/>
      <c r="D95" s="1"/>
      <c r="E95" s="1"/>
      <c r="F95" s="1"/>
      <c r="G95" s="1"/>
      <c r="H95" s="1"/>
      <c r="I95" s="1"/>
    </row>
    <row r="96" ht="15.75" customHeight="1">
      <c r="A96" s="1"/>
      <c r="B96" s="1"/>
      <c r="C96" s="1"/>
      <c r="D96" s="1"/>
      <c r="E96" s="1"/>
      <c r="F96" s="1"/>
      <c r="G96" s="1"/>
      <c r="H96" s="1"/>
      <c r="I96" s="1"/>
    </row>
    <row r="97" ht="15.75" customHeight="1">
      <c r="A97" s="1"/>
      <c r="B97" s="1"/>
      <c r="C97" s="1"/>
      <c r="D97" s="1"/>
      <c r="E97" s="1"/>
      <c r="F97" s="1"/>
      <c r="G97" s="1"/>
      <c r="H97" s="1"/>
      <c r="I97" s="1"/>
    </row>
    <row r="98" ht="15.75" customHeight="1">
      <c r="A98" s="1"/>
      <c r="B98" s="1"/>
      <c r="C98" s="1"/>
      <c r="D98" s="1"/>
      <c r="E98" s="1"/>
      <c r="F98" s="1"/>
      <c r="G98" s="1"/>
      <c r="H98" s="1"/>
      <c r="I98" s="1"/>
    </row>
    <row r="99" ht="15.75" customHeight="1">
      <c r="A99" s="1"/>
      <c r="B99" s="1"/>
      <c r="C99" s="1"/>
      <c r="D99" s="1"/>
      <c r="E99" s="1"/>
      <c r="F99" s="1"/>
      <c r="G99" s="1"/>
      <c r="H99" s="1"/>
      <c r="I99" s="1"/>
    </row>
    <row r="100" ht="15.75" customHeight="1">
      <c r="A100" s="1"/>
      <c r="B100" s="1"/>
      <c r="C100" s="1"/>
      <c r="D100" s="1"/>
      <c r="E100" s="1"/>
      <c r="F100" s="1"/>
      <c r="G100" s="1"/>
      <c r="H100" s="1"/>
      <c r="I100" s="1"/>
    </row>
    <row r="101" ht="15.75" customHeight="1">
      <c r="A101" s="1"/>
      <c r="B101" s="1"/>
      <c r="C101" s="1"/>
      <c r="D101" s="1"/>
      <c r="E101" s="1"/>
      <c r="F101" s="1"/>
      <c r="G101" s="1"/>
      <c r="H101" s="1"/>
      <c r="I101" s="1"/>
    </row>
    <row r="102" ht="15.75" customHeight="1">
      <c r="A102" s="1"/>
      <c r="B102" s="1"/>
      <c r="C102" s="1"/>
      <c r="D102" s="1"/>
      <c r="E102" s="1"/>
      <c r="F102" s="1"/>
      <c r="G102" s="1"/>
      <c r="H102" s="1"/>
      <c r="I102" s="1"/>
    </row>
    <row r="103" ht="15.75" customHeight="1">
      <c r="A103" s="1"/>
      <c r="B103" s="1"/>
      <c r="C103" s="1"/>
      <c r="D103" s="1"/>
      <c r="E103" s="1"/>
      <c r="F103" s="1"/>
      <c r="G103" s="1"/>
      <c r="H103" s="1"/>
      <c r="I103" s="1"/>
    </row>
    <row r="104" ht="15.75" customHeight="1">
      <c r="A104" s="1"/>
      <c r="B104" s="1"/>
      <c r="C104" s="1"/>
      <c r="D104" s="1"/>
      <c r="E104" s="1"/>
      <c r="F104" s="1"/>
      <c r="G104" s="1"/>
      <c r="H104" s="1"/>
      <c r="I104" s="1"/>
    </row>
    <row r="105" ht="15.75" customHeight="1">
      <c r="A105" s="1"/>
      <c r="B105" s="1"/>
      <c r="C105" s="1"/>
      <c r="D105" s="1"/>
      <c r="E105" s="1"/>
      <c r="F105" s="1"/>
      <c r="G105" s="1"/>
      <c r="H105" s="1"/>
      <c r="I105" s="1"/>
    </row>
    <row r="106" ht="15.75" customHeight="1">
      <c r="A106" s="1"/>
      <c r="B106" s="1"/>
      <c r="C106" s="1"/>
      <c r="D106" s="1"/>
      <c r="E106" s="1"/>
      <c r="F106" s="1"/>
      <c r="G106" s="1"/>
      <c r="H106" s="1"/>
      <c r="I106" s="1"/>
    </row>
    <row r="107" ht="15.75" customHeight="1">
      <c r="A107" s="1"/>
      <c r="B107" s="1"/>
      <c r="C107" s="1"/>
      <c r="D107" s="1"/>
      <c r="E107" s="1"/>
      <c r="F107" s="1"/>
      <c r="G107" s="1"/>
      <c r="H107" s="1"/>
      <c r="I107" s="1"/>
    </row>
    <row r="108" ht="15.75" customHeight="1">
      <c r="A108" s="1"/>
      <c r="B108" s="1"/>
      <c r="C108" s="1"/>
      <c r="D108" s="1"/>
      <c r="E108" s="1"/>
      <c r="F108" s="1"/>
      <c r="G108" s="1"/>
      <c r="H108" s="1"/>
      <c r="I108" s="1"/>
    </row>
    <row r="109" ht="15.75" customHeight="1">
      <c r="A109" s="1"/>
      <c r="B109" s="1"/>
      <c r="C109" s="1"/>
      <c r="D109" s="1"/>
      <c r="E109" s="1"/>
      <c r="F109" s="1"/>
      <c r="G109" s="1"/>
      <c r="H109" s="1"/>
      <c r="I109" s="1"/>
    </row>
    <row r="110" ht="15.75" customHeight="1">
      <c r="A110" s="1"/>
      <c r="B110" s="1"/>
      <c r="C110" s="1"/>
      <c r="D110" s="1"/>
      <c r="E110" s="1"/>
      <c r="F110" s="1"/>
      <c r="G110" s="1"/>
      <c r="H110" s="1"/>
      <c r="I110" s="1"/>
    </row>
    <row r="111" ht="15.75" customHeight="1">
      <c r="A111" s="1"/>
      <c r="B111" s="1"/>
      <c r="C111" s="1"/>
      <c r="D111" s="1"/>
      <c r="E111" s="1"/>
      <c r="F111" s="1"/>
      <c r="G111" s="1"/>
      <c r="H111" s="1"/>
      <c r="I111" s="1"/>
    </row>
    <row r="112" ht="15.75" customHeight="1">
      <c r="A112" s="1"/>
      <c r="B112" s="1"/>
      <c r="C112" s="1"/>
      <c r="D112" s="1"/>
      <c r="E112" s="1"/>
      <c r="F112" s="1"/>
      <c r="G112" s="1"/>
      <c r="H112" s="1"/>
      <c r="I112" s="1"/>
    </row>
    <row r="113" ht="15.75" customHeight="1">
      <c r="A113" s="1"/>
      <c r="B113" s="1"/>
      <c r="C113" s="1"/>
      <c r="D113" s="1"/>
      <c r="E113" s="1"/>
      <c r="F113" s="1"/>
      <c r="G113" s="1"/>
      <c r="H113" s="1"/>
      <c r="I113" s="1"/>
    </row>
    <row r="114" ht="15.75" customHeight="1">
      <c r="A114" s="1"/>
      <c r="B114" s="1"/>
      <c r="C114" s="1"/>
      <c r="D114" s="1"/>
      <c r="E114" s="1"/>
      <c r="F114" s="1"/>
      <c r="G114" s="1"/>
      <c r="H114" s="1"/>
      <c r="I114" s="1"/>
    </row>
    <row r="115" ht="15.75" customHeight="1">
      <c r="A115" s="1"/>
      <c r="B115" s="1"/>
      <c r="C115" s="1"/>
      <c r="D115" s="1"/>
      <c r="E115" s="1"/>
      <c r="F115" s="1"/>
      <c r="G115" s="1"/>
      <c r="H115" s="1"/>
      <c r="I115" s="1"/>
    </row>
    <row r="116" ht="15.75" customHeight="1">
      <c r="A116" s="1"/>
      <c r="B116" s="1"/>
      <c r="C116" s="1"/>
      <c r="D116" s="1"/>
      <c r="E116" s="1"/>
      <c r="F116" s="1"/>
      <c r="G116" s="1"/>
      <c r="H116" s="1"/>
      <c r="I116" s="1"/>
    </row>
    <row r="117" ht="15.75" customHeight="1">
      <c r="A117" s="1"/>
      <c r="B117" s="1"/>
      <c r="C117" s="1"/>
      <c r="D117" s="1"/>
      <c r="E117" s="1"/>
      <c r="F117" s="1"/>
      <c r="G117" s="1"/>
      <c r="H117" s="1"/>
      <c r="I117" s="1"/>
    </row>
    <row r="118" ht="15.75" customHeight="1">
      <c r="A118" s="1"/>
      <c r="B118" s="1"/>
      <c r="C118" s="1"/>
      <c r="D118" s="1"/>
      <c r="E118" s="1"/>
      <c r="F118" s="1"/>
      <c r="G118" s="1"/>
      <c r="H118" s="1"/>
      <c r="I118" s="1"/>
    </row>
    <row r="119" ht="15.75" customHeight="1">
      <c r="A119" s="1"/>
      <c r="B119" s="1"/>
      <c r="C119" s="1"/>
      <c r="D119" s="1"/>
      <c r="E119" s="1"/>
      <c r="F119" s="1"/>
      <c r="G119" s="1"/>
      <c r="H119" s="1"/>
      <c r="I119" s="1"/>
    </row>
    <row r="120" ht="15.75" customHeight="1">
      <c r="A120" s="1"/>
      <c r="B120" s="1"/>
      <c r="C120" s="1"/>
      <c r="D120" s="1"/>
      <c r="E120" s="1"/>
      <c r="F120" s="1"/>
      <c r="G120" s="1"/>
      <c r="H120" s="1"/>
      <c r="I120" s="1"/>
    </row>
    <row r="121" ht="15.75" customHeight="1">
      <c r="A121" s="1"/>
      <c r="B121" s="1"/>
      <c r="C121" s="1"/>
      <c r="D121" s="1"/>
      <c r="E121" s="1"/>
      <c r="F121" s="1"/>
      <c r="G121" s="1"/>
      <c r="H121" s="1"/>
      <c r="I121" s="1"/>
    </row>
    <row r="122" ht="15.75" customHeight="1">
      <c r="A122" s="1"/>
      <c r="B122" s="1"/>
      <c r="C122" s="1"/>
      <c r="D122" s="1"/>
      <c r="E122" s="1"/>
      <c r="F122" s="1"/>
      <c r="G122" s="1"/>
      <c r="H122" s="1"/>
      <c r="I122" s="1"/>
    </row>
    <row r="123" ht="15.75" customHeight="1">
      <c r="A123" s="1"/>
      <c r="B123" s="1"/>
      <c r="C123" s="1"/>
      <c r="D123" s="1"/>
      <c r="E123" s="1"/>
      <c r="F123" s="1"/>
      <c r="G123" s="1"/>
      <c r="H123" s="1"/>
      <c r="I123" s="1"/>
    </row>
    <row r="124" ht="15.75" customHeight="1">
      <c r="A124" s="1"/>
      <c r="B124" s="1"/>
      <c r="C124" s="1"/>
      <c r="D124" s="1"/>
      <c r="E124" s="1"/>
      <c r="F124" s="1"/>
      <c r="G124" s="1"/>
      <c r="H124" s="1"/>
      <c r="I124" s="1"/>
    </row>
    <row r="125" ht="15.75" customHeight="1">
      <c r="A125" s="1"/>
      <c r="B125" s="1"/>
      <c r="C125" s="1"/>
      <c r="D125" s="1"/>
      <c r="E125" s="1"/>
      <c r="F125" s="1"/>
      <c r="G125" s="1"/>
      <c r="H125" s="1"/>
      <c r="I125" s="1"/>
    </row>
    <row r="126" ht="15.75" customHeight="1">
      <c r="A126" s="1"/>
      <c r="B126" s="1"/>
      <c r="C126" s="1"/>
      <c r="D126" s="1"/>
      <c r="E126" s="1"/>
      <c r="F126" s="1"/>
      <c r="G126" s="1"/>
      <c r="H126" s="1"/>
      <c r="I126" s="1"/>
    </row>
    <row r="127" ht="15.75" customHeight="1">
      <c r="A127" s="1"/>
      <c r="B127" s="1"/>
      <c r="C127" s="1"/>
      <c r="D127" s="1"/>
      <c r="E127" s="1"/>
      <c r="F127" s="1"/>
      <c r="G127" s="1"/>
      <c r="H127" s="1"/>
      <c r="I127" s="1"/>
    </row>
    <row r="128" ht="15.75" customHeight="1">
      <c r="A128" s="1"/>
      <c r="B128" s="1"/>
      <c r="C128" s="1"/>
      <c r="D128" s="1"/>
      <c r="E128" s="1"/>
      <c r="F128" s="1"/>
      <c r="G128" s="1"/>
      <c r="H128" s="1"/>
      <c r="I128" s="1"/>
    </row>
    <row r="129" ht="15.75" customHeight="1">
      <c r="A129" s="1"/>
      <c r="B129" s="1"/>
      <c r="C129" s="1"/>
      <c r="D129" s="1"/>
      <c r="E129" s="1"/>
      <c r="F129" s="1"/>
      <c r="G129" s="1"/>
      <c r="H129" s="1"/>
      <c r="I129" s="1"/>
    </row>
    <row r="130" ht="15.75" customHeight="1">
      <c r="A130" s="1"/>
      <c r="B130" s="1"/>
      <c r="C130" s="1"/>
      <c r="D130" s="1"/>
      <c r="E130" s="1"/>
      <c r="F130" s="1"/>
      <c r="G130" s="1"/>
      <c r="H130" s="1"/>
      <c r="I130" s="1"/>
    </row>
    <row r="131" ht="15.75" customHeight="1">
      <c r="A131" s="1"/>
      <c r="B131" s="1"/>
      <c r="C131" s="1"/>
      <c r="D131" s="1"/>
      <c r="E131" s="1"/>
      <c r="F131" s="1"/>
      <c r="G131" s="1"/>
      <c r="H131" s="1"/>
      <c r="I131" s="1"/>
    </row>
    <row r="132" ht="15.75" customHeight="1">
      <c r="A132" s="1"/>
      <c r="B132" s="1"/>
      <c r="C132" s="1"/>
      <c r="D132" s="1"/>
      <c r="E132" s="1"/>
      <c r="F132" s="1"/>
      <c r="G132" s="1"/>
      <c r="H132" s="1"/>
      <c r="I132" s="1"/>
    </row>
    <row r="133" ht="15.75" customHeight="1">
      <c r="A133" s="1"/>
      <c r="B133" s="1"/>
      <c r="C133" s="1"/>
      <c r="D133" s="1"/>
      <c r="E133" s="1"/>
      <c r="F133" s="1"/>
      <c r="G133" s="1"/>
      <c r="H133" s="1"/>
      <c r="I133" s="1"/>
    </row>
    <row r="134" ht="15.75" customHeight="1">
      <c r="A134" s="1"/>
      <c r="B134" s="1"/>
      <c r="C134" s="1"/>
      <c r="D134" s="1"/>
      <c r="E134" s="1"/>
      <c r="F134" s="1"/>
      <c r="G134" s="1"/>
      <c r="H134" s="1"/>
      <c r="I134" s="1"/>
    </row>
    <row r="135" ht="15.75" customHeight="1">
      <c r="A135" s="1"/>
      <c r="B135" s="1"/>
      <c r="C135" s="1"/>
      <c r="D135" s="1"/>
      <c r="E135" s="1"/>
      <c r="F135" s="1"/>
      <c r="G135" s="1"/>
      <c r="H135" s="1"/>
      <c r="I135" s="1"/>
    </row>
    <row r="136" ht="15.75" customHeight="1">
      <c r="A136" s="1"/>
      <c r="B136" s="1"/>
      <c r="C136" s="1"/>
      <c r="D136" s="1"/>
      <c r="E136" s="1"/>
      <c r="F136" s="1"/>
      <c r="G136" s="1"/>
      <c r="H136" s="1"/>
      <c r="I136" s="1"/>
    </row>
    <row r="137" ht="15.75" customHeight="1">
      <c r="A137" s="1"/>
      <c r="B137" s="1"/>
      <c r="C137" s="1"/>
      <c r="D137" s="1"/>
      <c r="E137" s="1"/>
      <c r="F137" s="1"/>
      <c r="G137" s="1"/>
      <c r="H137" s="1"/>
      <c r="I137" s="1"/>
    </row>
    <row r="138" ht="15.75" customHeight="1">
      <c r="A138" s="1"/>
      <c r="B138" s="1"/>
      <c r="C138" s="1"/>
      <c r="D138" s="1"/>
      <c r="E138" s="1"/>
      <c r="F138" s="1"/>
      <c r="G138" s="1"/>
      <c r="H138" s="1"/>
      <c r="I138" s="1"/>
    </row>
    <row r="139" ht="15.75" customHeight="1">
      <c r="A139" s="1"/>
      <c r="B139" s="1"/>
      <c r="C139" s="1"/>
      <c r="D139" s="1"/>
      <c r="E139" s="1"/>
      <c r="F139" s="1"/>
      <c r="G139" s="1"/>
      <c r="H139" s="1"/>
      <c r="I139" s="1"/>
    </row>
    <row r="140" ht="15.75" customHeight="1">
      <c r="A140" s="1"/>
      <c r="B140" s="1"/>
      <c r="C140" s="1"/>
      <c r="D140" s="1"/>
      <c r="E140" s="1"/>
      <c r="F140" s="1"/>
      <c r="G140" s="1"/>
      <c r="H140" s="1"/>
      <c r="I140" s="1"/>
    </row>
    <row r="141" ht="15.75" customHeight="1">
      <c r="A141" s="1"/>
      <c r="B141" s="1"/>
      <c r="C141" s="1"/>
      <c r="D141" s="1"/>
      <c r="E141" s="1"/>
      <c r="F141" s="1"/>
      <c r="G141" s="1"/>
      <c r="H141" s="1"/>
      <c r="I141" s="1"/>
    </row>
    <row r="142" ht="15.75" customHeight="1">
      <c r="A142" s="1"/>
      <c r="B142" s="1"/>
      <c r="C142" s="1"/>
      <c r="D142" s="1"/>
      <c r="E142" s="1"/>
      <c r="F142" s="1"/>
      <c r="G142" s="1"/>
      <c r="H142" s="1"/>
      <c r="I142" s="1"/>
    </row>
    <row r="143" ht="15.75" customHeight="1">
      <c r="A143" s="1"/>
      <c r="B143" s="1"/>
      <c r="C143" s="1"/>
      <c r="D143" s="1"/>
      <c r="E143" s="1"/>
      <c r="F143" s="1"/>
      <c r="G143" s="1"/>
      <c r="H143" s="1"/>
      <c r="I143" s="1"/>
    </row>
    <row r="144" ht="15.75" customHeight="1">
      <c r="A144" s="1"/>
      <c r="B144" s="1"/>
      <c r="C144" s="1"/>
      <c r="D144" s="1"/>
      <c r="E144" s="1"/>
      <c r="F144" s="1"/>
      <c r="G144" s="1"/>
      <c r="H144" s="1"/>
      <c r="I144" s="1"/>
    </row>
    <row r="145" ht="15.75" customHeight="1">
      <c r="A145" s="1"/>
      <c r="B145" s="1"/>
      <c r="C145" s="1"/>
      <c r="D145" s="1"/>
      <c r="E145" s="1"/>
      <c r="F145" s="1"/>
      <c r="G145" s="1"/>
      <c r="H145" s="1"/>
      <c r="I145" s="1"/>
    </row>
    <row r="146" ht="15.75" customHeight="1">
      <c r="A146" s="1"/>
      <c r="B146" s="1"/>
      <c r="C146" s="1"/>
      <c r="D146" s="1"/>
      <c r="E146" s="1"/>
      <c r="F146" s="1"/>
      <c r="G146" s="1"/>
      <c r="H146" s="1"/>
      <c r="I146" s="1"/>
    </row>
    <row r="147" ht="15.75" customHeight="1">
      <c r="A147" s="1"/>
      <c r="B147" s="1"/>
      <c r="C147" s="1"/>
      <c r="D147" s="1"/>
      <c r="E147" s="1"/>
      <c r="F147" s="1"/>
      <c r="G147" s="1"/>
      <c r="H147" s="1"/>
      <c r="I147" s="1"/>
    </row>
    <row r="148" ht="15.75" customHeight="1">
      <c r="A148" s="1"/>
      <c r="B148" s="1"/>
      <c r="C148" s="1"/>
      <c r="D148" s="1"/>
      <c r="E148" s="1"/>
      <c r="F148" s="1"/>
      <c r="G148" s="1"/>
      <c r="H148" s="1"/>
      <c r="I148" s="1"/>
    </row>
    <row r="149" ht="15.75" customHeight="1">
      <c r="A149" s="1"/>
      <c r="B149" s="1"/>
      <c r="C149" s="1"/>
      <c r="D149" s="1"/>
      <c r="E149" s="1"/>
      <c r="F149" s="1"/>
      <c r="G149" s="1"/>
      <c r="H149" s="1"/>
      <c r="I149" s="1"/>
    </row>
    <row r="150" ht="15.75" customHeight="1">
      <c r="A150" s="1"/>
      <c r="B150" s="1"/>
      <c r="C150" s="1"/>
      <c r="D150" s="1"/>
      <c r="E150" s="1"/>
      <c r="F150" s="1"/>
      <c r="G150" s="1"/>
      <c r="H150" s="1"/>
      <c r="I150" s="1"/>
    </row>
    <row r="151" ht="15.75" customHeight="1">
      <c r="A151" s="1"/>
      <c r="B151" s="1"/>
      <c r="C151" s="1"/>
      <c r="D151" s="1"/>
      <c r="E151" s="1"/>
      <c r="F151" s="1"/>
      <c r="G151" s="1"/>
      <c r="H151" s="1"/>
      <c r="I151" s="1"/>
    </row>
    <row r="152" ht="15.75" customHeight="1">
      <c r="A152" s="1"/>
      <c r="B152" s="1"/>
      <c r="C152" s="1"/>
      <c r="D152" s="1"/>
      <c r="E152" s="1"/>
      <c r="F152" s="1"/>
      <c r="G152" s="1"/>
      <c r="H152" s="1"/>
      <c r="I152" s="1"/>
    </row>
    <row r="153" ht="15.75" customHeight="1">
      <c r="A153" s="1"/>
      <c r="B153" s="1"/>
      <c r="C153" s="1"/>
      <c r="D153" s="1"/>
      <c r="E153" s="1"/>
      <c r="F153" s="1"/>
      <c r="G153" s="1"/>
      <c r="H153" s="1"/>
      <c r="I153" s="1"/>
    </row>
    <row r="154" ht="15.75" customHeight="1">
      <c r="A154" s="1"/>
      <c r="B154" s="1"/>
      <c r="C154" s="1"/>
      <c r="D154" s="1"/>
      <c r="E154" s="1"/>
      <c r="F154" s="1"/>
      <c r="G154" s="1"/>
      <c r="H154" s="1"/>
      <c r="I154" s="1"/>
    </row>
    <row r="155" ht="15.75" customHeight="1">
      <c r="A155" s="1"/>
      <c r="B155" s="1"/>
      <c r="C155" s="1"/>
      <c r="D155" s="1"/>
      <c r="E155" s="1"/>
      <c r="F155" s="1"/>
      <c r="G155" s="1"/>
      <c r="H155" s="1"/>
      <c r="I155" s="1"/>
    </row>
    <row r="156" ht="15.75" customHeight="1">
      <c r="A156" s="1"/>
      <c r="B156" s="1"/>
      <c r="C156" s="1"/>
      <c r="D156" s="1"/>
      <c r="E156" s="1"/>
      <c r="F156" s="1"/>
      <c r="G156" s="1"/>
      <c r="H156" s="1"/>
      <c r="I156" s="1"/>
    </row>
    <row r="157" ht="15.75" customHeight="1">
      <c r="A157" s="1"/>
      <c r="B157" s="1"/>
      <c r="C157" s="1"/>
      <c r="D157" s="1"/>
      <c r="E157" s="1"/>
      <c r="F157" s="1"/>
      <c r="G157" s="1"/>
      <c r="H157" s="1"/>
      <c r="I157" s="1"/>
    </row>
    <row r="158" ht="15.75" customHeight="1">
      <c r="A158" s="1"/>
      <c r="B158" s="1"/>
      <c r="C158" s="1"/>
      <c r="D158" s="1"/>
      <c r="E158" s="1"/>
      <c r="F158" s="1"/>
      <c r="G158" s="1"/>
      <c r="H158" s="1"/>
      <c r="I158" s="1"/>
    </row>
    <row r="159" ht="15.75" customHeight="1">
      <c r="A159" s="1"/>
      <c r="B159" s="1"/>
      <c r="C159" s="1"/>
      <c r="D159" s="1"/>
      <c r="E159" s="1"/>
      <c r="F159" s="1"/>
      <c r="G159" s="1"/>
      <c r="H159" s="1"/>
      <c r="I159" s="1"/>
    </row>
    <row r="160" ht="15.75" customHeight="1">
      <c r="A160" s="1"/>
      <c r="B160" s="1"/>
      <c r="C160" s="1"/>
      <c r="D160" s="1"/>
      <c r="E160" s="1"/>
      <c r="F160" s="1"/>
      <c r="G160" s="1"/>
      <c r="H160" s="1"/>
      <c r="I160" s="1"/>
    </row>
    <row r="161" ht="15.75" customHeight="1">
      <c r="A161" s="1"/>
      <c r="B161" s="1"/>
      <c r="C161" s="1"/>
      <c r="D161" s="1"/>
      <c r="E161" s="1"/>
      <c r="F161" s="1"/>
      <c r="G161" s="1"/>
      <c r="H161" s="1"/>
      <c r="I161" s="1"/>
    </row>
    <row r="162" ht="15.75" customHeight="1">
      <c r="A162" s="1"/>
      <c r="B162" s="1"/>
      <c r="C162" s="1"/>
      <c r="D162" s="1"/>
      <c r="E162" s="1"/>
      <c r="F162" s="1"/>
      <c r="G162" s="1"/>
      <c r="H162" s="1"/>
      <c r="I162" s="1"/>
    </row>
    <row r="163" ht="15.75" customHeight="1">
      <c r="A163" s="1"/>
      <c r="B163" s="1"/>
      <c r="C163" s="1"/>
      <c r="D163" s="1"/>
      <c r="E163" s="1"/>
      <c r="F163" s="1"/>
      <c r="G163" s="1"/>
      <c r="H163" s="1"/>
      <c r="I163" s="1"/>
    </row>
    <row r="164" ht="15.75" customHeight="1">
      <c r="A164" s="1"/>
      <c r="B164" s="1"/>
      <c r="C164" s="1"/>
      <c r="D164" s="1"/>
      <c r="E164" s="1"/>
      <c r="F164" s="1"/>
      <c r="G164" s="1"/>
      <c r="H164" s="1"/>
      <c r="I164" s="1"/>
    </row>
    <row r="165" ht="15.75" customHeight="1">
      <c r="A165" s="1"/>
      <c r="B165" s="1"/>
      <c r="C165" s="1"/>
      <c r="D165" s="1"/>
      <c r="E165" s="1"/>
      <c r="F165" s="1"/>
      <c r="G165" s="1"/>
      <c r="H165" s="1"/>
      <c r="I165" s="1"/>
    </row>
    <row r="166" ht="15.75" customHeight="1">
      <c r="A166" s="1"/>
      <c r="B166" s="1"/>
      <c r="C166" s="1"/>
      <c r="D166" s="1"/>
      <c r="E166" s="1"/>
      <c r="F166" s="1"/>
      <c r="G166" s="1"/>
      <c r="H166" s="1"/>
      <c r="I166" s="1"/>
    </row>
    <row r="167" ht="15.75" customHeight="1">
      <c r="A167" s="1"/>
      <c r="B167" s="1"/>
      <c r="C167" s="1"/>
      <c r="D167" s="1"/>
      <c r="E167" s="1"/>
      <c r="F167" s="1"/>
      <c r="G167" s="1"/>
      <c r="H167" s="1"/>
      <c r="I167" s="1"/>
    </row>
    <row r="168" ht="15.75" customHeight="1">
      <c r="A168" s="1"/>
      <c r="B168" s="1"/>
      <c r="C168" s="1"/>
      <c r="D168" s="1"/>
      <c r="E168" s="1"/>
      <c r="F168" s="1"/>
      <c r="G168" s="1"/>
      <c r="H168" s="1"/>
      <c r="I168" s="1"/>
    </row>
    <row r="169" ht="15.75" customHeight="1">
      <c r="A169" s="1"/>
      <c r="B169" s="1"/>
      <c r="C169" s="1"/>
      <c r="D169" s="1"/>
      <c r="E169" s="1"/>
      <c r="F169" s="1"/>
      <c r="G169" s="1"/>
      <c r="H169" s="1"/>
      <c r="I169" s="1"/>
    </row>
    <row r="170" ht="15.75" customHeight="1">
      <c r="A170" s="1"/>
      <c r="B170" s="1"/>
      <c r="C170" s="1"/>
      <c r="D170" s="1"/>
      <c r="E170" s="1"/>
      <c r="F170" s="1"/>
      <c r="G170" s="1"/>
      <c r="H170" s="1"/>
      <c r="I170" s="1"/>
    </row>
    <row r="171" ht="15.75" customHeight="1">
      <c r="A171" s="1"/>
      <c r="B171" s="1"/>
      <c r="C171" s="1"/>
      <c r="D171" s="1"/>
      <c r="E171" s="1"/>
      <c r="F171" s="1"/>
      <c r="G171" s="1"/>
      <c r="H171" s="1"/>
      <c r="I171" s="1"/>
    </row>
    <row r="172" ht="15.75" customHeight="1">
      <c r="A172" s="1"/>
      <c r="B172" s="1"/>
      <c r="C172" s="1"/>
      <c r="D172" s="1"/>
      <c r="E172" s="1"/>
      <c r="F172" s="1"/>
      <c r="G172" s="1"/>
      <c r="H172" s="1"/>
      <c r="I172" s="1"/>
    </row>
    <row r="173" ht="15.75" customHeight="1">
      <c r="A173" s="1"/>
      <c r="B173" s="1"/>
      <c r="C173" s="1"/>
      <c r="D173" s="1"/>
      <c r="E173" s="1"/>
      <c r="F173" s="1"/>
      <c r="G173" s="1"/>
      <c r="H173" s="1"/>
      <c r="I173" s="1"/>
    </row>
    <row r="174" ht="15.75" customHeight="1">
      <c r="A174" s="1"/>
      <c r="B174" s="1"/>
      <c r="C174" s="1"/>
      <c r="D174" s="1"/>
      <c r="E174" s="1"/>
      <c r="F174" s="1"/>
      <c r="G174" s="1"/>
      <c r="H174" s="1"/>
      <c r="I174" s="1"/>
    </row>
    <row r="175" ht="15.75" customHeight="1">
      <c r="A175" s="1"/>
      <c r="B175" s="1"/>
      <c r="C175" s="1"/>
      <c r="D175" s="1"/>
      <c r="E175" s="1"/>
      <c r="F175" s="1"/>
      <c r="G175" s="1"/>
      <c r="H175" s="1"/>
      <c r="I175" s="1"/>
    </row>
    <row r="176" ht="15.75" customHeight="1">
      <c r="A176" s="1"/>
      <c r="B176" s="1"/>
      <c r="C176" s="1"/>
      <c r="D176" s="1"/>
      <c r="E176" s="1"/>
      <c r="F176" s="1"/>
      <c r="G176" s="1"/>
      <c r="H176" s="1"/>
      <c r="I176" s="1"/>
    </row>
    <row r="177" ht="15.75" customHeight="1">
      <c r="A177" s="1"/>
      <c r="B177" s="1"/>
      <c r="C177" s="1"/>
      <c r="D177" s="1"/>
      <c r="E177" s="1"/>
      <c r="F177" s="1"/>
      <c r="G177" s="1"/>
      <c r="H177" s="1"/>
      <c r="I177" s="1"/>
    </row>
    <row r="178" ht="15.75" customHeight="1">
      <c r="A178" s="1"/>
      <c r="B178" s="1"/>
      <c r="C178" s="1"/>
      <c r="D178" s="1"/>
      <c r="E178" s="1"/>
      <c r="F178" s="1"/>
      <c r="G178" s="1"/>
      <c r="H178" s="1"/>
      <c r="I178" s="1"/>
    </row>
    <row r="179" ht="15.75" customHeight="1">
      <c r="A179" s="1"/>
      <c r="B179" s="1"/>
      <c r="C179" s="1"/>
      <c r="D179" s="1"/>
      <c r="E179" s="1"/>
      <c r="F179" s="1"/>
      <c r="G179" s="1"/>
      <c r="H179" s="1"/>
      <c r="I179" s="1"/>
    </row>
    <row r="180" ht="15.75" customHeight="1">
      <c r="A180" s="1"/>
      <c r="B180" s="1"/>
      <c r="C180" s="1"/>
      <c r="D180" s="1"/>
      <c r="E180" s="1"/>
      <c r="F180" s="1"/>
      <c r="G180" s="1"/>
      <c r="H180" s="1"/>
      <c r="I180" s="1"/>
    </row>
    <row r="181" ht="15.75" customHeight="1">
      <c r="A181" s="1"/>
      <c r="B181" s="1"/>
      <c r="C181" s="1"/>
      <c r="D181" s="1"/>
      <c r="E181" s="1"/>
      <c r="F181" s="1"/>
      <c r="G181" s="1"/>
      <c r="H181" s="1"/>
      <c r="I181" s="1"/>
    </row>
    <row r="182" ht="15.75" customHeight="1">
      <c r="A182" s="1"/>
      <c r="B182" s="1"/>
      <c r="C182" s="1"/>
      <c r="D182" s="1"/>
      <c r="E182" s="1"/>
      <c r="F182" s="1"/>
      <c r="G182" s="1"/>
      <c r="H182" s="1"/>
      <c r="I182" s="1"/>
    </row>
    <row r="183" ht="15.75" customHeight="1">
      <c r="A183" s="1"/>
      <c r="B183" s="1"/>
      <c r="C183" s="1"/>
      <c r="D183" s="1"/>
      <c r="E183" s="1"/>
      <c r="F183" s="1"/>
      <c r="G183" s="1"/>
      <c r="H183" s="1"/>
      <c r="I183" s="1"/>
    </row>
    <row r="184" ht="15.75" customHeight="1">
      <c r="A184" s="1"/>
      <c r="B184" s="1"/>
      <c r="C184" s="1"/>
      <c r="D184" s="1"/>
      <c r="E184" s="1"/>
      <c r="F184" s="1"/>
      <c r="G184" s="1"/>
      <c r="H184" s="1"/>
      <c r="I184" s="1"/>
    </row>
    <row r="185" ht="15.75" customHeight="1">
      <c r="A185" s="1"/>
      <c r="B185" s="1"/>
      <c r="C185" s="1"/>
      <c r="D185" s="1"/>
      <c r="E185" s="1"/>
      <c r="F185" s="1"/>
      <c r="G185" s="1"/>
      <c r="H185" s="1"/>
      <c r="I185" s="1"/>
    </row>
    <row r="186" ht="15.75" customHeight="1">
      <c r="A186" s="1"/>
      <c r="B186" s="1"/>
      <c r="C186" s="1"/>
      <c r="D186" s="1"/>
      <c r="E186" s="1"/>
      <c r="F186" s="1"/>
      <c r="G186" s="1"/>
      <c r="H186" s="1"/>
      <c r="I186" s="1"/>
    </row>
    <row r="187" ht="15.75" customHeight="1">
      <c r="A187" s="1"/>
      <c r="B187" s="1"/>
      <c r="C187" s="1"/>
      <c r="D187" s="1"/>
      <c r="E187" s="1"/>
      <c r="F187" s="1"/>
      <c r="G187" s="1"/>
      <c r="H187" s="1"/>
      <c r="I187" s="1"/>
    </row>
    <row r="188" ht="15.75" customHeight="1">
      <c r="A188" s="1"/>
      <c r="B188" s="1"/>
      <c r="C188" s="1"/>
      <c r="D188" s="1"/>
      <c r="E188" s="1"/>
      <c r="F188" s="1"/>
      <c r="G188" s="1"/>
      <c r="H188" s="1"/>
      <c r="I188" s="1"/>
    </row>
    <row r="189" ht="15.75" customHeight="1">
      <c r="A189" s="1"/>
      <c r="B189" s="1"/>
      <c r="C189" s="1"/>
      <c r="D189" s="1"/>
      <c r="E189" s="1"/>
      <c r="F189" s="1"/>
      <c r="G189" s="1"/>
      <c r="H189" s="1"/>
      <c r="I189" s="1"/>
    </row>
    <row r="190" ht="15.75" customHeight="1">
      <c r="A190" s="1"/>
      <c r="B190" s="1"/>
      <c r="C190" s="1"/>
      <c r="D190" s="1"/>
      <c r="E190" s="1"/>
      <c r="F190" s="1"/>
      <c r="G190" s="1"/>
      <c r="H190" s="1"/>
      <c r="I190" s="1"/>
    </row>
    <row r="191" ht="15.75" customHeight="1">
      <c r="A191" s="1"/>
      <c r="B191" s="1"/>
      <c r="C191" s="1"/>
      <c r="D191" s="1"/>
      <c r="E191" s="1"/>
      <c r="F191" s="1"/>
      <c r="G191" s="1"/>
      <c r="H191" s="1"/>
      <c r="I191" s="1"/>
    </row>
    <row r="192" ht="15.75" customHeight="1">
      <c r="A192" s="1"/>
      <c r="B192" s="1"/>
      <c r="C192" s="1"/>
      <c r="D192" s="1"/>
      <c r="E192" s="1"/>
      <c r="F192" s="1"/>
      <c r="G192" s="1"/>
      <c r="H192" s="1"/>
      <c r="I192" s="1"/>
    </row>
    <row r="193" ht="15.75" customHeight="1">
      <c r="A193" s="1"/>
      <c r="B193" s="1"/>
      <c r="C193" s="1"/>
      <c r="D193" s="1"/>
      <c r="E193" s="1"/>
      <c r="F193" s="1"/>
      <c r="G193" s="1"/>
      <c r="H193" s="1"/>
      <c r="I193" s="1"/>
    </row>
    <row r="194" ht="15.75" customHeight="1">
      <c r="A194" s="1"/>
      <c r="B194" s="1"/>
      <c r="C194" s="1"/>
      <c r="D194" s="1"/>
      <c r="E194" s="1"/>
      <c r="F194" s="1"/>
      <c r="G194" s="1"/>
      <c r="H194" s="1"/>
      <c r="I194" s="1"/>
    </row>
    <row r="195" ht="15.75" customHeight="1">
      <c r="A195" s="1"/>
      <c r="B195" s="1"/>
      <c r="C195" s="1"/>
      <c r="D195" s="1"/>
      <c r="E195" s="1"/>
      <c r="F195" s="1"/>
      <c r="G195" s="1"/>
      <c r="H195" s="1"/>
      <c r="I195" s="1"/>
    </row>
    <row r="196" ht="15.75" customHeight="1">
      <c r="A196" s="1"/>
      <c r="B196" s="1"/>
      <c r="C196" s="1"/>
      <c r="D196" s="1"/>
      <c r="E196" s="1"/>
      <c r="F196" s="1"/>
      <c r="G196" s="1"/>
      <c r="H196" s="1"/>
      <c r="I196" s="1"/>
    </row>
    <row r="197" ht="15.75" customHeight="1">
      <c r="A197" s="1"/>
      <c r="B197" s="1"/>
      <c r="C197" s="1"/>
      <c r="D197" s="1"/>
      <c r="E197" s="1"/>
      <c r="F197" s="1"/>
      <c r="G197" s="1"/>
      <c r="H197" s="1"/>
      <c r="I197" s="1"/>
    </row>
    <row r="198" ht="15.75" customHeight="1">
      <c r="A198" s="1"/>
      <c r="B198" s="1"/>
      <c r="C198" s="1"/>
      <c r="D198" s="1"/>
      <c r="E198" s="1"/>
      <c r="F198" s="1"/>
      <c r="G198" s="1"/>
      <c r="H198" s="1"/>
      <c r="I198" s="1"/>
    </row>
    <row r="199" ht="15.75" customHeight="1">
      <c r="A199" s="1"/>
      <c r="B199" s="1"/>
      <c r="C199" s="1"/>
      <c r="D199" s="1"/>
      <c r="E199" s="1"/>
      <c r="F199" s="1"/>
      <c r="G199" s="1"/>
      <c r="H199" s="1"/>
      <c r="I199" s="1"/>
    </row>
    <row r="200" ht="15.75" customHeight="1">
      <c r="A200" s="1"/>
      <c r="B200" s="1"/>
      <c r="C200" s="1"/>
      <c r="D200" s="1"/>
      <c r="E200" s="1"/>
      <c r="F200" s="1"/>
      <c r="G200" s="1"/>
      <c r="H200" s="1"/>
      <c r="I200" s="1"/>
    </row>
    <row r="201" ht="15.75" customHeight="1">
      <c r="A201" s="1"/>
      <c r="B201" s="1"/>
      <c r="C201" s="1"/>
      <c r="D201" s="1"/>
      <c r="E201" s="1"/>
      <c r="F201" s="1"/>
      <c r="G201" s="1"/>
      <c r="H201" s="1"/>
      <c r="I201" s="1"/>
    </row>
    <row r="202" ht="15.75" customHeight="1">
      <c r="A202" s="1"/>
      <c r="B202" s="1"/>
      <c r="C202" s="1"/>
      <c r="D202" s="1"/>
      <c r="E202" s="1"/>
      <c r="F202" s="1"/>
      <c r="G202" s="1"/>
      <c r="H202" s="1"/>
      <c r="I202" s="1"/>
    </row>
    <row r="203" ht="15.75" customHeight="1">
      <c r="A203" s="1"/>
      <c r="B203" s="1"/>
      <c r="C203" s="1"/>
      <c r="D203" s="1"/>
      <c r="E203" s="1"/>
      <c r="F203" s="1"/>
      <c r="G203" s="1"/>
      <c r="H203" s="1"/>
      <c r="I203" s="1"/>
    </row>
    <row r="204" ht="15.75" customHeight="1">
      <c r="A204" s="1"/>
      <c r="B204" s="1"/>
      <c r="C204" s="1"/>
      <c r="D204" s="1"/>
      <c r="E204" s="1"/>
      <c r="F204" s="1"/>
      <c r="G204" s="1"/>
      <c r="H204" s="1"/>
      <c r="I204" s="1"/>
    </row>
    <row r="205" ht="15.75" customHeight="1">
      <c r="A205" s="1"/>
      <c r="B205" s="1"/>
      <c r="C205" s="1"/>
      <c r="D205" s="1"/>
      <c r="E205" s="1"/>
      <c r="F205" s="1"/>
      <c r="G205" s="1"/>
      <c r="H205" s="1"/>
      <c r="I205" s="1"/>
    </row>
    <row r="206" ht="15.75" customHeight="1">
      <c r="A206" s="1"/>
      <c r="B206" s="1"/>
      <c r="C206" s="1"/>
      <c r="D206" s="1"/>
      <c r="E206" s="1"/>
      <c r="F206" s="1"/>
      <c r="G206" s="1"/>
      <c r="H206" s="1"/>
      <c r="I206" s="1"/>
    </row>
    <row r="207" ht="15.75" customHeight="1">
      <c r="A207" s="1"/>
      <c r="B207" s="1"/>
      <c r="C207" s="1"/>
      <c r="D207" s="1"/>
      <c r="E207" s="1"/>
      <c r="F207" s="1"/>
      <c r="G207" s="1"/>
      <c r="H207" s="1"/>
      <c r="I207" s="1"/>
    </row>
    <row r="208" ht="15.75" customHeight="1">
      <c r="A208" s="1"/>
      <c r="B208" s="1"/>
      <c r="C208" s="1"/>
      <c r="D208" s="1"/>
      <c r="E208" s="1"/>
      <c r="F208" s="1"/>
      <c r="G208" s="1"/>
      <c r="H208" s="1"/>
      <c r="I208" s="1"/>
    </row>
    <row r="209" ht="15.75" customHeight="1">
      <c r="A209" s="1"/>
      <c r="B209" s="1"/>
      <c r="C209" s="1"/>
      <c r="D209" s="1"/>
      <c r="E209" s="1"/>
      <c r="F209" s="1"/>
      <c r="G209" s="1"/>
      <c r="H209" s="1"/>
      <c r="I209" s="1"/>
    </row>
    <row r="210" ht="15.75" customHeight="1">
      <c r="A210" s="1"/>
      <c r="B210" s="1"/>
      <c r="C210" s="1"/>
      <c r="D210" s="1"/>
      <c r="E210" s="1"/>
      <c r="F210" s="1"/>
      <c r="G210" s="1"/>
      <c r="H210" s="1"/>
      <c r="I210" s="1"/>
    </row>
    <row r="211" ht="15.75" customHeight="1">
      <c r="A211" s="1"/>
      <c r="B211" s="1"/>
      <c r="C211" s="1"/>
      <c r="D211" s="1"/>
      <c r="E211" s="1"/>
      <c r="F211" s="1"/>
      <c r="G211" s="1"/>
      <c r="H211" s="1"/>
      <c r="I211" s="1"/>
    </row>
    <row r="212" ht="15.75" customHeight="1">
      <c r="A212" s="1"/>
      <c r="B212" s="1"/>
      <c r="C212" s="1"/>
      <c r="D212" s="1"/>
      <c r="E212" s="1"/>
      <c r="F212" s="1"/>
      <c r="G212" s="1"/>
      <c r="H212" s="1"/>
      <c r="I212" s="1"/>
    </row>
    <row r="213" ht="15.75" customHeight="1">
      <c r="A213" s="1"/>
      <c r="B213" s="1"/>
      <c r="C213" s="1"/>
      <c r="D213" s="1"/>
      <c r="E213" s="1"/>
      <c r="F213" s="1"/>
      <c r="G213" s="1"/>
      <c r="H213" s="1"/>
      <c r="I213" s="1"/>
    </row>
    <row r="214" ht="15.75" customHeight="1">
      <c r="A214" s="1"/>
      <c r="B214" s="1"/>
      <c r="C214" s="1"/>
      <c r="D214" s="1"/>
      <c r="E214" s="1"/>
      <c r="F214" s="1"/>
      <c r="G214" s="1"/>
      <c r="H214" s="1"/>
      <c r="I214" s="1"/>
    </row>
    <row r="215" ht="15.75" customHeight="1">
      <c r="A215" s="1"/>
      <c r="B215" s="1"/>
      <c r="C215" s="1"/>
      <c r="D215" s="1"/>
      <c r="E215" s="1"/>
      <c r="F215" s="1"/>
      <c r="G215" s="1"/>
      <c r="H215" s="1"/>
      <c r="I215" s="1"/>
    </row>
    <row r="216" ht="15.75" customHeight="1">
      <c r="A216" s="1"/>
      <c r="B216" s="1"/>
      <c r="C216" s="1"/>
      <c r="D216" s="1"/>
      <c r="E216" s="1"/>
      <c r="F216" s="1"/>
      <c r="G216" s="1"/>
      <c r="H216" s="1"/>
      <c r="I216" s="1"/>
    </row>
    <row r="217" ht="15.75" customHeight="1">
      <c r="A217" s="1"/>
      <c r="B217" s="1"/>
      <c r="C217" s="1"/>
      <c r="D217" s="1"/>
      <c r="E217" s="1"/>
      <c r="F217" s="1"/>
      <c r="G217" s="1"/>
      <c r="H217" s="1"/>
      <c r="I217" s="1"/>
    </row>
    <row r="218" ht="15.75" customHeight="1">
      <c r="A218" s="1"/>
      <c r="B218" s="1"/>
      <c r="C218" s="1"/>
      <c r="D218" s="1"/>
      <c r="E218" s="1"/>
      <c r="F218" s="1"/>
      <c r="G218" s="1"/>
      <c r="H218" s="1"/>
      <c r="I218" s="1"/>
    </row>
    <row r="219" ht="15.75" customHeight="1">
      <c r="A219" s="1"/>
      <c r="B219" s="1"/>
      <c r="C219" s="1"/>
      <c r="D219" s="1"/>
      <c r="E219" s="1"/>
      <c r="F219" s="1"/>
      <c r="G219" s="1"/>
      <c r="H219" s="1"/>
      <c r="I219" s="1"/>
    </row>
    <row r="220" ht="15.75" customHeight="1">
      <c r="A220" s="1"/>
      <c r="B220" s="1"/>
      <c r="C220" s="1"/>
      <c r="D220" s="1"/>
      <c r="E220" s="1"/>
      <c r="F220" s="1"/>
      <c r="G220" s="1"/>
      <c r="H220" s="1"/>
      <c r="I220" s="1"/>
    </row>
    <row r="221" ht="15.75" customHeight="1">
      <c r="A221" s="1"/>
      <c r="B221" s="1"/>
      <c r="C221" s="1"/>
      <c r="D221" s="1"/>
      <c r="E221" s="1"/>
      <c r="F221" s="1"/>
      <c r="G221" s="1"/>
      <c r="H221" s="1"/>
      <c r="I221" s="1"/>
    </row>
    <row r="222" ht="15.75" customHeight="1">
      <c r="A222" s="1"/>
      <c r="B222" s="1"/>
      <c r="C222" s="1"/>
      <c r="D222" s="1"/>
      <c r="E222" s="1"/>
      <c r="F222" s="1"/>
      <c r="G222" s="1"/>
      <c r="H222" s="1"/>
      <c r="I222" s="1"/>
    </row>
    <row r="223" ht="15.75" customHeight="1">
      <c r="A223" s="1"/>
      <c r="B223" s="1"/>
      <c r="C223" s="1"/>
      <c r="D223" s="1"/>
      <c r="E223" s="1"/>
      <c r="F223" s="1"/>
      <c r="G223" s="1"/>
      <c r="H223" s="1"/>
      <c r="I223" s="1"/>
    </row>
    <row r="224" ht="15.75" customHeight="1">
      <c r="A224" s="1"/>
      <c r="B224" s="1"/>
      <c r="C224" s="1"/>
      <c r="D224" s="1"/>
      <c r="E224" s="1"/>
      <c r="F224" s="1"/>
      <c r="G224" s="1"/>
      <c r="H224" s="1"/>
      <c r="I224" s="1"/>
    </row>
    <row r="225" ht="15.75" customHeight="1">
      <c r="A225" s="1"/>
      <c r="B225" s="1"/>
      <c r="C225" s="1"/>
      <c r="D225" s="1"/>
      <c r="E225" s="1"/>
      <c r="F225" s="1"/>
      <c r="G225" s="1"/>
      <c r="H225" s="1"/>
      <c r="I225" s="1"/>
    </row>
    <row r="226" ht="15.75" customHeight="1">
      <c r="A226" s="1"/>
      <c r="B226" s="1"/>
      <c r="C226" s="1"/>
      <c r="D226" s="1"/>
      <c r="E226" s="1"/>
      <c r="F226" s="1"/>
      <c r="G226" s="1"/>
      <c r="H226" s="1"/>
      <c r="I226" s="1"/>
    </row>
    <row r="227" ht="15.75" customHeight="1">
      <c r="A227" s="1"/>
      <c r="B227" s="1"/>
      <c r="C227" s="1"/>
      <c r="D227" s="1"/>
      <c r="E227" s="1"/>
      <c r="F227" s="1"/>
      <c r="G227" s="1"/>
      <c r="H227" s="1"/>
      <c r="I227" s="1"/>
    </row>
    <row r="228" ht="15.75" customHeight="1">
      <c r="A228" s="1"/>
      <c r="B228" s="1"/>
      <c r="C228" s="1"/>
      <c r="D228" s="1"/>
      <c r="E228" s="1"/>
      <c r="F228" s="1"/>
      <c r="G228" s="1"/>
      <c r="H228" s="1"/>
      <c r="I228" s="1"/>
    </row>
    <row r="229" ht="15.75" customHeight="1">
      <c r="A229" s="1"/>
      <c r="B229" s="1"/>
      <c r="C229" s="1"/>
      <c r="D229" s="1"/>
      <c r="E229" s="1"/>
      <c r="F229" s="1"/>
      <c r="G229" s="1"/>
      <c r="H229" s="1"/>
      <c r="I229" s="1"/>
    </row>
    <row r="230" ht="15.75" customHeight="1">
      <c r="A230" s="1"/>
      <c r="B230" s="1"/>
      <c r="C230" s="1"/>
      <c r="D230" s="1"/>
      <c r="E230" s="1"/>
      <c r="F230" s="1"/>
      <c r="G230" s="1"/>
      <c r="H230" s="1"/>
      <c r="I230" s="1"/>
    </row>
    <row r="231" ht="15.75" customHeight="1">
      <c r="A231" s="1"/>
      <c r="B231" s="1"/>
      <c r="C231" s="1"/>
      <c r="D231" s="1"/>
      <c r="E231" s="1"/>
      <c r="F231" s="1"/>
      <c r="G231" s="1"/>
      <c r="H231" s="1"/>
      <c r="I231" s="1"/>
    </row>
    <row r="232" ht="15.75" customHeight="1">
      <c r="A232" s="1"/>
      <c r="B232" s="1"/>
      <c r="C232" s="1"/>
      <c r="D232" s="1"/>
      <c r="E232" s="1"/>
      <c r="F232" s="1"/>
      <c r="G232" s="1"/>
      <c r="H232" s="1"/>
      <c r="I232" s="1"/>
    </row>
    <row r="233" ht="15.75" customHeight="1">
      <c r="A233" s="1"/>
      <c r="B233" s="1"/>
      <c r="C233" s="1"/>
      <c r="D233" s="1"/>
      <c r="E233" s="1"/>
      <c r="F233" s="1"/>
      <c r="G233" s="1"/>
      <c r="H233" s="1"/>
      <c r="I233" s="1"/>
    </row>
    <row r="234" ht="15.75" customHeight="1">
      <c r="A234" s="1"/>
      <c r="B234" s="1"/>
      <c r="C234" s="1"/>
      <c r="D234" s="1"/>
      <c r="E234" s="1"/>
      <c r="F234" s="1"/>
      <c r="G234" s="1"/>
      <c r="H234" s="1"/>
      <c r="I234" s="1"/>
    </row>
    <row r="235" ht="15.75" customHeight="1">
      <c r="A235" s="1"/>
      <c r="B235" s="1"/>
      <c r="C235" s="1"/>
      <c r="D235" s="1"/>
      <c r="E235" s="1"/>
      <c r="F235" s="1"/>
      <c r="G235" s="1"/>
      <c r="H235" s="1"/>
      <c r="I235" s="1"/>
    </row>
    <row r="236" ht="15.75" customHeight="1">
      <c r="A236" s="1"/>
      <c r="B236" s="1"/>
      <c r="C236" s="1"/>
      <c r="D236" s="1"/>
      <c r="E236" s="1"/>
      <c r="F236" s="1"/>
      <c r="G236" s="1"/>
      <c r="H236" s="1"/>
      <c r="I236" s="1"/>
    </row>
    <row r="237" ht="15.75" customHeight="1">
      <c r="A237" s="1"/>
      <c r="B237" s="1"/>
      <c r="C237" s="1"/>
      <c r="D237" s="1"/>
      <c r="E237" s="1"/>
      <c r="F237" s="1"/>
      <c r="G237" s="1"/>
      <c r="H237" s="1"/>
      <c r="I237" s="1"/>
    </row>
    <row r="238" ht="15.75" customHeight="1">
      <c r="A238" s="1"/>
      <c r="B238" s="1"/>
      <c r="C238" s="1"/>
      <c r="D238" s="1"/>
      <c r="E238" s="1"/>
      <c r="F238" s="1"/>
      <c r="G238" s="1"/>
      <c r="H238" s="1"/>
      <c r="I238" s="1"/>
    </row>
    <row r="239" ht="15.75" customHeight="1">
      <c r="A239" s="1"/>
      <c r="B239" s="1"/>
      <c r="C239" s="1"/>
      <c r="D239" s="1"/>
      <c r="E239" s="1"/>
      <c r="F239" s="1"/>
      <c r="G239" s="1"/>
      <c r="H239" s="1"/>
      <c r="I239" s="1"/>
    </row>
    <row r="240" ht="15.75" customHeight="1">
      <c r="A240" s="1"/>
      <c r="B240" s="1"/>
      <c r="C240" s="1"/>
      <c r="D240" s="1"/>
      <c r="E240" s="1"/>
      <c r="F240" s="1"/>
      <c r="G240" s="1"/>
      <c r="H240" s="1"/>
      <c r="I240" s="1"/>
    </row>
    <row r="241" ht="15.75" customHeight="1">
      <c r="A241" s="1"/>
      <c r="B241" s="1"/>
      <c r="C241" s="1"/>
      <c r="D241" s="1"/>
      <c r="E241" s="1"/>
      <c r="F241" s="1"/>
      <c r="G241" s="1"/>
      <c r="H241" s="1"/>
      <c r="I241" s="1"/>
    </row>
    <row r="242" ht="15.75" customHeight="1">
      <c r="A242" s="1"/>
      <c r="B242" s="1"/>
      <c r="C242" s="1"/>
      <c r="D242" s="1"/>
      <c r="E242" s="1"/>
      <c r="F242" s="1"/>
      <c r="G242" s="1"/>
      <c r="H242" s="1"/>
      <c r="I242" s="1"/>
    </row>
    <row r="243" ht="15.75" customHeight="1">
      <c r="A243" s="1"/>
      <c r="B243" s="1"/>
      <c r="C243" s="1"/>
      <c r="D243" s="1"/>
      <c r="E243" s="1"/>
      <c r="F243" s="1"/>
      <c r="G243" s="1"/>
      <c r="H243" s="1"/>
      <c r="I243" s="1"/>
    </row>
    <row r="244" ht="15.75" customHeight="1">
      <c r="A244" s="1"/>
      <c r="B244" s="1"/>
      <c r="C244" s="1"/>
      <c r="D244" s="1"/>
      <c r="E244" s="1"/>
      <c r="F244" s="1"/>
      <c r="G244" s="1"/>
      <c r="H244" s="1"/>
      <c r="I244" s="1"/>
    </row>
    <row r="245" ht="15.75" customHeight="1">
      <c r="A245" s="1"/>
      <c r="B245" s="1"/>
      <c r="C245" s="1"/>
      <c r="D245" s="1"/>
      <c r="E245" s="1"/>
      <c r="F245" s="1"/>
      <c r="G245" s="1"/>
      <c r="H245" s="1"/>
      <c r="I245" s="1"/>
    </row>
    <row r="246" ht="15.75" customHeight="1">
      <c r="A246" s="1"/>
      <c r="B246" s="1"/>
      <c r="C246" s="1"/>
      <c r="D246" s="1"/>
      <c r="E246" s="1"/>
      <c r="F246" s="1"/>
      <c r="G246" s="1"/>
      <c r="H246" s="1"/>
      <c r="I246" s="1"/>
    </row>
    <row r="247" ht="15.75" customHeight="1">
      <c r="A247" s="1"/>
      <c r="B247" s="1"/>
      <c r="C247" s="1"/>
      <c r="D247" s="1"/>
      <c r="E247" s="1"/>
      <c r="F247" s="1"/>
      <c r="G247" s="1"/>
      <c r="H247" s="1"/>
      <c r="I247" s="1"/>
    </row>
    <row r="248" ht="15.75" customHeight="1">
      <c r="A248" s="1"/>
      <c r="B248" s="1"/>
      <c r="C248" s="1"/>
      <c r="D248" s="1"/>
      <c r="E248" s="1"/>
      <c r="F248" s="1"/>
      <c r="G248" s="1"/>
      <c r="H248" s="1"/>
      <c r="I248" s="1"/>
    </row>
    <row r="249" ht="15.75" customHeight="1">
      <c r="A249" s="1"/>
      <c r="B249" s="1"/>
      <c r="C249" s="1"/>
      <c r="D249" s="1"/>
      <c r="E249" s="1"/>
      <c r="F249" s="1"/>
      <c r="G249" s="1"/>
      <c r="H249" s="1"/>
      <c r="I249" s="1"/>
    </row>
    <row r="250" ht="15.75" customHeight="1">
      <c r="A250" s="1"/>
      <c r="B250" s="1"/>
      <c r="C250" s="1"/>
      <c r="D250" s="1"/>
      <c r="E250" s="1"/>
      <c r="F250" s="1"/>
      <c r="G250" s="1"/>
      <c r="H250" s="1"/>
      <c r="I250" s="1"/>
    </row>
    <row r="251" ht="15.75" customHeight="1">
      <c r="A251" s="1"/>
      <c r="B251" s="1"/>
      <c r="C251" s="1"/>
      <c r="D251" s="1"/>
      <c r="E251" s="1"/>
      <c r="F251" s="1"/>
      <c r="G251" s="1"/>
      <c r="H251" s="1"/>
      <c r="I251" s="1"/>
    </row>
    <row r="252" ht="15.75" customHeight="1">
      <c r="A252" s="1"/>
      <c r="B252" s="1"/>
      <c r="C252" s="1"/>
      <c r="D252" s="1"/>
      <c r="E252" s="1"/>
      <c r="F252" s="1"/>
      <c r="G252" s="1"/>
      <c r="H252" s="1"/>
      <c r="I252" s="1"/>
    </row>
    <row r="253" ht="15.75" customHeight="1">
      <c r="A253" s="1"/>
      <c r="B253" s="1"/>
      <c r="C253" s="1"/>
      <c r="D253" s="1"/>
      <c r="E253" s="1"/>
      <c r="F253" s="1"/>
      <c r="G253" s="1"/>
      <c r="H253" s="1"/>
      <c r="I253" s="1"/>
    </row>
    <row r="254" ht="15.75" customHeight="1">
      <c r="A254" s="1"/>
      <c r="B254" s="1"/>
      <c r="C254" s="1"/>
      <c r="D254" s="1"/>
      <c r="E254" s="1"/>
      <c r="F254" s="1"/>
      <c r="G254" s="1"/>
      <c r="H254" s="1"/>
      <c r="I254" s="1"/>
    </row>
    <row r="255" ht="15.75" customHeight="1">
      <c r="A255" s="1"/>
      <c r="B255" s="1"/>
      <c r="C255" s="1"/>
      <c r="D255" s="1"/>
      <c r="E255" s="1"/>
      <c r="F255" s="1"/>
      <c r="G255" s="1"/>
      <c r="H255" s="1"/>
      <c r="I255" s="1"/>
    </row>
    <row r="256" ht="15.75" customHeight="1">
      <c r="A256" s="1"/>
      <c r="B256" s="1"/>
      <c r="C256" s="1"/>
      <c r="D256" s="1"/>
      <c r="E256" s="1"/>
      <c r="F256" s="1"/>
      <c r="G256" s="1"/>
      <c r="H256" s="1"/>
      <c r="I256" s="1"/>
    </row>
    <row r="257" ht="15.75" customHeight="1">
      <c r="A257" s="1"/>
      <c r="B257" s="1"/>
      <c r="C257" s="1"/>
      <c r="D257" s="1"/>
      <c r="E257" s="1"/>
      <c r="F257" s="1"/>
      <c r="G257" s="1"/>
      <c r="H257" s="1"/>
      <c r="I257" s="1"/>
    </row>
    <row r="258" ht="15.75" customHeight="1">
      <c r="A258" s="1"/>
      <c r="B258" s="1"/>
      <c r="C258" s="1"/>
      <c r="D258" s="1"/>
      <c r="E258" s="1"/>
      <c r="F258" s="1"/>
      <c r="G258" s="1"/>
      <c r="H258" s="1"/>
      <c r="I258" s="1"/>
    </row>
    <row r="259" ht="15.75" customHeight="1">
      <c r="A259" s="1"/>
      <c r="B259" s="1"/>
      <c r="C259" s="1"/>
      <c r="D259" s="1"/>
      <c r="E259" s="1"/>
      <c r="F259" s="1"/>
      <c r="G259" s="1"/>
      <c r="H259" s="1"/>
      <c r="I259" s="1"/>
    </row>
    <row r="260" ht="15.75" customHeight="1">
      <c r="A260" s="1"/>
      <c r="B260" s="1"/>
      <c r="C260" s="1"/>
      <c r="D260" s="1"/>
      <c r="E260" s="1"/>
      <c r="F260" s="1"/>
      <c r="G260" s="1"/>
      <c r="H260" s="1"/>
      <c r="I260" s="1"/>
    </row>
    <row r="261" ht="15.75" customHeight="1">
      <c r="A261" s="1"/>
      <c r="B261" s="1"/>
      <c r="C261" s="1"/>
      <c r="D261" s="1"/>
      <c r="E261" s="1"/>
      <c r="F261" s="1"/>
      <c r="G261" s="1"/>
      <c r="H261" s="1"/>
      <c r="I261" s="1"/>
    </row>
    <row r="262" ht="15.75" customHeight="1">
      <c r="A262" s="1"/>
      <c r="B262" s="1"/>
      <c r="C262" s="1"/>
      <c r="D262" s="1"/>
      <c r="E262" s="1"/>
      <c r="F262" s="1"/>
      <c r="G262" s="1"/>
      <c r="H262" s="1"/>
      <c r="I262" s="1"/>
    </row>
    <row r="263" ht="15.75" customHeight="1">
      <c r="A263" s="1"/>
      <c r="B263" s="1"/>
      <c r="C263" s="1"/>
      <c r="D263" s="1"/>
      <c r="E263" s="1"/>
      <c r="F263" s="1"/>
      <c r="G263" s="1"/>
      <c r="H263" s="1"/>
      <c r="I263" s="1"/>
    </row>
    <row r="264" ht="15.75" customHeight="1">
      <c r="A264" s="1"/>
      <c r="B264" s="1"/>
      <c r="C264" s="1"/>
      <c r="D264" s="1"/>
      <c r="E264" s="1"/>
      <c r="F264" s="1"/>
      <c r="G264" s="1"/>
      <c r="H264" s="1"/>
      <c r="I264" s="1"/>
    </row>
    <row r="265" ht="15.75" customHeight="1">
      <c r="A265" s="1"/>
      <c r="B265" s="1"/>
      <c r="C265" s="1"/>
      <c r="D265" s="1"/>
      <c r="E265" s="1"/>
      <c r="F265" s="1"/>
      <c r="G265" s="1"/>
      <c r="H265" s="1"/>
      <c r="I265" s="1"/>
    </row>
    <row r="266" ht="15.75" customHeight="1">
      <c r="A266" s="1"/>
      <c r="B266" s="1"/>
      <c r="C266" s="1"/>
      <c r="D266" s="1"/>
      <c r="E266" s="1"/>
      <c r="F266" s="1"/>
      <c r="G266" s="1"/>
      <c r="H266" s="1"/>
      <c r="I266" s="1"/>
    </row>
    <row r="267" ht="15.75" customHeight="1">
      <c r="A267" s="1"/>
      <c r="B267" s="1"/>
      <c r="C267" s="1"/>
      <c r="D267" s="1"/>
      <c r="E267" s="1"/>
      <c r="F267" s="1"/>
      <c r="G267" s="1"/>
      <c r="H267" s="1"/>
      <c r="I267" s="1"/>
    </row>
    <row r="268" ht="15.75" customHeight="1">
      <c r="A268" s="1"/>
      <c r="B268" s="1"/>
      <c r="C268" s="1"/>
      <c r="D268" s="1"/>
      <c r="E268" s="1"/>
      <c r="F268" s="1"/>
      <c r="G268" s="1"/>
      <c r="H268" s="1"/>
      <c r="I268" s="1"/>
    </row>
    <row r="269" ht="15.75" customHeight="1">
      <c r="A269" s="1"/>
      <c r="B269" s="1"/>
      <c r="C269" s="1"/>
      <c r="D269" s="1"/>
      <c r="E269" s="1"/>
      <c r="F269" s="1"/>
      <c r="G269" s="1"/>
      <c r="H269" s="1"/>
      <c r="I269" s="1"/>
    </row>
    <row r="270" ht="15.75" customHeight="1">
      <c r="A270" s="1"/>
      <c r="B270" s="1"/>
      <c r="C270" s="1"/>
      <c r="D270" s="1"/>
      <c r="E270" s="1"/>
      <c r="F270" s="1"/>
      <c r="G270" s="1"/>
      <c r="H270" s="1"/>
      <c r="I270" s="1"/>
    </row>
    <row r="271" ht="15.75" customHeight="1">
      <c r="A271" s="1"/>
      <c r="B271" s="1"/>
      <c r="C271" s="1"/>
      <c r="D271" s="1"/>
      <c r="E271" s="1"/>
      <c r="F271" s="1"/>
      <c r="G271" s="1"/>
      <c r="H271" s="1"/>
      <c r="I271" s="1"/>
    </row>
    <row r="272" ht="15.75" customHeight="1">
      <c r="A272" s="1"/>
      <c r="B272" s="1"/>
      <c r="C272" s="1"/>
      <c r="D272" s="1"/>
      <c r="E272" s="1"/>
      <c r="F272" s="1"/>
      <c r="G272" s="1"/>
      <c r="H272" s="1"/>
      <c r="I272" s="1"/>
    </row>
    <row r="273" ht="15.75" customHeight="1">
      <c r="A273" s="1"/>
      <c r="B273" s="1"/>
      <c r="C273" s="1"/>
      <c r="D273" s="1"/>
      <c r="E273" s="1"/>
      <c r="F273" s="1"/>
      <c r="G273" s="1"/>
      <c r="H273" s="1"/>
      <c r="I273" s="1"/>
    </row>
    <row r="274" ht="15.75" customHeight="1">
      <c r="A274" s="1"/>
      <c r="B274" s="1"/>
      <c r="C274" s="1"/>
      <c r="D274" s="1"/>
      <c r="E274" s="1"/>
      <c r="F274" s="1"/>
      <c r="G274" s="1"/>
      <c r="H274" s="1"/>
      <c r="I274" s="1"/>
    </row>
    <row r="275" ht="15.75" customHeight="1">
      <c r="A275" s="1"/>
      <c r="B275" s="1"/>
      <c r="C275" s="1"/>
      <c r="D275" s="1"/>
      <c r="E275" s="1"/>
      <c r="F275" s="1"/>
      <c r="G275" s="1"/>
      <c r="H275" s="1"/>
      <c r="I275" s="1"/>
    </row>
    <row r="276" ht="15.75" customHeight="1">
      <c r="A276" s="1"/>
      <c r="B276" s="1"/>
      <c r="C276" s="1"/>
      <c r="D276" s="1"/>
      <c r="E276" s="1"/>
      <c r="F276" s="1"/>
      <c r="G276" s="1"/>
      <c r="H276" s="1"/>
      <c r="I276" s="1"/>
    </row>
    <row r="277" ht="15.75" customHeight="1">
      <c r="A277" s="1"/>
      <c r="B277" s="1"/>
      <c r="C277" s="1"/>
      <c r="D277" s="1"/>
      <c r="E277" s="1"/>
      <c r="F277" s="1"/>
      <c r="G277" s="1"/>
      <c r="H277" s="1"/>
      <c r="I277" s="1"/>
    </row>
    <row r="278" ht="15.75" customHeight="1">
      <c r="A278" s="1"/>
      <c r="B278" s="1"/>
      <c r="C278" s="1"/>
      <c r="D278" s="1"/>
      <c r="E278" s="1"/>
      <c r="F278" s="1"/>
      <c r="G278" s="1"/>
      <c r="H278" s="1"/>
      <c r="I278" s="1"/>
    </row>
    <row r="279" ht="15.75" customHeight="1">
      <c r="A279" s="1"/>
      <c r="B279" s="1"/>
      <c r="C279" s="1"/>
      <c r="D279" s="1"/>
      <c r="E279" s="1"/>
      <c r="F279" s="1"/>
      <c r="G279" s="1"/>
      <c r="H279" s="1"/>
      <c r="I279" s="1"/>
    </row>
    <row r="280" ht="15.75" customHeight="1">
      <c r="A280" s="1"/>
      <c r="B280" s="1"/>
      <c r="C280" s="1"/>
      <c r="D280" s="1"/>
      <c r="E280" s="1"/>
      <c r="F280" s="1"/>
      <c r="G280" s="1"/>
      <c r="H280" s="1"/>
      <c r="I280" s="1"/>
    </row>
    <row r="281" ht="15.75" customHeight="1">
      <c r="A281" s="1"/>
      <c r="B281" s="1"/>
      <c r="C281" s="1"/>
      <c r="D281" s="1"/>
      <c r="E281" s="1"/>
      <c r="F281" s="1"/>
      <c r="G281" s="1"/>
      <c r="H281" s="1"/>
      <c r="I281" s="1"/>
    </row>
    <row r="282" ht="15.75" customHeight="1">
      <c r="A282" s="1"/>
      <c r="B282" s="1"/>
      <c r="C282" s="1"/>
      <c r="D282" s="1"/>
      <c r="E282" s="1"/>
      <c r="F282" s="1"/>
      <c r="G282" s="1"/>
      <c r="H282" s="1"/>
      <c r="I282" s="1"/>
    </row>
    <row r="283" ht="15.75" customHeight="1">
      <c r="A283" s="1"/>
      <c r="B283" s="1"/>
      <c r="C283" s="1"/>
      <c r="D283" s="1"/>
      <c r="E283" s="1"/>
      <c r="F283" s="1"/>
      <c r="G283" s="1"/>
      <c r="H283" s="1"/>
      <c r="I283" s="1"/>
    </row>
    <row r="284" ht="15.75" customHeight="1">
      <c r="A284" s="1"/>
      <c r="B284" s="1"/>
      <c r="C284" s="1"/>
      <c r="D284" s="1"/>
      <c r="E284" s="1"/>
      <c r="F284" s="1"/>
      <c r="G284" s="1"/>
      <c r="H284" s="1"/>
      <c r="I284" s="1"/>
    </row>
    <row r="285" ht="15.75" customHeight="1">
      <c r="A285" s="1"/>
      <c r="B285" s="1"/>
      <c r="C285" s="1"/>
      <c r="D285" s="1"/>
      <c r="E285" s="1"/>
      <c r="F285" s="1"/>
      <c r="G285" s="1"/>
      <c r="H285" s="1"/>
      <c r="I285" s="1"/>
    </row>
    <row r="286" ht="15.75" customHeight="1">
      <c r="A286" s="1"/>
      <c r="B286" s="1"/>
      <c r="C286" s="1"/>
      <c r="D286" s="1"/>
      <c r="E286" s="1"/>
      <c r="F286" s="1"/>
      <c r="G286" s="1"/>
      <c r="H286" s="1"/>
      <c r="I286" s="1"/>
    </row>
    <row r="287" ht="15.75" customHeight="1">
      <c r="A287" s="1"/>
      <c r="B287" s="1"/>
      <c r="C287" s="1"/>
      <c r="D287" s="1"/>
      <c r="E287" s="1"/>
      <c r="F287" s="1"/>
      <c r="G287" s="1"/>
      <c r="H287" s="1"/>
      <c r="I287" s="1"/>
    </row>
    <row r="288" ht="15.75" customHeight="1">
      <c r="A288" s="1"/>
      <c r="B288" s="1"/>
      <c r="C288" s="1"/>
      <c r="D288" s="1"/>
      <c r="E288" s="1"/>
      <c r="F288" s="1"/>
      <c r="G288" s="1"/>
      <c r="H288" s="1"/>
      <c r="I288" s="1"/>
    </row>
    <row r="289" ht="15.75" customHeight="1">
      <c r="A289" s="1"/>
      <c r="B289" s="1"/>
      <c r="C289" s="1"/>
      <c r="D289" s="1"/>
      <c r="E289" s="1"/>
      <c r="F289" s="1"/>
      <c r="G289" s="1"/>
      <c r="H289" s="1"/>
      <c r="I289" s="1"/>
    </row>
    <row r="290" ht="15.75" customHeight="1">
      <c r="A290" s="1"/>
      <c r="B290" s="1"/>
      <c r="C290" s="1"/>
      <c r="D290" s="1"/>
      <c r="E290" s="1"/>
      <c r="F290" s="1"/>
      <c r="G290" s="1"/>
      <c r="H290" s="1"/>
      <c r="I290" s="1"/>
    </row>
    <row r="291" ht="15.75" customHeight="1">
      <c r="A291" s="1"/>
      <c r="B291" s="1"/>
      <c r="C291" s="1"/>
      <c r="D291" s="1"/>
      <c r="E291" s="1"/>
      <c r="F291" s="1"/>
      <c r="G291" s="1"/>
      <c r="H291" s="1"/>
      <c r="I291" s="1"/>
    </row>
    <row r="292" ht="15.75" customHeight="1">
      <c r="A292" s="1"/>
      <c r="B292" s="1"/>
      <c r="C292" s="1"/>
      <c r="D292" s="1"/>
      <c r="E292" s="1"/>
      <c r="F292" s="1"/>
      <c r="G292" s="1"/>
      <c r="H292" s="1"/>
      <c r="I292" s="1"/>
    </row>
    <row r="293" ht="15.75" customHeight="1">
      <c r="A293" s="1"/>
      <c r="B293" s="1"/>
      <c r="C293" s="1"/>
      <c r="D293" s="1"/>
      <c r="E293" s="1"/>
      <c r="F293" s="1"/>
      <c r="G293" s="1"/>
      <c r="H293" s="1"/>
      <c r="I293" s="1"/>
    </row>
    <row r="294" ht="15.75" customHeight="1">
      <c r="A294" s="1"/>
      <c r="B294" s="1"/>
      <c r="C294" s="1"/>
      <c r="D294" s="1"/>
      <c r="E294" s="1"/>
      <c r="F294" s="1"/>
      <c r="G294" s="1"/>
      <c r="H294" s="1"/>
      <c r="I294" s="1"/>
    </row>
    <row r="295" ht="15.75" customHeight="1">
      <c r="A295" s="1"/>
      <c r="B295" s="1"/>
      <c r="C295" s="1"/>
      <c r="D295" s="1"/>
      <c r="E295" s="1"/>
      <c r="F295" s="1"/>
      <c r="G295" s="1"/>
      <c r="H295" s="1"/>
      <c r="I295" s="1"/>
    </row>
    <row r="296" ht="15.75" customHeight="1">
      <c r="A296" s="1"/>
      <c r="B296" s="1"/>
      <c r="C296" s="1"/>
      <c r="D296" s="1"/>
      <c r="E296" s="1"/>
      <c r="F296" s="1"/>
      <c r="G296" s="1"/>
      <c r="H296" s="1"/>
      <c r="I296" s="1"/>
    </row>
    <row r="297" ht="15.75" customHeight="1">
      <c r="A297" s="1"/>
      <c r="B297" s="1"/>
      <c r="C297" s="1"/>
      <c r="D297" s="1"/>
      <c r="E297" s="1"/>
      <c r="F297" s="1"/>
      <c r="G297" s="1"/>
      <c r="H297" s="1"/>
      <c r="I297" s="1"/>
    </row>
    <row r="298" ht="15.75" customHeight="1">
      <c r="A298" s="1"/>
      <c r="B298" s="1"/>
      <c r="C298" s="1"/>
      <c r="D298" s="1"/>
      <c r="E298" s="1"/>
      <c r="F298" s="1"/>
      <c r="G298" s="1"/>
      <c r="H298" s="1"/>
      <c r="I298" s="1"/>
    </row>
    <row r="299" ht="15.75" customHeight="1">
      <c r="A299" s="1"/>
      <c r="B299" s="1"/>
      <c r="C299" s="1"/>
      <c r="D299" s="1"/>
      <c r="E299" s="1"/>
      <c r="F299" s="1"/>
      <c r="G299" s="1"/>
      <c r="H299" s="1"/>
      <c r="I299" s="1"/>
    </row>
    <row r="300" ht="15.75" customHeight="1">
      <c r="A300" s="1"/>
      <c r="B300" s="1"/>
      <c r="C300" s="1"/>
      <c r="D300" s="1"/>
      <c r="E300" s="1"/>
      <c r="F300" s="1"/>
      <c r="G300" s="1"/>
      <c r="H300" s="1"/>
      <c r="I300" s="1"/>
    </row>
    <row r="301" ht="15.75" customHeight="1">
      <c r="A301" s="1"/>
      <c r="B301" s="1"/>
      <c r="C301" s="1"/>
      <c r="D301" s="1"/>
      <c r="E301" s="1"/>
      <c r="F301" s="1"/>
      <c r="G301" s="1"/>
      <c r="H301" s="1"/>
      <c r="I301" s="1"/>
    </row>
    <row r="302" ht="15.75" customHeight="1">
      <c r="A302" s="1"/>
      <c r="B302" s="1"/>
      <c r="C302" s="1"/>
      <c r="D302" s="1"/>
      <c r="E302" s="1"/>
      <c r="F302" s="1"/>
      <c r="G302" s="1"/>
      <c r="H302" s="1"/>
      <c r="I302" s="1"/>
    </row>
    <row r="303" ht="15.75" customHeight="1">
      <c r="A303" s="1"/>
      <c r="B303" s="1"/>
      <c r="C303" s="1"/>
      <c r="D303" s="1"/>
      <c r="E303" s="1"/>
      <c r="F303" s="1"/>
      <c r="G303" s="1"/>
      <c r="H303" s="1"/>
      <c r="I303" s="1"/>
    </row>
    <row r="304" ht="15.75" customHeight="1">
      <c r="A304" s="1"/>
      <c r="B304" s="1"/>
      <c r="C304" s="1"/>
      <c r="D304" s="1"/>
      <c r="E304" s="1"/>
      <c r="F304" s="1"/>
      <c r="G304" s="1"/>
      <c r="H304" s="1"/>
      <c r="I304" s="1"/>
    </row>
    <row r="305" ht="15.75" customHeight="1">
      <c r="A305" s="1"/>
      <c r="B305" s="1"/>
      <c r="C305" s="1"/>
      <c r="D305" s="1"/>
      <c r="E305" s="1"/>
      <c r="F305" s="1"/>
      <c r="G305" s="1"/>
      <c r="H305" s="1"/>
      <c r="I305" s="1"/>
    </row>
    <row r="306" ht="15.75" customHeight="1">
      <c r="A306" s="1"/>
      <c r="B306" s="1"/>
      <c r="C306" s="1"/>
      <c r="D306" s="1"/>
      <c r="E306" s="1"/>
      <c r="F306" s="1"/>
      <c r="G306" s="1"/>
      <c r="H306" s="1"/>
      <c r="I306" s="1"/>
    </row>
    <row r="307" ht="15.75" customHeight="1">
      <c r="A307" s="1"/>
      <c r="B307" s="1"/>
      <c r="C307" s="1"/>
      <c r="D307" s="1"/>
      <c r="E307" s="1"/>
      <c r="F307" s="1"/>
      <c r="G307" s="1"/>
      <c r="H307" s="1"/>
      <c r="I307" s="1"/>
    </row>
    <row r="308" ht="15.75" customHeight="1">
      <c r="A308" s="1"/>
      <c r="B308" s="1"/>
      <c r="C308" s="1"/>
      <c r="D308" s="1"/>
      <c r="E308" s="1"/>
      <c r="F308" s="1"/>
      <c r="G308" s="1"/>
      <c r="H308" s="1"/>
      <c r="I308" s="1"/>
    </row>
    <row r="309" ht="15.75" customHeight="1">
      <c r="A309" s="1"/>
      <c r="B309" s="1"/>
      <c r="C309" s="1"/>
      <c r="D309" s="1"/>
      <c r="E309" s="1"/>
      <c r="F309" s="1"/>
      <c r="G309" s="1"/>
      <c r="H309" s="1"/>
      <c r="I309" s="1"/>
    </row>
    <row r="310" ht="15.75" customHeight="1">
      <c r="A310" s="1"/>
      <c r="B310" s="1"/>
      <c r="C310" s="1"/>
      <c r="D310" s="1"/>
      <c r="E310" s="1"/>
      <c r="F310" s="1"/>
      <c r="G310" s="1"/>
      <c r="H310" s="1"/>
      <c r="I310" s="1"/>
    </row>
    <row r="311" ht="15.75" customHeight="1">
      <c r="A311" s="1"/>
      <c r="B311" s="1"/>
      <c r="C311" s="1"/>
      <c r="D311" s="1"/>
      <c r="E311" s="1"/>
      <c r="F311" s="1"/>
      <c r="G311" s="1"/>
      <c r="H311" s="1"/>
      <c r="I311" s="1"/>
    </row>
    <row r="312" ht="15.75" customHeight="1">
      <c r="A312" s="1"/>
      <c r="B312" s="1"/>
      <c r="C312" s="1"/>
      <c r="D312" s="1"/>
      <c r="E312" s="1"/>
      <c r="F312" s="1"/>
      <c r="G312" s="1"/>
      <c r="H312" s="1"/>
      <c r="I312" s="1"/>
    </row>
    <row r="313" ht="15.75" customHeight="1">
      <c r="A313" s="1"/>
      <c r="B313" s="1"/>
      <c r="C313" s="1"/>
      <c r="D313" s="1"/>
      <c r="E313" s="1"/>
      <c r="F313" s="1"/>
      <c r="G313" s="1"/>
      <c r="H313" s="1"/>
      <c r="I313" s="1"/>
    </row>
    <row r="314" ht="15.75" customHeight="1">
      <c r="A314" s="1"/>
      <c r="B314" s="1"/>
      <c r="C314" s="1"/>
      <c r="D314" s="1"/>
      <c r="E314" s="1"/>
      <c r="F314" s="1"/>
      <c r="G314" s="1"/>
      <c r="H314" s="1"/>
      <c r="I314" s="1"/>
    </row>
    <row r="315" ht="15.75" customHeight="1">
      <c r="A315" s="1"/>
      <c r="B315" s="1"/>
      <c r="C315" s="1"/>
      <c r="D315" s="1"/>
      <c r="E315" s="1"/>
      <c r="F315" s="1"/>
      <c r="G315" s="1"/>
      <c r="H315" s="1"/>
      <c r="I315" s="1"/>
    </row>
    <row r="316" ht="15.75" customHeight="1">
      <c r="A316" s="1"/>
      <c r="B316" s="1"/>
      <c r="C316" s="1"/>
      <c r="D316" s="1"/>
      <c r="E316" s="1"/>
      <c r="F316" s="1"/>
      <c r="G316" s="1"/>
      <c r="H316" s="1"/>
      <c r="I316" s="1"/>
    </row>
    <row r="317" ht="15.75" customHeight="1">
      <c r="A317" s="1"/>
      <c r="B317" s="1"/>
      <c r="C317" s="1"/>
      <c r="D317" s="1"/>
      <c r="E317" s="1"/>
      <c r="F317" s="1"/>
      <c r="G317" s="1"/>
      <c r="H317" s="1"/>
      <c r="I317" s="1"/>
    </row>
    <row r="318" ht="15.75" customHeight="1">
      <c r="A318" s="1"/>
      <c r="B318" s="1"/>
      <c r="C318" s="1"/>
      <c r="D318" s="1"/>
      <c r="E318" s="1"/>
      <c r="F318" s="1"/>
      <c r="G318" s="1"/>
      <c r="H318" s="1"/>
      <c r="I318" s="1"/>
    </row>
    <row r="319" ht="15.75" customHeight="1">
      <c r="A319" s="1"/>
      <c r="B319" s="1"/>
      <c r="C319" s="1"/>
      <c r="D319" s="1"/>
      <c r="E319" s="1"/>
      <c r="F319" s="1"/>
      <c r="G319" s="1"/>
      <c r="H319" s="1"/>
      <c r="I319" s="1"/>
    </row>
    <row r="320" ht="15.75" customHeight="1">
      <c r="A320" s="1"/>
      <c r="B320" s="1"/>
      <c r="C320" s="1"/>
      <c r="D320" s="1"/>
      <c r="E320" s="1"/>
      <c r="F320" s="1"/>
      <c r="G320" s="1"/>
      <c r="H320" s="1"/>
      <c r="I320" s="1"/>
    </row>
    <row r="321" ht="15.75" customHeight="1">
      <c r="A321" s="1"/>
      <c r="B321" s="1"/>
      <c r="C321" s="1"/>
      <c r="D321" s="1"/>
      <c r="E321" s="1"/>
      <c r="F321" s="1"/>
      <c r="G321" s="1"/>
      <c r="H321" s="1"/>
      <c r="I321" s="1"/>
    </row>
    <row r="322" ht="15.75" customHeight="1">
      <c r="A322" s="1"/>
      <c r="B322" s="1"/>
      <c r="C322" s="1"/>
      <c r="D322" s="1"/>
      <c r="E322" s="1"/>
      <c r="F322" s="1"/>
      <c r="G322" s="1"/>
      <c r="H322" s="1"/>
      <c r="I322" s="1"/>
    </row>
    <row r="323" ht="15.75" customHeight="1">
      <c r="A323" s="1"/>
      <c r="B323" s="1"/>
      <c r="C323" s="1"/>
      <c r="D323" s="1"/>
      <c r="E323" s="1"/>
      <c r="F323" s="1"/>
      <c r="G323" s="1"/>
      <c r="H323" s="1"/>
      <c r="I323" s="1"/>
    </row>
    <row r="324" ht="15.75" customHeight="1">
      <c r="A324" s="1"/>
      <c r="B324" s="1"/>
      <c r="C324" s="1"/>
      <c r="D324" s="1"/>
      <c r="E324" s="1"/>
      <c r="F324" s="1"/>
      <c r="G324" s="1"/>
      <c r="H324" s="1"/>
      <c r="I324" s="1"/>
    </row>
    <row r="325" ht="15.75" customHeight="1">
      <c r="A325" s="1"/>
      <c r="B325" s="1"/>
      <c r="C325" s="1"/>
      <c r="D325" s="1"/>
      <c r="E325" s="1"/>
      <c r="F325" s="1"/>
      <c r="G325" s="1"/>
      <c r="H325" s="1"/>
      <c r="I325" s="1"/>
    </row>
    <row r="326" ht="15.75" customHeight="1">
      <c r="A326" s="1"/>
      <c r="B326" s="1"/>
      <c r="C326" s="1"/>
      <c r="D326" s="1"/>
      <c r="E326" s="1"/>
      <c r="F326" s="1"/>
      <c r="G326" s="1"/>
      <c r="H326" s="1"/>
      <c r="I326" s="1"/>
    </row>
    <row r="327" ht="15.75" customHeight="1">
      <c r="A327" s="1"/>
      <c r="B327" s="1"/>
      <c r="C327" s="1"/>
      <c r="D327" s="1"/>
      <c r="E327" s="1"/>
      <c r="F327" s="1"/>
      <c r="G327" s="1"/>
      <c r="H327" s="1"/>
      <c r="I327" s="1"/>
    </row>
    <row r="328" ht="15.75" customHeight="1">
      <c r="A328" s="1"/>
      <c r="B328" s="1"/>
      <c r="C328" s="1"/>
      <c r="D328" s="1"/>
      <c r="E328" s="1"/>
      <c r="F328" s="1"/>
      <c r="G328" s="1"/>
      <c r="H328" s="1"/>
      <c r="I328" s="1"/>
    </row>
    <row r="329" ht="15.75" customHeight="1">
      <c r="A329" s="1"/>
      <c r="B329" s="1"/>
      <c r="C329" s="1"/>
      <c r="D329" s="1"/>
      <c r="E329" s="1"/>
      <c r="F329" s="1"/>
      <c r="G329" s="1"/>
      <c r="H329" s="1"/>
      <c r="I329" s="1"/>
    </row>
    <row r="330" ht="15.75" customHeight="1">
      <c r="A330" s="1"/>
      <c r="B330" s="1"/>
      <c r="C330" s="1"/>
      <c r="D330" s="1"/>
      <c r="E330" s="1"/>
      <c r="F330" s="1"/>
      <c r="G330" s="1"/>
      <c r="H330" s="1"/>
      <c r="I330" s="1"/>
    </row>
    <row r="331" ht="15.75" customHeight="1">
      <c r="A331" s="1"/>
      <c r="B331" s="1"/>
      <c r="C331" s="1"/>
      <c r="D331" s="1"/>
      <c r="E331" s="1"/>
      <c r="F331" s="1"/>
      <c r="G331" s="1"/>
      <c r="H331" s="1"/>
      <c r="I331" s="1"/>
    </row>
    <row r="332" ht="15.75" customHeight="1">
      <c r="A332" s="1"/>
      <c r="B332" s="1"/>
      <c r="C332" s="1"/>
      <c r="D332" s="1"/>
      <c r="E332" s="1"/>
      <c r="F332" s="1"/>
      <c r="G332" s="1"/>
      <c r="H332" s="1"/>
      <c r="I332" s="1"/>
    </row>
    <row r="333" ht="15.75" customHeight="1">
      <c r="A333" s="1"/>
      <c r="B333" s="1"/>
      <c r="C333" s="1"/>
      <c r="D333" s="1"/>
      <c r="E333" s="1"/>
      <c r="F333" s="1"/>
      <c r="G333" s="1"/>
      <c r="H333" s="1"/>
      <c r="I333" s="1"/>
    </row>
    <row r="334" ht="15.75" customHeight="1">
      <c r="A334" s="1"/>
      <c r="B334" s="1"/>
      <c r="C334" s="1"/>
      <c r="D334" s="1"/>
      <c r="E334" s="1"/>
      <c r="F334" s="1"/>
      <c r="G334" s="1"/>
      <c r="H334" s="1"/>
      <c r="I334" s="1"/>
    </row>
    <row r="335" ht="15.75" customHeight="1">
      <c r="A335" s="1"/>
      <c r="B335" s="1"/>
      <c r="C335" s="1"/>
      <c r="D335" s="1"/>
      <c r="E335" s="1"/>
      <c r="F335" s="1"/>
      <c r="G335" s="1"/>
      <c r="H335" s="1"/>
      <c r="I335" s="1"/>
    </row>
    <row r="336" ht="15.75" customHeight="1">
      <c r="A336" s="1"/>
      <c r="B336" s="1"/>
      <c r="C336" s="1"/>
      <c r="D336" s="1"/>
      <c r="E336" s="1"/>
      <c r="F336" s="1"/>
      <c r="G336" s="1"/>
      <c r="H336" s="1"/>
      <c r="I336" s="1"/>
    </row>
    <row r="337" ht="15.75" customHeight="1">
      <c r="A337" s="1"/>
      <c r="B337" s="1"/>
      <c r="C337" s="1"/>
      <c r="D337" s="1"/>
      <c r="E337" s="1"/>
      <c r="F337" s="1"/>
      <c r="G337" s="1"/>
      <c r="H337" s="1"/>
      <c r="I337" s="1"/>
    </row>
    <row r="338" ht="15.75" customHeight="1">
      <c r="A338" s="1"/>
      <c r="B338" s="1"/>
      <c r="C338" s="1"/>
      <c r="D338" s="1"/>
      <c r="E338" s="1"/>
      <c r="F338" s="1"/>
      <c r="G338" s="1"/>
      <c r="H338" s="1"/>
      <c r="I338" s="1"/>
    </row>
    <row r="339" ht="15.75" customHeight="1">
      <c r="A339" s="1"/>
      <c r="B339" s="1"/>
      <c r="C339" s="1"/>
      <c r="D339" s="1"/>
      <c r="E339" s="1"/>
      <c r="F339" s="1"/>
      <c r="G339" s="1"/>
      <c r="H339" s="1"/>
      <c r="I339" s="1"/>
    </row>
    <row r="340" ht="15.75" customHeight="1">
      <c r="A340" s="1"/>
      <c r="B340" s="1"/>
      <c r="C340" s="1"/>
      <c r="D340" s="1"/>
      <c r="E340" s="1"/>
      <c r="F340" s="1"/>
      <c r="G340" s="1"/>
      <c r="H340" s="1"/>
      <c r="I340" s="1"/>
    </row>
    <row r="341" ht="15.75" customHeight="1">
      <c r="A341" s="1"/>
      <c r="B341" s="1"/>
      <c r="C341" s="1"/>
      <c r="D341" s="1"/>
      <c r="E341" s="1"/>
      <c r="F341" s="1"/>
      <c r="G341" s="1"/>
      <c r="H341" s="1"/>
      <c r="I341" s="1"/>
    </row>
    <row r="342" ht="15.75" customHeight="1">
      <c r="A342" s="1"/>
      <c r="B342" s="1"/>
      <c r="C342" s="1"/>
      <c r="D342" s="1"/>
      <c r="E342" s="1"/>
      <c r="F342" s="1"/>
      <c r="G342" s="1"/>
      <c r="H342" s="1"/>
      <c r="I342" s="1"/>
    </row>
    <row r="343" ht="15.75" customHeight="1">
      <c r="A343" s="1"/>
      <c r="B343" s="1"/>
      <c r="C343" s="1"/>
      <c r="D343" s="1"/>
      <c r="E343" s="1"/>
      <c r="F343" s="1"/>
      <c r="G343" s="1"/>
      <c r="H343" s="1"/>
      <c r="I343" s="1"/>
    </row>
    <row r="344" ht="15.75" customHeight="1">
      <c r="A344" s="1"/>
      <c r="B344" s="1"/>
      <c r="C344" s="1"/>
      <c r="D344" s="1"/>
      <c r="E344" s="1"/>
      <c r="F344" s="1"/>
      <c r="G344" s="1"/>
      <c r="H344" s="1"/>
      <c r="I344" s="1"/>
    </row>
    <row r="345" ht="15.75" customHeight="1">
      <c r="A345" s="1"/>
      <c r="B345" s="1"/>
      <c r="C345" s="1"/>
      <c r="D345" s="1"/>
      <c r="E345" s="1"/>
      <c r="F345" s="1"/>
      <c r="G345" s="1"/>
      <c r="H345" s="1"/>
      <c r="I345" s="1"/>
    </row>
    <row r="346" ht="15.75" customHeight="1">
      <c r="A346" s="1"/>
      <c r="B346" s="1"/>
      <c r="C346" s="1"/>
      <c r="D346" s="1"/>
      <c r="E346" s="1"/>
      <c r="F346" s="1"/>
      <c r="G346" s="1"/>
      <c r="H346" s="1"/>
      <c r="I346" s="1"/>
    </row>
    <row r="347" ht="15.75" customHeight="1">
      <c r="A347" s="1"/>
      <c r="B347" s="1"/>
      <c r="C347" s="1"/>
      <c r="D347" s="1"/>
      <c r="E347" s="1"/>
      <c r="F347" s="1"/>
      <c r="G347" s="1"/>
      <c r="H347" s="1"/>
      <c r="I347" s="1"/>
    </row>
    <row r="348" ht="15.75" customHeight="1">
      <c r="A348" s="1"/>
      <c r="B348" s="1"/>
      <c r="C348" s="1"/>
      <c r="D348" s="1"/>
      <c r="E348" s="1"/>
      <c r="F348" s="1"/>
      <c r="G348" s="1"/>
      <c r="H348" s="1"/>
      <c r="I348" s="1"/>
    </row>
    <row r="349" ht="15.75" customHeight="1">
      <c r="A349" s="1"/>
      <c r="B349" s="1"/>
      <c r="C349" s="1"/>
      <c r="D349" s="1"/>
      <c r="E349" s="1"/>
      <c r="F349" s="1"/>
      <c r="G349" s="1"/>
      <c r="H349" s="1"/>
      <c r="I349" s="1"/>
    </row>
    <row r="350" ht="15.75" customHeight="1">
      <c r="A350" s="1"/>
      <c r="B350" s="1"/>
      <c r="C350" s="1"/>
      <c r="D350" s="1"/>
      <c r="E350" s="1"/>
      <c r="F350" s="1"/>
      <c r="G350" s="1"/>
      <c r="H350" s="1"/>
      <c r="I350" s="1"/>
    </row>
    <row r="351" ht="15.75" customHeight="1">
      <c r="A351" s="1"/>
      <c r="B351" s="1"/>
      <c r="C351" s="1"/>
      <c r="D351" s="1"/>
      <c r="E351" s="1"/>
      <c r="F351" s="1"/>
      <c r="G351" s="1"/>
      <c r="H351" s="1"/>
      <c r="I351" s="1"/>
    </row>
    <row r="352" ht="15.75" customHeight="1">
      <c r="A352" s="1"/>
      <c r="B352" s="1"/>
      <c r="C352" s="1"/>
      <c r="D352" s="1"/>
      <c r="E352" s="1"/>
      <c r="F352" s="1"/>
      <c r="G352" s="1"/>
      <c r="H352" s="1"/>
      <c r="I352" s="1"/>
    </row>
    <row r="353" ht="15.75" customHeight="1">
      <c r="A353" s="1"/>
      <c r="B353" s="1"/>
      <c r="C353" s="1"/>
      <c r="D353" s="1"/>
      <c r="E353" s="1"/>
      <c r="F353" s="1"/>
      <c r="G353" s="1"/>
      <c r="H353" s="1"/>
      <c r="I353" s="1"/>
    </row>
    <row r="354" ht="15.75" customHeight="1">
      <c r="A354" s="1"/>
      <c r="B354" s="1"/>
      <c r="C354" s="1"/>
      <c r="D354" s="1"/>
      <c r="E354" s="1"/>
      <c r="F354" s="1"/>
      <c r="G354" s="1"/>
      <c r="H354" s="1"/>
      <c r="I354" s="1"/>
    </row>
    <row r="355" ht="15.75" customHeight="1">
      <c r="A355" s="1"/>
      <c r="B355" s="1"/>
      <c r="C355" s="1"/>
      <c r="D355" s="1"/>
      <c r="E355" s="1"/>
      <c r="F355" s="1"/>
      <c r="G355" s="1"/>
      <c r="H355" s="1"/>
      <c r="I355" s="1"/>
    </row>
    <row r="356" ht="15.75" customHeight="1">
      <c r="A356" s="1"/>
      <c r="B356" s="1"/>
      <c r="C356" s="1"/>
      <c r="D356" s="1"/>
      <c r="E356" s="1"/>
      <c r="F356" s="1"/>
      <c r="G356" s="1"/>
      <c r="H356" s="1"/>
      <c r="I356" s="1"/>
    </row>
    <row r="357" ht="15.75" customHeight="1">
      <c r="A357" s="1"/>
      <c r="B357" s="1"/>
      <c r="C357" s="1"/>
      <c r="D357" s="1"/>
      <c r="E357" s="1"/>
      <c r="F357" s="1"/>
      <c r="G357" s="1"/>
      <c r="H357" s="1"/>
      <c r="I357" s="1"/>
    </row>
    <row r="358" ht="15.75" customHeight="1">
      <c r="A358" s="1"/>
      <c r="B358" s="1"/>
      <c r="C358" s="1"/>
      <c r="D358" s="1"/>
      <c r="E358" s="1"/>
      <c r="F358" s="1"/>
      <c r="G358" s="1"/>
      <c r="H358" s="1"/>
      <c r="I358" s="1"/>
    </row>
    <row r="359" ht="15.75" customHeight="1">
      <c r="A359" s="1"/>
      <c r="B359" s="1"/>
      <c r="C359" s="1"/>
      <c r="D359" s="1"/>
      <c r="E359" s="1"/>
      <c r="F359" s="1"/>
      <c r="G359" s="1"/>
      <c r="H359" s="1"/>
      <c r="I359" s="1"/>
    </row>
    <row r="360" ht="15.75" customHeight="1">
      <c r="A360" s="1"/>
      <c r="B360" s="1"/>
      <c r="C360" s="1"/>
      <c r="D360" s="1"/>
      <c r="E360" s="1"/>
      <c r="F360" s="1"/>
      <c r="G360" s="1"/>
      <c r="H360" s="1"/>
      <c r="I360" s="1"/>
    </row>
    <row r="361" ht="15.75" customHeight="1">
      <c r="A361" s="1"/>
      <c r="B361" s="1"/>
      <c r="C361" s="1"/>
      <c r="D361" s="1"/>
      <c r="E361" s="1"/>
      <c r="F361" s="1"/>
      <c r="G361" s="1"/>
      <c r="H361" s="1"/>
      <c r="I361" s="1"/>
    </row>
    <row r="362" ht="15.75" customHeight="1">
      <c r="A362" s="1"/>
      <c r="B362" s="1"/>
      <c r="C362" s="1"/>
      <c r="D362" s="1"/>
      <c r="E362" s="1"/>
      <c r="F362" s="1"/>
      <c r="G362" s="1"/>
      <c r="H362" s="1"/>
      <c r="I362" s="1"/>
    </row>
    <row r="363" ht="15.75" customHeight="1">
      <c r="A363" s="1"/>
      <c r="B363" s="1"/>
      <c r="C363" s="1"/>
      <c r="D363" s="1"/>
      <c r="E363" s="1"/>
      <c r="F363" s="1"/>
      <c r="G363" s="1"/>
      <c r="H363" s="1"/>
      <c r="I363" s="1"/>
    </row>
    <row r="364" ht="15.75" customHeight="1">
      <c r="A364" s="1"/>
      <c r="B364" s="1"/>
      <c r="C364" s="1"/>
      <c r="D364" s="1"/>
      <c r="E364" s="1"/>
      <c r="F364" s="1"/>
      <c r="G364" s="1"/>
      <c r="H364" s="1"/>
      <c r="I364" s="1"/>
    </row>
    <row r="365" ht="15.75" customHeight="1">
      <c r="A365" s="1"/>
      <c r="B365" s="1"/>
      <c r="C365" s="1"/>
      <c r="D365" s="1"/>
      <c r="E365" s="1"/>
      <c r="F365" s="1"/>
      <c r="G365" s="1"/>
      <c r="H365" s="1"/>
      <c r="I365" s="1"/>
    </row>
    <row r="366" ht="15.75" customHeight="1">
      <c r="A366" s="1"/>
      <c r="B366" s="1"/>
      <c r="C366" s="1"/>
      <c r="D366" s="1"/>
      <c r="E366" s="1"/>
      <c r="F366" s="1"/>
      <c r="G366" s="1"/>
      <c r="H366" s="1"/>
      <c r="I366" s="1"/>
    </row>
    <row r="367" ht="15.75" customHeight="1">
      <c r="A367" s="1"/>
      <c r="B367" s="1"/>
      <c r="C367" s="1"/>
      <c r="D367" s="1"/>
      <c r="E367" s="1"/>
      <c r="F367" s="1"/>
      <c r="G367" s="1"/>
      <c r="H367" s="1"/>
      <c r="I367" s="1"/>
    </row>
    <row r="368" ht="15.75" customHeight="1">
      <c r="A368" s="1"/>
      <c r="B368" s="1"/>
      <c r="C368" s="1"/>
      <c r="D368" s="1"/>
      <c r="E368" s="1"/>
      <c r="F368" s="1"/>
      <c r="G368" s="1"/>
      <c r="H368" s="1"/>
      <c r="I368" s="1"/>
    </row>
    <row r="369" ht="15.75" customHeight="1">
      <c r="A369" s="1"/>
      <c r="B369" s="1"/>
      <c r="C369" s="1"/>
      <c r="D369" s="1"/>
      <c r="E369" s="1"/>
      <c r="F369" s="1"/>
      <c r="G369" s="1"/>
      <c r="H369" s="1"/>
      <c r="I369" s="1"/>
    </row>
    <row r="370" ht="15.75" customHeight="1">
      <c r="A370" s="1"/>
      <c r="B370" s="1"/>
      <c r="C370" s="1"/>
      <c r="D370" s="1"/>
      <c r="E370" s="1"/>
      <c r="F370" s="1"/>
      <c r="G370" s="1"/>
      <c r="H370" s="1"/>
      <c r="I370" s="1"/>
    </row>
    <row r="371" ht="15.75" customHeight="1">
      <c r="A371" s="1"/>
      <c r="B371" s="1"/>
      <c r="C371" s="1"/>
      <c r="D371" s="1"/>
      <c r="E371" s="1"/>
      <c r="F371" s="1"/>
      <c r="G371" s="1"/>
      <c r="H371" s="1"/>
      <c r="I371" s="1"/>
    </row>
    <row r="372" ht="15.75" customHeight="1">
      <c r="A372" s="1"/>
      <c r="B372" s="1"/>
      <c r="C372" s="1"/>
      <c r="D372" s="1"/>
      <c r="E372" s="1"/>
      <c r="F372" s="1"/>
      <c r="G372" s="1"/>
      <c r="H372" s="1"/>
      <c r="I372" s="1"/>
    </row>
    <row r="373" ht="15.75" customHeight="1">
      <c r="A373" s="1"/>
      <c r="B373" s="1"/>
      <c r="C373" s="1"/>
      <c r="D373" s="1"/>
      <c r="E373" s="1"/>
      <c r="F373" s="1"/>
      <c r="G373" s="1"/>
      <c r="H373" s="1"/>
      <c r="I373" s="1"/>
    </row>
    <row r="374" ht="15.75" customHeight="1">
      <c r="A374" s="1"/>
      <c r="B374" s="1"/>
      <c r="C374" s="1"/>
      <c r="D374" s="1"/>
      <c r="E374" s="1"/>
      <c r="F374" s="1"/>
      <c r="G374" s="1"/>
      <c r="H374" s="1"/>
      <c r="I374" s="1"/>
    </row>
    <row r="375" ht="15.75" customHeight="1">
      <c r="A375" s="1"/>
      <c r="B375" s="1"/>
      <c r="C375" s="1"/>
      <c r="D375" s="1"/>
      <c r="E375" s="1"/>
      <c r="F375" s="1"/>
      <c r="G375" s="1"/>
      <c r="H375" s="1"/>
      <c r="I375" s="1"/>
    </row>
    <row r="376" ht="15.75" customHeight="1">
      <c r="A376" s="1"/>
      <c r="B376" s="1"/>
      <c r="C376" s="1"/>
      <c r="D376" s="1"/>
      <c r="E376" s="1"/>
      <c r="F376" s="1"/>
      <c r="G376" s="1"/>
      <c r="H376" s="1"/>
      <c r="I376" s="1"/>
    </row>
    <row r="377" ht="15.75" customHeight="1">
      <c r="A377" s="1"/>
      <c r="B377" s="1"/>
      <c r="C377" s="1"/>
      <c r="D377" s="1"/>
      <c r="E377" s="1"/>
      <c r="F377" s="1"/>
      <c r="G377" s="1"/>
      <c r="H377" s="1"/>
      <c r="I377" s="1"/>
    </row>
    <row r="378" ht="15.75" customHeight="1">
      <c r="A378" s="1"/>
      <c r="B378" s="1"/>
      <c r="C378" s="1"/>
      <c r="D378" s="1"/>
      <c r="E378" s="1"/>
      <c r="F378" s="1"/>
      <c r="G378" s="1"/>
      <c r="H378" s="1"/>
      <c r="I378" s="1"/>
    </row>
    <row r="379" ht="15.75" customHeight="1">
      <c r="A379" s="1"/>
      <c r="B379" s="1"/>
      <c r="C379" s="1"/>
      <c r="D379" s="1"/>
      <c r="E379" s="1"/>
      <c r="F379" s="1"/>
      <c r="G379" s="1"/>
      <c r="H379" s="1"/>
      <c r="I379" s="1"/>
    </row>
    <row r="380" ht="15.75" customHeight="1">
      <c r="A380" s="1"/>
      <c r="B380" s="1"/>
      <c r="C380" s="1"/>
      <c r="D380" s="1"/>
      <c r="E380" s="1"/>
      <c r="F380" s="1"/>
      <c r="G380" s="1"/>
      <c r="H380" s="1"/>
      <c r="I380" s="1"/>
    </row>
    <row r="381" ht="15.75" customHeight="1">
      <c r="A381" s="1"/>
      <c r="B381" s="1"/>
      <c r="C381" s="1"/>
      <c r="D381" s="1"/>
      <c r="E381" s="1"/>
      <c r="F381" s="1"/>
      <c r="G381" s="1"/>
      <c r="H381" s="1"/>
      <c r="I381" s="1"/>
    </row>
    <row r="382" ht="15.75" customHeight="1">
      <c r="A382" s="1"/>
      <c r="B382" s="1"/>
      <c r="C382" s="1"/>
      <c r="D382" s="1"/>
      <c r="E382" s="1"/>
      <c r="F382" s="1"/>
      <c r="G382" s="1"/>
      <c r="H382" s="1"/>
      <c r="I382" s="1"/>
    </row>
    <row r="383" ht="15.75" customHeight="1">
      <c r="A383" s="1"/>
      <c r="B383" s="1"/>
      <c r="C383" s="1"/>
      <c r="D383" s="1"/>
      <c r="E383" s="1"/>
      <c r="F383" s="1"/>
      <c r="G383" s="1"/>
      <c r="H383" s="1"/>
      <c r="I383" s="1"/>
    </row>
    <row r="384" ht="15.75" customHeight="1">
      <c r="A384" s="1"/>
      <c r="B384" s="1"/>
      <c r="C384" s="1"/>
      <c r="D384" s="1"/>
      <c r="E384" s="1"/>
      <c r="F384" s="1"/>
      <c r="G384" s="1"/>
      <c r="H384" s="1"/>
      <c r="I384" s="1"/>
    </row>
    <row r="385" ht="15.75" customHeight="1">
      <c r="A385" s="1"/>
      <c r="B385" s="1"/>
      <c r="C385" s="1"/>
      <c r="D385" s="1"/>
      <c r="E385" s="1"/>
      <c r="F385" s="1"/>
      <c r="G385" s="1"/>
      <c r="H385" s="1"/>
      <c r="I385" s="1"/>
    </row>
    <row r="386" ht="15.75" customHeight="1">
      <c r="A386" s="1"/>
      <c r="B386" s="1"/>
      <c r="C386" s="1"/>
      <c r="D386" s="1"/>
      <c r="E386" s="1"/>
      <c r="F386" s="1"/>
      <c r="G386" s="1"/>
      <c r="H386" s="1"/>
      <c r="I386" s="1"/>
    </row>
    <row r="387" ht="15.75" customHeight="1">
      <c r="A387" s="1"/>
      <c r="B387" s="1"/>
      <c r="C387" s="1"/>
      <c r="D387" s="1"/>
      <c r="E387" s="1"/>
      <c r="F387" s="1"/>
      <c r="G387" s="1"/>
      <c r="H387" s="1"/>
      <c r="I387" s="1"/>
    </row>
    <row r="388" ht="15.75" customHeight="1">
      <c r="A388" s="1"/>
      <c r="B388" s="1"/>
      <c r="C388" s="1"/>
      <c r="D388" s="1"/>
      <c r="E388" s="1"/>
      <c r="F388" s="1"/>
      <c r="G388" s="1"/>
      <c r="H388" s="1"/>
      <c r="I388" s="1"/>
    </row>
    <row r="389" ht="15.75" customHeight="1">
      <c r="A389" s="1"/>
      <c r="B389" s="1"/>
      <c r="C389" s="1"/>
      <c r="D389" s="1"/>
      <c r="E389" s="1"/>
      <c r="F389" s="1"/>
      <c r="G389" s="1"/>
      <c r="H389" s="1"/>
      <c r="I389" s="1"/>
    </row>
    <row r="390" ht="15.75" customHeight="1">
      <c r="A390" s="1"/>
      <c r="B390" s="1"/>
      <c r="C390" s="1"/>
      <c r="D390" s="1"/>
      <c r="E390" s="1"/>
      <c r="F390" s="1"/>
      <c r="G390" s="1"/>
      <c r="H390" s="1"/>
      <c r="I390" s="1"/>
    </row>
    <row r="391" ht="15.75" customHeight="1">
      <c r="A391" s="1"/>
      <c r="B391" s="1"/>
      <c r="C391" s="1"/>
      <c r="D391" s="1"/>
      <c r="E391" s="1"/>
      <c r="F391" s="1"/>
      <c r="G391" s="1"/>
      <c r="H391" s="1"/>
      <c r="I391" s="1"/>
    </row>
    <row r="392" ht="15.75" customHeight="1">
      <c r="A392" s="1"/>
      <c r="B392" s="1"/>
      <c r="C392" s="1"/>
      <c r="D392" s="1"/>
      <c r="E392" s="1"/>
      <c r="F392" s="1"/>
      <c r="G392" s="1"/>
      <c r="H392" s="1"/>
      <c r="I392" s="1"/>
    </row>
    <row r="393" ht="15.75" customHeight="1">
      <c r="A393" s="1"/>
      <c r="B393" s="1"/>
      <c r="C393" s="1"/>
      <c r="D393" s="1"/>
      <c r="E393" s="1"/>
      <c r="F393" s="1"/>
      <c r="G393" s="1"/>
      <c r="H393" s="1"/>
      <c r="I393" s="1"/>
    </row>
    <row r="394" ht="15.75" customHeight="1">
      <c r="A394" s="1"/>
      <c r="B394" s="1"/>
      <c r="C394" s="1"/>
      <c r="D394" s="1"/>
      <c r="E394" s="1"/>
      <c r="F394" s="1"/>
      <c r="G394" s="1"/>
      <c r="H394" s="1"/>
      <c r="I394" s="1"/>
    </row>
    <row r="395" ht="15.75" customHeight="1">
      <c r="A395" s="1"/>
      <c r="B395" s="1"/>
      <c r="C395" s="1"/>
      <c r="D395" s="1"/>
      <c r="E395" s="1"/>
      <c r="F395" s="1"/>
      <c r="G395" s="1"/>
      <c r="H395" s="1"/>
      <c r="I395" s="1"/>
    </row>
    <row r="396" ht="15.75" customHeight="1">
      <c r="A396" s="1"/>
      <c r="B396" s="1"/>
      <c r="C396" s="1"/>
      <c r="D396" s="1"/>
      <c r="E396" s="1"/>
      <c r="F396" s="1"/>
      <c r="G396" s="1"/>
      <c r="H396" s="1"/>
      <c r="I396" s="1"/>
    </row>
    <row r="397" ht="15.75" customHeight="1">
      <c r="A397" s="1"/>
      <c r="B397" s="1"/>
      <c r="C397" s="1"/>
      <c r="D397" s="1"/>
      <c r="E397" s="1"/>
      <c r="F397" s="1"/>
      <c r="G397" s="1"/>
      <c r="H397" s="1"/>
      <c r="I397" s="1"/>
    </row>
    <row r="398" ht="15.75" customHeight="1">
      <c r="A398" s="1"/>
      <c r="B398" s="1"/>
      <c r="C398" s="1"/>
      <c r="D398" s="1"/>
      <c r="E398" s="1"/>
      <c r="F398" s="1"/>
      <c r="G398" s="1"/>
      <c r="H398" s="1"/>
      <c r="I398" s="1"/>
    </row>
    <row r="399" ht="15.75" customHeight="1">
      <c r="A399" s="1"/>
      <c r="B399" s="1"/>
      <c r="C399" s="1"/>
      <c r="D399" s="1"/>
      <c r="E399" s="1"/>
      <c r="F399" s="1"/>
      <c r="G399" s="1"/>
      <c r="H399" s="1"/>
      <c r="I399" s="1"/>
    </row>
    <row r="400" ht="15.75" customHeight="1">
      <c r="A400" s="1"/>
      <c r="B400" s="1"/>
      <c r="C400" s="1"/>
      <c r="D400" s="1"/>
      <c r="E400" s="1"/>
      <c r="F400" s="1"/>
      <c r="G400" s="1"/>
      <c r="H400" s="1"/>
      <c r="I400" s="1"/>
    </row>
    <row r="401" ht="15.75" customHeight="1">
      <c r="A401" s="1"/>
      <c r="B401" s="1"/>
      <c r="C401" s="1"/>
      <c r="D401" s="1"/>
      <c r="E401" s="1"/>
      <c r="F401" s="1"/>
      <c r="G401" s="1"/>
      <c r="H401" s="1"/>
      <c r="I401" s="1"/>
    </row>
    <row r="402" ht="15.75" customHeight="1">
      <c r="A402" s="1"/>
      <c r="B402" s="1"/>
      <c r="C402" s="1"/>
      <c r="D402" s="1"/>
      <c r="E402" s="1"/>
      <c r="F402" s="1"/>
      <c r="G402" s="1"/>
      <c r="H402" s="1"/>
      <c r="I402" s="1"/>
    </row>
    <row r="403" ht="15.75" customHeight="1">
      <c r="A403" s="1"/>
      <c r="B403" s="1"/>
      <c r="C403" s="1"/>
      <c r="D403" s="1"/>
      <c r="E403" s="1"/>
      <c r="F403" s="1"/>
      <c r="G403" s="1"/>
      <c r="H403" s="1"/>
      <c r="I403" s="1"/>
    </row>
    <row r="404" ht="15.75" customHeight="1">
      <c r="A404" s="1"/>
      <c r="B404" s="1"/>
      <c r="C404" s="1"/>
      <c r="D404" s="1"/>
      <c r="E404" s="1"/>
      <c r="F404" s="1"/>
      <c r="G404" s="1"/>
      <c r="H404" s="1"/>
      <c r="I404" s="1"/>
    </row>
    <row r="405" ht="15.75" customHeight="1">
      <c r="A405" s="1"/>
      <c r="B405" s="1"/>
      <c r="C405" s="1"/>
      <c r="D405" s="1"/>
      <c r="E405" s="1"/>
      <c r="F405" s="1"/>
      <c r="G405" s="1"/>
      <c r="H405" s="1"/>
      <c r="I405" s="1"/>
    </row>
    <row r="406" ht="15.75" customHeight="1">
      <c r="A406" s="1"/>
      <c r="B406" s="1"/>
      <c r="C406" s="1"/>
      <c r="D406" s="1"/>
      <c r="E406" s="1"/>
      <c r="F406" s="1"/>
      <c r="G406" s="1"/>
      <c r="H406" s="1"/>
      <c r="I406" s="1"/>
    </row>
    <row r="407" ht="15.75" customHeight="1">
      <c r="A407" s="1"/>
      <c r="B407" s="1"/>
      <c r="C407" s="1"/>
      <c r="D407" s="1"/>
      <c r="E407" s="1"/>
      <c r="F407" s="1"/>
      <c r="G407" s="1"/>
      <c r="H407" s="1"/>
      <c r="I407" s="1"/>
    </row>
    <row r="408" ht="15.75" customHeight="1">
      <c r="A408" s="1"/>
      <c r="B408" s="1"/>
      <c r="C408" s="1"/>
      <c r="D408" s="1"/>
      <c r="E408" s="1"/>
      <c r="F408" s="1"/>
      <c r="G408" s="1"/>
      <c r="H408" s="1"/>
      <c r="I408" s="1"/>
    </row>
    <row r="409" ht="15.75" customHeight="1">
      <c r="A409" s="1"/>
      <c r="B409" s="1"/>
      <c r="C409" s="1"/>
      <c r="D409" s="1"/>
      <c r="E409" s="1"/>
      <c r="F409" s="1"/>
      <c r="G409" s="1"/>
      <c r="H409" s="1"/>
      <c r="I409" s="1"/>
    </row>
    <row r="410" ht="15.75" customHeight="1">
      <c r="A410" s="1"/>
      <c r="B410" s="1"/>
      <c r="C410" s="1"/>
      <c r="D410" s="1"/>
      <c r="E410" s="1"/>
      <c r="F410" s="1"/>
      <c r="G410" s="1"/>
      <c r="H410" s="1"/>
      <c r="I410" s="1"/>
    </row>
    <row r="411" ht="15.75" customHeight="1">
      <c r="A411" s="1"/>
      <c r="B411" s="1"/>
      <c r="C411" s="1"/>
      <c r="D411" s="1"/>
      <c r="E411" s="1"/>
      <c r="F411" s="1"/>
      <c r="G411" s="1"/>
      <c r="H411" s="1"/>
      <c r="I411" s="1"/>
    </row>
    <row r="412" ht="15.75" customHeight="1">
      <c r="A412" s="1"/>
      <c r="B412" s="1"/>
      <c r="C412" s="1"/>
      <c r="D412" s="1"/>
      <c r="E412" s="1"/>
      <c r="F412" s="1"/>
      <c r="G412" s="1"/>
      <c r="H412" s="1"/>
      <c r="I412" s="1"/>
    </row>
    <row r="413" ht="15.75" customHeight="1">
      <c r="A413" s="1"/>
      <c r="B413" s="1"/>
      <c r="C413" s="1"/>
      <c r="D413" s="1"/>
      <c r="E413" s="1"/>
      <c r="F413" s="1"/>
      <c r="G413" s="1"/>
      <c r="H413" s="1"/>
      <c r="I413" s="1"/>
    </row>
    <row r="414" ht="15.75" customHeight="1">
      <c r="A414" s="1"/>
      <c r="B414" s="1"/>
      <c r="C414" s="1"/>
      <c r="D414" s="1"/>
      <c r="E414" s="1"/>
      <c r="F414" s="1"/>
      <c r="G414" s="1"/>
      <c r="H414" s="1"/>
      <c r="I414" s="1"/>
    </row>
    <row r="415" ht="15.75" customHeight="1">
      <c r="A415" s="1"/>
      <c r="B415" s="1"/>
      <c r="C415" s="1"/>
      <c r="D415" s="1"/>
      <c r="E415" s="1"/>
      <c r="F415" s="1"/>
      <c r="G415" s="1"/>
      <c r="H415" s="1"/>
      <c r="I415" s="1"/>
    </row>
    <row r="416" ht="15.75" customHeight="1">
      <c r="A416" s="1"/>
      <c r="B416" s="1"/>
      <c r="C416" s="1"/>
      <c r="D416" s="1"/>
      <c r="E416" s="1"/>
      <c r="F416" s="1"/>
      <c r="G416" s="1"/>
      <c r="H416" s="1"/>
      <c r="I416" s="1"/>
    </row>
    <row r="417" ht="15.75" customHeight="1">
      <c r="A417" s="1"/>
      <c r="B417" s="1"/>
      <c r="C417" s="1"/>
      <c r="D417" s="1"/>
      <c r="E417" s="1"/>
      <c r="F417" s="1"/>
      <c r="G417" s="1"/>
      <c r="H417" s="1"/>
      <c r="I417" s="1"/>
    </row>
    <row r="418" ht="15.75" customHeight="1">
      <c r="A418" s="1"/>
      <c r="B418" s="1"/>
      <c r="C418" s="1"/>
      <c r="D418" s="1"/>
      <c r="E418" s="1"/>
      <c r="F418" s="1"/>
      <c r="G418" s="1"/>
      <c r="H418" s="1"/>
      <c r="I418" s="1"/>
    </row>
    <row r="419" ht="15.75" customHeight="1">
      <c r="A419" s="1"/>
      <c r="B419" s="1"/>
      <c r="C419" s="1"/>
      <c r="D419" s="1"/>
      <c r="E419" s="1"/>
      <c r="F419" s="1"/>
      <c r="G419" s="1"/>
      <c r="H419" s="1"/>
      <c r="I419" s="1"/>
    </row>
    <row r="420" ht="15.75" customHeight="1">
      <c r="A420" s="1"/>
      <c r="B420" s="1"/>
      <c r="C420" s="1"/>
      <c r="D420" s="1"/>
      <c r="E420" s="1"/>
      <c r="F420" s="1"/>
      <c r="G420" s="1"/>
      <c r="H420" s="1"/>
      <c r="I420" s="1"/>
    </row>
    <row r="421" ht="15.75" customHeight="1">
      <c r="A421" s="1"/>
      <c r="B421" s="1"/>
      <c r="C421" s="1"/>
      <c r="D421" s="1"/>
      <c r="E421" s="1"/>
      <c r="F421" s="1"/>
      <c r="G421" s="1"/>
      <c r="H421" s="1"/>
      <c r="I421" s="1"/>
    </row>
    <row r="422" ht="15.75" customHeight="1">
      <c r="A422" s="1"/>
      <c r="B422" s="1"/>
      <c r="C422" s="1"/>
      <c r="D422" s="1"/>
      <c r="E422" s="1"/>
      <c r="F422" s="1"/>
      <c r="G422" s="1"/>
      <c r="H422" s="1"/>
      <c r="I422" s="1"/>
    </row>
    <row r="423" ht="15.75" customHeight="1">
      <c r="A423" s="1"/>
      <c r="B423" s="1"/>
      <c r="C423" s="1"/>
      <c r="D423" s="1"/>
      <c r="E423" s="1"/>
      <c r="F423" s="1"/>
      <c r="G423" s="1"/>
      <c r="H423" s="1"/>
      <c r="I423" s="1"/>
    </row>
    <row r="424" ht="15.75" customHeight="1">
      <c r="A424" s="1"/>
      <c r="B424" s="1"/>
      <c r="C424" s="1"/>
      <c r="D424" s="1"/>
      <c r="E424" s="1"/>
      <c r="F424" s="1"/>
      <c r="G424" s="1"/>
      <c r="H424" s="1"/>
      <c r="I424" s="1"/>
    </row>
    <row r="425" ht="15.75" customHeight="1">
      <c r="A425" s="1"/>
      <c r="B425" s="1"/>
      <c r="C425" s="1"/>
      <c r="D425" s="1"/>
      <c r="E425" s="1"/>
      <c r="F425" s="1"/>
      <c r="G425" s="1"/>
      <c r="H425" s="1"/>
      <c r="I425" s="1"/>
    </row>
    <row r="426" ht="15.75" customHeight="1">
      <c r="A426" s="1"/>
      <c r="B426" s="1"/>
      <c r="C426" s="1"/>
      <c r="D426" s="1"/>
      <c r="E426" s="1"/>
      <c r="F426" s="1"/>
      <c r="G426" s="1"/>
      <c r="H426" s="1"/>
      <c r="I426" s="1"/>
    </row>
    <row r="427" ht="15.75" customHeight="1">
      <c r="A427" s="1"/>
      <c r="B427" s="1"/>
      <c r="C427" s="1"/>
      <c r="D427" s="1"/>
      <c r="E427" s="1"/>
      <c r="F427" s="1"/>
      <c r="G427" s="1"/>
      <c r="H427" s="1"/>
      <c r="I427" s="1"/>
    </row>
    <row r="428" ht="15.75" customHeight="1">
      <c r="A428" s="1"/>
      <c r="B428" s="1"/>
      <c r="C428" s="1"/>
      <c r="D428" s="1"/>
      <c r="E428" s="1"/>
      <c r="F428" s="1"/>
      <c r="G428" s="1"/>
      <c r="H428" s="1"/>
      <c r="I428" s="1"/>
    </row>
    <row r="429" ht="15.75" customHeight="1">
      <c r="A429" s="1"/>
      <c r="B429" s="1"/>
      <c r="C429" s="1"/>
      <c r="D429" s="1"/>
      <c r="E429" s="1"/>
      <c r="F429" s="1"/>
      <c r="G429" s="1"/>
      <c r="H429" s="1"/>
      <c r="I429" s="1"/>
    </row>
    <row r="430" ht="15.75" customHeight="1">
      <c r="A430" s="1"/>
      <c r="B430" s="1"/>
      <c r="C430" s="1"/>
      <c r="D430" s="1"/>
      <c r="E430" s="1"/>
      <c r="F430" s="1"/>
      <c r="G430" s="1"/>
      <c r="H430" s="1"/>
      <c r="I430" s="1"/>
    </row>
    <row r="431" ht="15.75" customHeight="1">
      <c r="A431" s="1"/>
      <c r="B431" s="1"/>
      <c r="C431" s="1"/>
      <c r="D431" s="1"/>
      <c r="E431" s="1"/>
      <c r="F431" s="1"/>
      <c r="G431" s="1"/>
      <c r="H431" s="1"/>
      <c r="I431" s="1"/>
    </row>
    <row r="432" ht="15.75" customHeight="1">
      <c r="A432" s="1"/>
      <c r="B432" s="1"/>
      <c r="C432" s="1"/>
      <c r="D432" s="1"/>
      <c r="E432" s="1"/>
      <c r="F432" s="1"/>
      <c r="G432" s="1"/>
      <c r="H432" s="1"/>
      <c r="I432" s="1"/>
    </row>
    <row r="433" ht="15.75" customHeight="1">
      <c r="A433" s="1"/>
      <c r="B433" s="1"/>
      <c r="C433" s="1"/>
      <c r="D433" s="1"/>
      <c r="E433" s="1"/>
      <c r="F433" s="1"/>
      <c r="G433" s="1"/>
      <c r="H433" s="1"/>
      <c r="I433" s="1"/>
    </row>
    <row r="434" ht="15.75" customHeight="1">
      <c r="A434" s="1"/>
      <c r="B434" s="1"/>
      <c r="C434" s="1"/>
      <c r="D434" s="1"/>
      <c r="E434" s="1"/>
      <c r="F434" s="1"/>
      <c r="G434" s="1"/>
      <c r="H434" s="1"/>
      <c r="I434" s="1"/>
    </row>
    <row r="435" ht="15.75" customHeight="1">
      <c r="A435" s="1"/>
      <c r="B435" s="1"/>
      <c r="C435" s="1"/>
      <c r="D435" s="1"/>
      <c r="E435" s="1"/>
      <c r="F435" s="1"/>
      <c r="G435" s="1"/>
      <c r="H435" s="1"/>
      <c r="I435" s="1"/>
    </row>
    <row r="436" ht="15.75" customHeight="1">
      <c r="A436" s="1"/>
      <c r="B436" s="1"/>
      <c r="C436" s="1"/>
      <c r="D436" s="1"/>
      <c r="E436" s="1"/>
      <c r="F436" s="1"/>
      <c r="G436" s="1"/>
      <c r="H436" s="1"/>
      <c r="I436" s="1"/>
    </row>
    <row r="437" ht="15.75" customHeight="1">
      <c r="A437" s="1"/>
      <c r="B437" s="1"/>
      <c r="C437" s="1"/>
      <c r="D437" s="1"/>
      <c r="E437" s="1"/>
      <c r="F437" s="1"/>
      <c r="G437" s="1"/>
      <c r="H437" s="1"/>
      <c r="I437" s="1"/>
    </row>
    <row r="438" ht="15.75" customHeight="1">
      <c r="A438" s="1"/>
      <c r="B438" s="1"/>
      <c r="C438" s="1"/>
      <c r="D438" s="1"/>
      <c r="E438" s="1"/>
      <c r="F438" s="1"/>
      <c r="G438" s="1"/>
      <c r="H438" s="1"/>
      <c r="I438" s="1"/>
    </row>
    <row r="439" ht="15.75" customHeight="1">
      <c r="A439" s="1"/>
      <c r="B439" s="1"/>
      <c r="C439" s="1"/>
      <c r="D439" s="1"/>
      <c r="E439" s="1"/>
      <c r="F439" s="1"/>
      <c r="G439" s="1"/>
      <c r="H439" s="1"/>
      <c r="I439" s="1"/>
    </row>
    <row r="440" ht="15.75" customHeight="1">
      <c r="A440" s="1"/>
      <c r="B440" s="1"/>
      <c r="C440" s="1"/>
      <c r="D440" s="1"/>
      <c r="E440" s="1"/>
      <c r="F440" s="1"/>
      <c r="G440" s="1"/>
      <c r="H440" s="1"/>
      <c r="I440" s="1"/>
    </row>
    <row r="441" ht="15.75" customHeight="1">
      <c r="A441" s="1"/>
      <c r="B441" s="1"/>
      <c r="C441" s="1"/>
      <c r="D441" s="1"/>
      <c r="E441" s="1"/>
      <c r="F441" s="1"/>
      <c r="G441" s="1"/>
      <c r="H441" s="1"/>
      <c r="I441" s="1"/>
    </row>
    <row r="442" ht="15.75" customHeight="1">
      <c r="A442" s="1"/>
      <c r="B442" s="1"/>
      <c r="C442" s="1"/>
      <c r="D442" s="1"/>
      <c r="E442" s="1"/>
      <c r="F442" s="1"/>
      <c r="G442" s="1"/>
      <c r="H442" s="1"/>
      <c r="I442" s="1"/>
    </row>
    <row r="443" ht="15.75" customHeight="1">
      <c r="A443" s="1"/>
      <c r="B443" s="1"/>
      <c r="C443" s="1"/>
      <c r="D443" s="1"/>
      <c r="E443" s="1"/>
      <c r="F443" s="1"/>
      <c r="G443" s="1"/>
      <c r="H443" s="1"/>
      <c r="I443" s="1"/>
    </row>
    <row r="444" ht="15.75" customHeight="1">
      <c r="A444" s="1"/>
      <c r="B444" s="1"/>
      <c r="C444" s="1"/>
      <c r="D444" s="1"/>
      <c r="E444" s="1"/>
      <c r="F444" s="1"/>
      <c r="G444" s="1"/>
      <c r="H444" s="1"/>
      <c r="I444" s="1"/>
    </row>
    <row r="445" ht="15.75" customHeight="1">
      <c r="A445" s="1"/>
      <c r="B445" s="1"/>
      <c r="C445" s="1"/>
      <c r="D445" s="1"/>
      <c r="E445" s="1"/>
      <c r="F445" s="1"/>
      <c r="G445" s="1"/>
      <c r="H445" s="1"/>
      <c r="I445" s="1"/>
    </row>
    <row r="446" ht="15.75" customHeight="1">
      <c r="A446" s="1"/>
      <c r="B446" s="1"/>
      <c r="C446" s="1"/>
      <c r="D446" s="1"/>
      <c r="E446" s="1"/>
      <c r="F446" s="1"/>
      <c r="G446" s="1"/>
      <c r="H446" s="1"/>
      <c r="I446" s="1"/>
    </row>
    <row r="447" ht="15.75" customHeight="1">
      <c r="A447" s="1"/>
      <c r="B447" s="1"/>
      <c r="C447" s="1"/>
      <c r="D447" s="1"/>
      <c r="E447" s="1"/>
      <c r="F447" s="1"/>
      <c r="G447" s="1"/>
      <c r="H447" s="1"/>
      <c r="I447" s="1"/>
    </row>
    <row r="448" ht="15.75" customHeight="1">
      <c r="A448" s="1"/>
      <c r="B448" s="1"/>
      <c r="C448" s="1"/>
      <c r="D448" s="1"/>
      <c r="E448" s="1"/>
      <c r="F448" s="1"/>
      <c r="G448" s="1"/>
      <c r="H448" s="1"/>
      <c r="I448" s="1"/>
    </row>
    <row r="449" ht="15.75" customHeight="1">
      <c r="A449" s="1"/>
      <c r="B449" s="1"/>
      <c r="C449" s="1"/>
      <c r="D449" s="1"/>
      <c r="E449" s="1"/>
      <c r="F449" s="1"/>
      <c r="G449" s="1"/>
      <c r="H449" s="1"/>
      <c r="I449" s="1"/>
    </row>
    <row r="450" ht="15.75" customHeight="1">
      <c r="A450" s="1"/>
      <c r="B450" s="1"/>
      <c r="C450" s="1"/>
      <c r="D450" s="1"/>
      <c r="E450" s="1"/>
      <c r="F450" s="1"/>
      <c r="G450" s="1"/>
      <c r="H450" s="1"/>
      <c r="I450" s="1"/>
    </row>
    <row r="451" ht="15.75" customHeight="1">
      <c r="A451" s="1"/>
      <c r="B451" s="1"/>
      <c r="C451" s="1"/>
      <c r="D451" s="1"/>
      <c r="E451" s="1"/>
      <c r="F451" s="1"/>
      <c r="G451" s="1"/>
      <c r="H451" s="1"/>
      <c r="I451" s="1"/>
    </row>
    <row r="452" ht="15.75" customHeight="1">
      <c r="A452" s="1"/>
      <c r="B452" s="1"/>
      <c r="C452" s="1"/>
      <c r="D452" s="1"/>
      <c r="E452" s="1"/>
      <c r="F452" s="1"/>
      <c r="G452" s="1"/>
      <c r="H452" s="1"/>
      <c r="I452" s="1"/>
    </row>
    <row r="453" ht="15.75" customHeight="1">
      <c r="A453" s="1"/>
      <c r="B453" s="1"/>
      <c r="C453" s="1"/>
      <c r="D453" s="1"/>
      <c r="E453" s="1"/>
      <c r="F453" s="1"/>
      <c r="G453" s="1"/>
      <c r="H453" s="1"/>
      <c r="I453" s="1"/>
    </row>
    <row r="454" ht="15.75" customHeight="1">
      <c r="A454" s="1"/>
      <c r="B454" s="1"/>
      <c r="C454" s="1"/>
      <c r="D454" s="1"/>
      <c r="E454" s="1"/>
      <c r="F454" s="1"/>
      <c r="G454" s="1"/>
      <c r="H454" s="1"/>
      <c r="I454" s="1"/>
    </row>
    <row r="455" ht="15.75" customHeight="1">
      <c r="A455" s="1"/>
      <c r="B455" s="1"/>
      <c r="C455" s="1"/>
      <c r="D455" s="1"/>
      <c r="E455" s="1"/>
      <c r="F455" s="1"/>
      <c r="G455" s="1"/>
      <c r="H455" s="1"/>
      <c r="I455" s="1"/>
    </row>
    <row r="456" ht="15.75" customHeight="1">
      <c r="A456" s="1"/>
      <c r="B456" s="1"/>
      <c r="C456" s="1"/>
      <c r="D456" s="1"/>
      <c r="E456" s="1"/>
      <c r="F456" s="1"/>
      <c r="G456" s="1"/>
      <c r="H456" s="1"/>
      <c r="I456" s="1"/>
    </row>
    <row r="457" ht="15.75" customHeight="1">
      <c r="A457" s="1"/>
      <c r="B457" s="1"/>
      <c r="C457" s="1"/>
      <c r="D457" s="1"/>
      <c r="E457" s="1"/>
      <c r="F457" s="1"/>
      <c r="G457" s="1"/>
      <c r="H457" s="1"/>
      <c r="I457" s="1"/>
    </row>
    <row r="458" ht="15.75" customHeight="1">
      <c r="A458" s="1"/>
      <c r="B458" s="1"/>
      <c r="C458" s="1"/>
      <c r="D458" s="1"/>
      <c r="E458" s="1"/>
      <c r="F458" s="1"/>
      <c r="G458" s="1"/>
      <c r="H458" s="1"/>
      <c r="I458" s="1"/>
    </row>
    <row r="459" ht="15.75" customHeight="1">
      <c r="A459" s="1"/>
      <c r="B459" s="1"/>
      <c r="C459" s="1"/>
      <c r="D459" s="1"/>
      <c r="E459" s="1"/>
      <c r="F459" s="1"/>
      <c r="G459" s="1"/>
      <c r="H459" s="1"/>
      <c r="I459" s="1"/>
    </row>
    <row r="460" ht="15.75" customHeight="1">
      <c r="A460" s="1"/>
      <c r="B460" s="1"/>
      <c r="C460" s="1"/>
      <c r="D460" s="1"/>
      <c r="E460" s="1"/>
      <c r="F460" s="1"/>
      <c r="G460" s="1"/>
      <c r="H460" s="1"/>
      <c r="I460" s="1"/>
    </row>
    <row r="461" ht="15.75" customHeight="1">
      <c r="A461" s="1"/>
      <c r="B461" s="1"/>
      <c r="C461" s="1"/>
      <c r="D461" s="1"/>
      <c r="E461" s="1"/>
      <c r="F461" s="1"/>
      <c r="G461" s="1"/>
      <c r="H461" s="1"/>
      <c r="I461" s="1"/>
    </row>
    <row r="462" ht="15.75" customHeight="1">
      <c r="A462" s="1"/>
      <c r="B462" s="1"/>
      <c r="C462" s="1"/>
      <c r="D462" s="1"/>
      <c r="E462" s="1"/>
      <c r="F462" s="1"/>
      <c r="G462" s="1"/>
      <c r="H462" s="1"/>
      <c r="I462" s="1"/>
    </row>
    <row r="463" ht="15.75" customHeight="1">
      <c r="A463" s="1"/>
      <c r="B463" s="1"/>
      <c r="C463" s="1"/>
      <c r="D463" s="1"/>
      <c r="E463" s="1"/>
      <c r="F463" s="1"/>
      <c r="G463" s="1"/>
      <c r="H463" s="1"/>
      <c r="I463" s="1"/>
    </row>
    <row r="464" ht="15.75" customHeight="1">
      <c r="A464" s="1"/>
      <c r="B464" s="1"/>
      <c r="C464" s="1"/>
      <c r="D464" s="1"/>
      <c r="E464" s="1"/>
      <c r="F464" s="1"/>
      <c r="G464" s="1"/>
      <c r="H464" s="1"/>
      <c r="I464" s="1"/>
    </row>
    <row r="465" ht="15.75" customHeight="1">
      <c r="A465" s="1"/>
      <c r="B465" s="1"/>
      <c r="C465" s="1"/>
      <c r="D465" s="1"/>
      <c r="E465" s="1"/>
      <c r="F465" s="1"/>
      <c r="G465" s="1"/>
      <c r="H465" s="1"/>
      <c r="I465" s="1"/>
    </row>
    <row r="466" ht="15.75" customHeight="1">
      <c r="A466" s="1"/>
      <c r="B466" s="1"/>
      <c r="C466" s="1"/>
      <c r="D466" s="1"/>
      <c r="E466" s="1"/>
      <c r="F466" s="1"/>
      <c r="G466" s="1"/>
      <c r="H466" s="1"/>
      <c r="I466" s="1"/>
    </row>
    <row r="467" ht="15.75" customHeight="1">
      <c r="A467" s="1"/>
      <c r="B467" s="1"/>
      <c r="C467" s="1"/>
      <c r="D467" s="1"/>
      <c r="E467" s="1"/>
      <c r="F467" s="1"/>
      <c r="G467" s="1"/>
      <c r="H467" s="1"/>
      <c r="I467" s="1"/>
    </row>
    <row r="468" ht="15.75" customHeight="1">
      <c r="A468" s="1"/>
      <c r="B468" s="1"/>
      <c r="C468" s="1"/>
      <c r="D468" s="1"/>
      <c r="E468" s="1"/>
      <c r="F468" s="1"/>
      <c r="G468" s="1"/>
      <c r="H468" s="1"/>
      <c r="I468" s="1"/>
    </row>
    <row r="469" ht="15.75" customHeight="1">
      <c r="A469" s="1"/>
      <c r="B469" s="1"/>
      <c r="C469" s="1"/>
      <c r="D469" s="1"/>
      <c r="E469" s="1"/>
      <c r="F469" s="1"/>
      <c r="G469" s="1"/>
      <c r="H469" s="1"/>
      <c r="I469" s="1"/>
    </row>
    <row r="470" ht="15.75" customHeight="1">
      <c r="A470" s="1"/>
      <c r="B470" s="1"/>
      <c r="C470" s="1"/>
      <c r="D470" s="1"/>
      <c r="E470" s="1"/>
      <c r="F470" s="1"/>
      <c r="G470" s="1"/>
      <c r="H470" s="1"/>
      <c r="I470" s="1"/>
    </row>
    <row r="471" ht="15.75" customHeight="1">
      <c r="A471" s="1"/>
      <c r="B471" s="1"/>
      <c r="C471" s="1"/>
      <c r="D471" s="1"/>
      <c r="E471" s="1"/>
      <c r="F471" s="1"/>
      <c r="G471" s="1"/>
      <c r="H471" s="1"/>
      <c r="I471" s="1"/>
    </row>
    <row r="472" ht="15.75" customHeight="1">
      <c r="A472" s="1"/>
      <c r="B472" s="1"/>
      <c r="C472" s="1"/>
      <c r="D472" s="1"/>
      <c r="E472" s="1"/>
      <c r="F472" s="1"/>
      <c r="G472" s="1"/>
      <c r="H472" s="1"/>
      <c r="I472" s="1"/>
    </row>
    <row r="473" ht="15.75" customHeight="1">
      <c r="A473" s="1"/>
      <c r="B473" s="1"/>
      <c r="C473" s="1"/>
      <c r="D473" s="1"/>
      <c r="E473" s="1"/>
      <c r="F473" s="1"/>
      <c r="G473" s="1"/>
      <c r="H473" s="1"/>
      <c r="I473" s="1"/>
    </row>
    <row r="474" ht="15.75" customHeight="1">
      <c r="A474" s="1"/>
      <c r="B474" s="1"/>
      <c r="C474" s="1"/>
      <c r="D474" s="1"/>
      <c r="E474" s="1"/>
      <c r="F474" s="1"/>
      <c r="G474" s="1"/>
      <c r="H474" s="1"/>
      <c r="I474" s="1"/>
    </row>
    <row r="475" ht="15.75" customHeight="1">
      <c r="A475" s="1"/>
      <c r="B475" s="1"/>
      <c r="C475" s="1"/>
      <c r="D475" s="1"/>
      <c r="E475" s="1"/>
      <c r="F475" s="1"/>
      <c r="G475" s="1"/>
      <c r="H475" s="1"/>
      <c r="I475" s="1"/>
    </row>
    <row r="476" ht="15.75" customHeight="1">
      <c r="A476" s="1"/>
      <c r="B476" s="1"/>
      <c r="C476" s="1"/>
      <c r="D476" s="1"/>
      <c r="E476" s="1"/>
      <c r="F476" s="1"/>
      <c r="G476" s="1"/>
      <c r="H476" s="1"/>
      <c r="I476" s="1"/>
    </row>
    <row r="477" ht="15.75" customHeight="1">
      <c r="A477" s="1"/>
      <c r="B477" s="1"/>
      <c r="C477" s="1"/>
      <c r="D477" s="1"/>
      <c r="E477" s="1"/>
      <c r="F477" s="1"/>
      <c r="G477" s="1"/>
      <c r="H477" s="1"/>
      <c r="I477" s="1"/>
    </row>
    <row r="478" ht="15.75" customHeight="1">
      <c r="A478" s="1"/>
      <c r="B478" s="1"/>
      <c r="C478" s="1"/>
      <c r="D478" s="1"/>
      <c r="E478" s="1"/>
      <c r="F478" s="1"/>
      <c r="G478" s="1"/>
      <c r="H478" s="1"/>
      <c r="I478" s="1"/>
    </row>
    <row r="479" ht="15.75" customHeight="1">
      <c r="A479" s="1"/>
      <c r="B479" s="1"/>
      <c r="C479" s="1"/>
      <c r="D479" s="1"/>
      <c r="E479" s="1"/>
      <c r="F479" s="1"/>
      <c r="G479" s="1"/>
      <c r="H479" s="1"/>
      <c r="I479" s="1"/>
    </row>
    <row r="480" ht="15.75" customHeight="1">
      <c r="A480" s="1"/>
      <c r="B480" s="1"/>
      <c r="C480" s="1"/>
      <c r="D480" s="1"/>
      <c r="E480" s="1"/>
      <c r="F480" s="1"/>
      <c r="G480" s="1"/>
      <c r="H480" s="1"/>
      <c r="I480" s="1"/>
    </row>
    <row r="481" ht="15.75" customHeight="1">
      <c r="A481" s="1"/>
      <c r="B481" s="1"/>
      <c r="C481" s="1"/>
      <c r="D481" s="1"/>
      <c r="E481" s="1"/>
      <c r="F481" s="1"/>
      <c r="G481" s="1"/>
      <c r="H481" s="1"/>
      <c r="I481" s="1"/>
    </row>
    <row r="482" ht="15.75" customHeight="1">
      <c r="A482" s="1"/>
      <c r="B482" s="1"/>
      <c r="C482" s="1"/>
      <c r="D482" s="1"/>
      <c r="E482" s="1"/>
      <c r="F482" s="1"/>
      <c r="G482" s="1"/>
      <c r="H482" s="1"/>
      <c r="I482" s="1"/>
    </row>
    <row r="483" ht="15.75" customHeight="1">
      <c r="A483" s="1"/>
      <c r="B483" s="1"/>
      <c r="C483" s="1"/>
      <c r="D483" s="1"/>
      <c r="E483" s="1"/>
      <c r="F483" s="1"/>
      <c r="G483" s="1"/>
      <c r="H483" s="1"/>
      <c r="I483" s="1"/>
    </row>
    <row r="484" ht="15.75" customHeight="1">
      <c r="A484" s="1"/>
      <c r="B484" s="1"/>
      <c r="C484" s="1"/>
      <c r="D484" s="1"/>
      <c r="E484" s="1"/>
      <c r="F484" s="1"/>
      <c r="G484" s="1"/>
      <c r="H484" s="1"/>
      <c r="I484" s="1"/>
    </row>
    <row r="485" ht="15.75" customHeight="1">
      <c r="A485" s="1"/>
      <c r="B485" s="1"/>
      <c r="C485" s="1"/>
      <c r="D485" s="1"/>
      <c r="E485" s="1"/>
      <c r="F485" s="1"/>
      <c r="G485" s="1"/>
      <c r="H485" s="1"/>
      <c r="I485" s="1"/>
    </row>
    <row r="486" ht="15.75" customHeight="1">
      <c r="A486" s="1"/>
      <c r="B486" s="1"/>
      <c r="C486" s="1"/>
      <c r="D486" s="1"/>
      <c r="E486" s="1"/>
      <c r="F486" s="1"/>
      <c r="G486" s="1"/>
      <c r="H486" s="1"/>
      <c r="I486" s="1"/>
    </row>
    <row r="487" ht="15.75" customHeight="1">
      <c r="A487" s="1"/>
      <c r="B487" s="1"/>
      <c r="C487" s="1"/>
      <c r="D487" s="1"/>
      <c r="E487" s="1"/>
      <c r="F487" s="1"/>
      <c r="G487" s="1"/>
      <c r="H487" s="1"/>
      <c r="I487" s="1"/>
    </row>
    <row r="488" ht="15.75" customHeight="1">
      <c r="A488" s="1"/>
      <c r="B488" s="1"/>
      <c r="C488" s="1"/>
      <c r="D488" s="1"/>
      <c r="E488" s="1"/>
      <c r="F488" s="1"/>
      <c r="G488" s="1"/>
      <c r="H488" s="1"/>
      <c r="I488" s="1"/>
    </row>
    <row r="489" ht="15.75" customHeight="1">
      <c r="A489" s="1"/>
      <c r="B489" s="1"/>
      <c r="C489" s="1"/>
      <c r="D489" s="1"/>
      <c r="E489" s="1"/>
      <c r="F489" s="1"/>
      <c r="G489" s="1"/>
      <c r="H489" s="1"/>
      <c r="I489" s="1"/>
    </row>
    <row r="490" ht="15.75" customHeight="1">
      <c r="A490" s="1"/>
      <c r="B490" s="1"/>
      <c r="C490" s="1"/>
      <c r="D490" s="1"/>
      <c r="E490" s="1"/>
      <c r="F490" s="1"/>
      <c r="G490" s="1"/>
      <c r="H490" s="1"/>
      <c r="I490" s="1"/>
    </row>
    <row r="491" ht="15.75" customHeight="1">
      <c r="A491" s="1"/>
      <c r="B491" s="1"/>
      <c r="C491" s="1"/>
      <c r="D491" s="1"/>
      <c r="E491" s="1"/>
      <c r="F491" s="1"/>
      <c r="G491" s="1"/>
      <c r="H491" s="1"/>
      <c r="I491" s="1"/>
    </row>
    <row r="492" ht="15.75" customHeight="1">
      <c r="A492" s="1"/>
      <c r="B492" s="1"/>
      <c r="C492" s="1"/>
      <c r="D492" s="1"/>
      <c r="E492" s="1"/>
      <c r="F492" s="1"/>
      <c r="G492" s="1"/>
      <c r="H492" s="1"/>
      <c r="I492" s="1"/>
    </row>
    <row r="493" ht="15.75" customHeight="1">
      <c r="A493" s="1"/>
      <c r="B493" s="1"/>
      <c r="C493" s="1"/>
      <c r="D493" s="1"/>
      <c r="E493" s="1"/>
      <c r="F493" s="1"/>
      <c r="G493" s="1"/>
      <c r="H493" s="1"/>
      <c r="I493" s="1"/>
    </row>
    <row r="494" ht="15.75" customHeight="1">
      <c r="A494" s="1"/>
      <c r="B494" s="1"/>
      <c r="C494" s="1"/>
      <c r="D494" s="1"/>
      <c r="E494" s="1"/>
      <c r="F494" s="1"/>
      <c r="G494" s="1"/>
      <c r="H494" s="1"/>
      <c r="I494" s="1"/>
    </row>
    <row r="495" ht="15.75" customHeight="1">
      <c r="A495" s="1"/>
      <c r="B495" s="1"/>
      <c r="C495" s="1"/>
      <c r="D495" s="1"/>
      <c r="E495" s="1"/>
      <c r="F495" s="1"/>
      <c r="G495" s="1"/>
      <c r="H495" s="1"/>
      <c r="I495" s="1"/>
    </row>
    <row r="496" ht="15.75" customHeight="1">
      <c r="A496" s="1"/>
      <c r="B496" s="1"/>
      <c r="C496" s="1"/>
      <c r="D496" s="1"/>
      <c r="E496" s="1"/>
      <c r="F496" s="1"/>
      <c r="G496" s="1"/>
      <c r="H496" s="1"/>
      <c r="I496" s="1"/>
    </row>
    <row r="497" ht="15.75" customHeight="1">
      <c r="A497" s="1"/>
      <c r="B497" s="1"/>
      <c r="C497" s="1"/>
      <c r="D497" s="1"/>
      <c r="E497" s="1"/>
      <c r="F497" s="1"/>
      <c r="G497" s="1"/>
      <c r="H497" s="1"/>
      <c r="I497" s="1"/>
    </row>
    <row r="498" ht="15.75" customHeight="1">
      <c r="A498" s="1"/>
      <c r="B498" s="1"/>
      <c r="C498" s="1"/>
      <c r="D498" s="1"/>
      <c r="E498" s="1"/>
      <c r="F498" s="1"/>
      <c r="G498" s="1"/>
      <c r="H498" s="1"/>
      <c r="I498" s="1"/>
    </row>
    <row r="499" ht="15.75" customHeight="1">
      <c r="A499" s="1"/>
      <c r="B499" s="1"/>
      <c r="C499" s="1"/>
      <c r="D499" s="1"/>
      <c r="E499" s="1"/>
      <c r="F499" s="1"/>
      <c r="G499" s="1"/>
      <c r="H499" s="1"/>
      <c r="I499" s="1"/>
    </row>
    <row r="500" ht="15.75" customHeight="1">
      <c r="A500" s="1"/>
      <c r="B500" s="1"/>
      <c r="C500" s="1"/>
      <c r="D500" s="1"/>
      <c r="E500" s="1"/>
      <c r="F500" s="1"/>
      <c r="G500" s="1"/>
      <c r="H500" s="1"/>
      <c r="I500" s="1"/>
    </row>
    <row r="501" ht="15.75" customHeight="1">
      <c r="A501" s="1"/>
      <c r="B501" s="1"/>
      <c r="C501" s="1"/>
      <c r="D501" s="1"/>
      <c r="E501" s="1"/>
      <c r="F501" s="1"/>
      <c r="G501" s="1"/>
      <c r="H501" s="1"/>
      <c r="I501" s="1"/>
    </row>
    <row r="502" ht="15.75" customHeight="1">
      <c r="A502" s="1"/>
      <c r="B502" s="1"/>
      <c r="C502" s="1"/>
      <c r="D502" s="1"/>
      <c r="E502" s="1"/>
      <c r="F502" s="1"/>
      <c r="G502" s="1"/>
      <c r="H502" s="1"/>
      <c r="I502" s="1"/>
    </row>
    <row r="503" ht="15.75" customHeight="1">
      <c r="A503" s="1"/>
      <c r="B503" s="1"/>
      <c r="C503" s="1"/>
      <c r="D503" s="1"/>
      <c r="E503" s="1"/>
      <c r="F503" s="1"/>
      <c r="G503" s="1"/>
      <c r="H503" s="1"/>
      <c r="I503" s="1"/>
    </row>
    <row r="504" ht="15.75" customHeight="1">
      <c r="A504" s="1"/>
      <c r="B504" s="1"/>
      <c r="C504" s="1"/>
      <c r="D504" s="1"/>
      <c r="E504" s="1"/>
      <c r="F504" s="1"/>
      <c r="G504" s="1"/>
      <c r="H504" s="1"/>
      <c r="I504" s="1"/>
    </row>
    <row r="505" ht="15.75" customHeight="1">
      <c r="A505" s="1"/>
      <c r="B505" s="1"/>
      <c r="C505" s="1"/>
      <c r="D505" s="1"/>
      <c r="E505" s="1"/>
      <c r="F505" s="1"/>
      <c r="G505" s="1"/>
      <c r="H505" s="1"/>
      <c r="I505" s="1"/>
    </row>
    <row r="506" ht="15.75" customHeight="1">
      <c r="A506" s="1"/>
      <c r="B506" s="1"/>
      <c r="C506" s="1"/>
      <c r="D506" s="1"/>
      <c r="E506" s="1"/>
      <c r="F506" s="1"/>
      <c r="G506" s="1"/>
      <c r="H506" s="1"/>
      <c r="I506" s="1"/>
    </row>
    <row r="507" ht="15.75" customHeight="1">
      <c r="A507" s="1"/>
      <c r="B507" s="1"/>
      <c r="C507" s="1"/>
      <c r="D507" s="1"/>
      <c r="E507" s="1"/>
      <c r="F507" s="1"/>
      <c r="G507" s="1"/>
      <c r="H507" s="1"/>
      <c r="I507" s="1"/>
    </row>
    <row r="508" ht="15.75" customHeight="1">
      <c r="A508" s="1"/>
      <c r="B508" s="1"/>
      <c r="C508" s="1"/>
      <c r="D508" s="1"/>
      <c r="E508" s="1"/>
      <c r="F508" s="1"/>
      <c r="G508" s="1"/>
      <c r="H508" s="1"/>
      <c r="I508" s="1"/>
    </row>
    <row r="509" ht="15.75" customHeight="1">
      <c r="A509" s="1"/>
      <c r="B509" s="1"/>
      <c r="C509" s="1"/>
      <c r="D509" s="1"/>
      <c r="E509" s="1"/>
      <c r="F509" s="1"/>
      <c r="G509" s="1"/>
      <c r="H509" s="1"/>
      <c r="I509" s="1"/>
    </row>
    <row r="510" ht="15.75" customHeight="1">
      <c r="A510" s="1"/>
      <c r="B510" s="1"/>
      <c r="C510" s="1"/>
      <c r="D510" s="1"/>
      <c r="E510" s="1"/>
      <c r="F510" s="1"/>
      <c r="G510" s="1"/>
      <c r="H510" s="1"/>
      <c r="I510" s="1"/>
    </row>
    <row r="511" ht="15.75" customHeight="1">
      <c r="A511" s="1"/>
      <c r="B511" s="1"/>
      <c r="C511" s="1"/>
      <c r="D511" s="1"/>
      <c r="E511" s="1"/>
      <c r="F511" s="1"/>
      <c r="G511" s="1"/>
      <c r="H511" s="1"/>
      <c r="I511" s="1"/>
    </row>
    <row r="512" ht="15.75" customHeight="1">
      <c r="A512" s="1"/>
      <c r="B512" s="1"/>
      <c r="C512" s="1"/>
      <c r="D512" s="1"/>
      <c r="E512" s="1"/>
      <c r="F512" s="1"/>
      <c r="G512" s="1"/>
      <c r="H512" s="1"/>
      <c r="I512" s="1"/>
    </row>
    <row r="513" ht="15.75" customHeight="1">
      <c r="A513" s="1"/>
      <c r="B513" s="1"/>
      <c r="C513" s="1"/>
      <c r="D513" s="1"/>
      <c r="E513" s="1"/>
      <c r="F513" s="1"/>
      <c r="G513" s="1"/>
      <c r="H513" s="1"/>
      <c r="I513" s="1"/>
    </row>
    <row r="514" ht="15.75" customHeight="1">
      <c r="A514" s="1"/>
      <c r="B514" s="1"/>
      <c r="C514" s="1"/>
      <c r="D514" s="1"/>
      <c r="E514" s="1"/>
      <c r="F514" s="1"/>
      <c r="G514" s="1"/>
      <c r="H514" s="1"/>
      <c r="I514" s="1"/>
    </row>
    <row r="515" ht="15.75" customHeight="1">
      <c r="A515" s="1"/>
      <c r="B515" s="1"/>
      <c r="C515" s="1"/>
      <c r="D515" s="1"/>
      <c r="E515" s="1"/>
      <c r="F515" s="1"/>
      <c r="G515" s="1"/>
      <c r="H515" s="1"/>
      <c r="I515" s="1"/>
    </row>
    <row r="516" ht="15.75" customHeight="1">
      <c r="A516" s="1"/>
      <c r="B516" s="1"/>
      <c r="C516" s="1"/>
      <c r="D516" s="1"/>
      <c r="E516" s="1"/>
      <c r="F516" s="1"/>
      <c r="G516" s="1"/>
      <c r="H516" s="1"/>
      <c r="I516" s="1"/>
    </row>
    <row r="517" ht="15.75" customHeight="1">
      <c r="A517" s="1"/>
      <c r="B517" s="1"/>
      <c r="C517" s="1"/>
      <c r="D517" s="1"/>
      <c r="E517" s="1"/>
      <c r="F517" s="1"/>
      <c r="G517" s="1"/>
      <c r="H517" s="1"/>
      <c r="I517" s="1"/>
    </row>
    <row r="518" ht="15.75" customHeight="1">
      <c r="A518" s="1"/>
      <c r="B518" s="1"/>
      <c r="C518" s="1"/>
      <c r="D518" s="1"/>
      <c r="E518" s="1"/>
      <c r="F518" s="1"/>
      <c r="G518" s="1"/>
      <c r="H518" s="1"/>
      <c r="I518" s="1"/>
    </row>
    <row r="519" ht="15.75" customHeight="1">
      <c r="A519" s="1"/>
      <c r="B519" s="1"/>
      <c r="C519" s="1"/>
      <c r="D519" s="1"/>
      <c r="E519" s="1"/>
      <c r="F519" s="1"/>
      <c r="G519" s="1"/>
      <c r="H519" s="1"/>
      <c r="I519" s="1"/>
    </row>
    <row r="520" ht="15.75" customHeight="1">
      <c r="A520" s="1"/>
      <c r="B520" s="1"/>
      <c r="C520" s="1"/>
      <c r="D520" s="1"/>
      <c r="E520" s="1"/>
      <c r="F520" s="1"/>
      <c r="G520" s="1"/>
      <c r="H520" s="1"/>
      <c r="I520" s="1"/>
    </row>
    <row r="521" ht="15.75" customHeight="1">
      <c r="A521" s="1"/>
      <c r="B521" s="1"/>
      <c r="C521" s="1"/>
      <c r="D521" s="1"/>
      <c r="E521" s="1"/>
      <c r="F521" s="1"/>
      <c r="G521" s="1"/>
      <c r="H521" s="1"/>
      <c r="I521" s="1"/>
    </row>
    <row r="522" ht="15.75" customHeight="1">
      <c r="A522" s="1"/>
      <c r="B522" s="1"/>
      <c r="C522" s="1"/>
      <c r="D522" s="1"/>
      <c r="E522" s="1"/>
      <c r="F522" s="1"/>
      <c r="G522" s="1"/>
      <c r="H522" s="1"/>
      <c r="I522" s="1"/>
    </row>
    <row r="523" ht="15.75" customHeight="1">
      <c r="A523" s="1"/>
      <c r="B523" s="1"/>
      <c r="C523" s="1"/>
      <c r="D523" s="1"/>
      <c r="E523" s="1"/>
      <c r="F523" s="1"/>
      <c r="G523" s="1"/>
      <c r="H523" s="1"/>
      <c r="I523" s="1"/>
    </row>
    <row r="524" ht="15.75" customHeight="1">
      <c r="A524" s="1"/>
      <c r="B524" s="1"/>
      <c r="C524" s="1"/>
      <c r="D524" s="1"/>
      <c r="E524" s="1"/>
      <c r="F524" s="1"/>
      <c r="G524" s="1"/>
      <c r="H524" s="1"/>
      <c r="I524" s="1"/>
    </row>
    <row r="525" ht="15.75" customHeight="1">
      <c r="A525" s="1"/>
      <c r="B525" s="1"/>
      <c r="C525" s="1"/>
      <c r="D525" s="1"/>
      <c r="E525" s="1"/>
      <c r="F525" s="1"/>
      <c r="G525" s="1"/>
      <c r="H525" s="1"/>
      <c r="I525" s="1"/>
    </row>
    <row r="526" ht="15.75" customHeight="1">
      <c r="A526" s="1"/>
      <c r="B526" s="1"/>
      <c r="C526" s="1"/>
      <c r="D526" s="1"/>
      <c r="E526" s="1"/>
      <c r="F526" s="1"/>
      <c r="G526" s="1"/>
      <c r="H526" s="1"/>
      <c r="I526" s="1"/>
    </row>
    <row r="527" ht="15.75" customHeight="1">
      <c r="A527" s="1"/>
      <c r="B527" s="1"/>
      <c r="C527" s="1"/>
      <c r="D527" s="1"/>
      <c r="E527" s="1"/>
      <c r="F527" s="1"/>
      <c r="G527" s="1"/>
      <c r="H527" s="1"/>
      <c r="I527" s="1"/>
    </row>
    <row r="528" ht="15.75" customHeight="1">
      <c r="A528" s="1"/>
      <c r="B528" s="1"/>
      <c r="C528" s="1"/>
      <c r="D528" s="1"/>
      <c r="E528" s="1"/>
      <c r="F528" s="1"/>
      <c r="G528" s="1"/>
      <c r="H528" s="1"/>
      <c r="I528" s="1"/>
    </row>
    <row r="529" ht="15.75" customHeight="1">
      <c r="A529" s="1"/>
      <c r="B529" s="1"/>
      <c r="C529" s="1"/>
      <c r="D529" s="1"/>
      <c r="E529" s="1"/>
      <c r="F529" s="1"/>
      <c r="G529" s="1"/>
      <c r="H529" s="1"/>
      <c r="I529" s="1"/>
    </row>
    <row r="530" ht="15.75" customHeight="1">
      <c r="A530" s="1"/>
      <c r="B530" s="1"/>
      <c r="C530" s="1"/>
      <c r="D530" s="1"/>
      <c r="E530" s="1"/>
      <c r="F530" s="1"/>
      <c r="G530" s="1"/>
      <c r="H530" s="1"/>
      <c r="I530" s="1"/>
    </row>
    <row r="531" ht="15.75" customHeight="1">
      <c r="A531" s="1"/>
      <c r="B531" s="1"/>
      <c r="C531" s="1"/>
      <c r="D531" s="1"/>
      <c r="E531" s="1"/>
      <c r="F531" s="1"/>
      <c r="G531" s="1"/>
      <c r="H531" s="1"/>
      <c r="I531" s="1"/>
    </row>
    <row r="532" ht="15.75" customHeight="1">
      <c r="A532" s="1"/>
      <c r="B532" s="1"/>
      <c r="C532" s="1"/>
      <c r="D532" s="1"/>
      <c r="E532" s="1"/>
      <c r="F532" s="1"/>
      <c r="G532" s="1"/>
      <c r="H532" s="1"/>
      <c r="I532" s="1"/>
    </row>
    <row r="533" ht="15.75" customHeight="1">
      <c r="A533" s="1"/>
      <c r="B533" s="1"/>
      <c r="C533" s="1"/>
      <c r="D533" s="1"/>
      <c r="E533" s="1"/>
      <c r="F533" s="1"/>
      <c r="G533" s="1"/>
      <c r="H533" s="1"/>
      <c r="I533" s="1"/>
    </row>
    <row r="534" ht="15.75" customHeight="1">
      <c r="A534" s="1"/>
      <c r="B534" s="1"/>
      <c r="C534" s="1"/>
      <c r="D534" s="1"/>
      <c r="E534" s="1"/>
      <c r="F534" s="1"/>
      <c r="G534" s="1"/>
      <c r="H534" s="1"/>
      <c r="I534" s="1"/>
    </row>
    <row r="535" ht="15.75" customHeight="1">
      <c r="A535" s="1"/>
      <c r="B535" s="1"/>
      <c r="C535" s="1"/>
      <c r="D535" s="1"/>
      <c r="E535" s="1"/>
      <c r="F535" s="1"/>
      <c r="G535" s="1"/>
      <c r="H535" s="1"/>
      <c r="I535" s="1"/>
    </row>
    <row r="536" ht="15.75" customHeight="1">
      <c r="A536" s="1"/>
      <c r="B536" s="1"/>
      <c r="C536" s="1"/>
      <c r="D536" s="1"/>
      <c r="E536" s="1"/>
      <c r="F536" s="1"/>
      <c r="G536" s="1"/>
      <c r="H536" s="1"/>
      <c r="I536" s="1"/>
    </row>
    <row r="537" ht="15.75" customHeight="1">
      <c r="A537" s="1"/>
      <c r="B537" s="1"/>
      <c r="C537" s="1"/>
      <c r="D537" s="1"/>
      <c r="E537" s="1"/>
      <c r="F537" s="1"/>
      <c r="G537" s="1"/>
      <c r="H537" s="1"/>
      <c r="I537" s="1"/>
    </row>
    <row r="538" ht="15.75" customHeight="1">
      <c r="A538" s="1"/>
      <c r="B538" s="1"/>
      <c r="C538" s="1"/>
      <c r="D538" s="1"/>
      <c r="E538" s="1"/>
      <c r="F538" s="1"/>
      <c r="G538" s="1"/>
      <c r="H538" s="1"/>
      <c r="I538" s="1"/>
    </row>
    <row r="539" ht="15.75" customHeight="1">
      <c r="A539" s="1"/>
      <c r="B539" s="1"/>
      <c r="C539" s="1"/>
      <c r="D539" s="1"/>
      <c r="E539" s="1"/>
      <c r="F539" s="1"/>
      <c r="G539" s="1"/>
      <c r="H539" s="1"/>
      <c r="I539" s="1"/>
    </row>
    <row r="540" ht="15.75" customHeight="1">
      <c r="A540" s="1"/>
      <c r="B540" s="1"/>
      <c r="C540" s="1"/>
      <c r="D540" s="1"/>
      <c r="E540" s="1"/>
      <c r="F540" s="1"/>
      <c r="G540" s="1"/>
      <c r="H540" s="1"/>
      <c r="I540" s="1"/>
    </row>
    <row r="541" ht="15.75" customHeight="1">
      <c r="A541" s="1"/>
      <c r="B541" s="1"/>
      <c r="C541" s="1"/>
      <c r="D541" s="1"/>
      <c r="E541" s="1"/>
      <c r="F541" s="1"/>
      <c r="G541" s="1"/>
      <c r="H541" s="1"/>
      <c r="I541" s="1"/>
    </row>
    <row r="542" ht="15.75" customHeight="1">
      <c r="A542" s="1"/>
      <c r="B542" s="1"/>
      <c r="C542" s="1"/>
      <c r="D542" s="1"/>
      <c r="E542" s="1"/>
      <c r="F542" s="1"/>
      <c r="G542" s="1"/>
      <c r="H542" s="1"/>
      <c r="I542" s="1"/>
    </row>
    <row r="543" ht="15.75" customHeight="1">
      <c r="A543" s="1"/>
      <c r="B543" s="1"/>
      <c r="C543" s="1"/>
      <c r="D543" s="1"/>
      <c r="E543" s="1"/>
      <c r="F543" s="1"/>
      <c r="G543" s="1"/>
      <c r="H543" s="1"/>
      <c r="I543" s="1"/>
    </row>
    <row r="544" ht="15.75" customHeight="1">
      <c r="A544" s="1"/>
      <c r="B544" s="1"/>
      <c r="C544" s="1"/>
      <c r="D544" s="1"/>
      <c r="E544" s="1"/>
      <c r="F544" s="1"/>
      <c r="G544" s="1"/>
      <c r="H544" s="1"/>
      <c r="I544" s="1"/>
    </row>
    <row r="545" ht="15.75" customHeight="1">
      <c r="A545" s="1"/>
      <c r="B545" s="1"/>
      <c r="C545" s="1"/>
      <c r="D545" s="1"/>
      <c r="E545" s="1"/>
      <c r="F545" s="1"/>
      <c r="G545" s="1"/>
      <c r="H545" s="1"/>
      <c r="I545" s="1"/>
    </row>
    <row r="546" ht="15.75" customHeight="1">
      <c r="A546" s="1"/>
      <c r="B546" s="1"/>
      <c r="C546" s="1"/>
      <c r="D546" s="1"/>
      <c r="E546" s="1"/>
      <c r="F546" s="1"/>
      <c r="G546" s="1"/>
      <c r="H546" s="1"/>
      <c r="I546" s="1"/>
    </row>
    <row r="547" ht="15.75" customHeight="1">
      <c r="A547" s="1"/>
      <c r="B547" s="1"/>
      <c r="C547" s="1"/>
      <c r="D547" s="1"/>
      <c r="E547" s="1"/>
      <c r="F547" s="1"/>
      <c r="G547" s="1"/>
      <c r="H547" s="1"/>
      <c r="I547" s="1"/>
    </row>
    <row r="548" ht="15.75" customHeight="1">
      <c r="A548" s="1"/>
      <c r="B548" s="1"/>
      <c r="C548" s="1"/>
      <c r="D548" s="1"/>
      <c r="E548" s="1"/>
      <c r="F548" s="1"/>
      <c r="G548" s="1"/>
      <c r="H548" s="1"/>
      <c r="I548" s="1"/>
    </row>
    <row r="549" ht="15.75" customHeight="1">
      <c r="A549" s="1"/>
      <c r="B549" s="1"/>
      <c r="C549" s="1"/>
      <c r="D549" s="1"/>
      <c r="E549" s="1"/>
      <c r="F549" s="1"/>
      <c r="G549" s="1"/>
      <c r="H549" s="1"/>
      <c r="I549" s="1"/>
    </row>
    <row r="550" ht="15.75" customHeight="1">
      <c r="A550" s="1"/>
      <c r="B550" s="1"/>
      <c r="C550" s="1"/>
      <c r="D550" s="1"/>
      <c r="E550" s="1"/>
      <c r="F550" s="1"/>
      <c r="G550" s="1"/>
      <c r="H550" s="1"/>
      <c r="I550" s="1"/>
    </row>
    <row r="551" ht="15.75" customHeight="1">
      <c r="A551" s="1"/>
      <c r="B551" s="1"/>
      <c r="C551" s="1"/>
      <c r="D551" s="1"/>
      <c r="E551" s="1"/>
      <c r="F551" s="1"/>
      <c r="G551" s="1"/>
      <c r="H551" s="1"/>
      <c r="I551" s="1"/>
    </row>
    <row r="552" ht="15.75" customHeight="1">
      <c r="A552" s="1"/>
      <c r="B552" s="1"/>
      <c r="C552" s="1"/>
      <c r="D552" s="1"/>
      <c r="E552" s="1"/>
      <c r="F552" s="1"/>
      <c r="G552" s="1"/>
      <c r="H552" s="1"/>
      <c r="I552" s="1"/>
    </row>
    <row r="553" ht="15.75" customHeight="1">
      <c r="A553" s="1"/>
      <c r="B553" s="1"/>
      <c r="C553" s="1"/>
      <c r="D553" s="1"/>
      <c r="E553" s="1"/>
      <c r="F553" s="1"/>
      <c r="G553" s="1"/>
      <c r="H553" s="1"/>
      <c r="I553" s="1"/>
    </row>
    <row r="554" ht="15.75" customHeight="1">
      <c r="A554" s="1"/>
      <c r="B554" s="1"/>
      <c r="C554" s="1"/>
      <c r="D554" s="1"/>
      <c r="E554" s="1"/>
      <c r="F554" s="1"/>
      <c r="G554" s="1"/>
      <c r="H554" s="1"/>
      <c r="I554" s="1"/>
    </row>
    <row r="555" ht="15.75" customHeight="1">
      <c r="A555" s="1"/>
      <c r="B555" s="1"/>
      <c r="C555" s="1"/>
      <c r="D555" s="1"/>
      <c r="E555" s="1"/>
      <c r="F555" s="1"/>
      <c r="G555" s="1"/>
      <c r="H555" s="1"/>
      <c r="I555" s="1"/>
    </row>
    <row r="556" ht="15.75" customHeight="1">
      <c r="A556" s="1"/>
      <c r="B556" s="1"/>
      <c r="C556" s="1"/>
      <c r="D556" s="1"/>
      <c r="E556" s="1"/>
      <c r="F556" s="1"/>
      <c r="G556" s="1"/>
      <c r="H556" s="1"/>
      <c r="I556" s="1"/>
    </row>
    <row r="557" ht="15.75" customHeight="1">
      <c r="A557" s="1"/>
      <c r="B557" s="1"/>
      <c r="C557" s="1"/>
      <c r="D557" s="1"/>
      <c r="E557" s="1"/>
      <c r="F557" s="1"/>
      <c r="G557" s="1"/>
      <c r="H557" s="1"/>
      <c r="I557" s="1"/>
    </row>
    <row r="558" ht="15.75" customHeight="1">
      <c r="A558" s="1"/>
      <c r="B558" s="1"/>
      <c r="C558" s="1"/>
      <c r="D558" s="1"/>
      <c r="E558" s="1"/>
      <c r="F558" s="1"/>
      <c r="G558" s="1"/>
      <c r="H558" s="1"/>
      <c r="I558" s="1"/>
    </row>
    <row r="559" ht="15.75" customHeight="1">
      <c r="A559" s="1"/>
      <c r="B559" s="1"/>
      <c r="C559" s="1"/>
      <c r="D559" s="1"/>
      <c r="E559" s="1"/>
      <c r="F559" s="1"/>
      <c r="G559" s="1"/>
      <c r="H559" s="1"/>
      <c r="I559" s="1"/>
    </row>
    <row r="560" ht="15.75" customHeight="1">
      <c r="A560" s="1"/>
      <c r="B560" s="1"/>
      <c r="C560" s="1"/>
      <c r="D560" s="1"/>
      <c r="E560" s="1"/>
      <c r="F560" s="1"/>
      <c r="G560" s="1"/>
      <c r="H560" s="1"/>
      <c r="I560" s="1"/>
    </row>
    <row r="561" ht="15.75" customHeight="1">
      <c r="A561" s="1"/>
      <c r="B561" s="1"/>
      <c r="C561" s="1"/>
      <c r="D561" s="1"/>
      <c r="E561" s="1"/>
      <c r="F561" s="1"/>
      <c r="G561" s="1"/>
      <c r="H561" s="1"/>
      <c r="I561" s="1"/>
    </row>
    <row r="562" ht="15.75" customHeight="1">
      <c r="A562" s="1"/>
      <c r="B562" s="1"/>
      <c r="C562" s="1"/>
      <c r="D562" s="1"/>
      <c r="E562" s="1"/>
      <c r="F562" s="1"/>
      <c r="G562" s="1"/>
      <c r="H562" s="1"/>
      <c r="I562" s="1"/>
    </row>
    <row r="563" ht="15.75" customHeight="1">
      <c r="A563" s="1"/>
      <c r="B563" s="1"/>
      <c r="C563" s="1"/>
      <c r="D563" s="1"/>
      <c r="E563" s="1"/>
      <c r="F563" s="1"/>
      <c r="G563" s="1"/>
      <c r="H563" s="1"/>
      <c r="I563" s="1"/>
    </row>
    <row r="564" ht="15.75" customHeight="1">
      <c r="A564" s="1"/>
      <c r="B564" s="1"/>
      <c r="C564" s="1"/>
      <c r="D564" s="1"/>
      <c r="E564" s="1"/>
      <c r="F564" s="1"/>
      <c r="G564" s="1"/>
      <c r="H564" s="1"/>
      <c r="I564" s="1"/>
    </row>
    <row r="565" ht="15.75" customHeight="1">
      <c r="A565" s="1"/>
      <c r="B565" s="1"/>
      <c r="C565" s="1"/>
      <c r="D565" s="1"/>
      <c r="E565" s="1"/>
      <c r="F565" s="1"/>
      <c r="G565" s="1"/>
      <c r="H565" s="1"/>
      <c r="I565" s="1"/>
    </row>
    <row r="566" ht="15.75" customHeight="1">
      <c r="A566" s="1"/>
      <c r="B566" s="1"/>
      <c r="C566" s="1"/>
      <c r="D566" s="1"/>
      <c r="E566" s="1"/>
      <c r="F566" s="1"/>
      <c r="G566" s="1"/>
      <c r="H566" s="1"/>
      <c r="I566" s="1"/>
    </row>
    <row r="567" ht="15.75" customHeight="1">
      <c r="A567" s="1"/>
      <c r="B567" s="1"/>
      <c r="C567" s="1"/>
      <c r="D567" s="1"/>
      <c r="E567" s="1"/>
      <c r="F567" s="1"/>
      <c r="G567" s="1"/>
      <c r="H567" s="1"/>
      <c r="I567" s="1"/>
    </row>
    <row r="568" ht="15.75" customHeight="1">
      <c r="A568" s="1"/>
      <c r="B568" s="1"/>
      <c r="C568" s="1"/>
      <c r="D568" s="1"/>
      <c r="E568" s="1"/>
      <c r="F568" s="1"/>
      <c r="G568" s="1"/>
      <c r="H568" s="1"/>
      <c r="I568" s="1"/>
    </row>
    <row r="569" ht="15.75" customHeight="1">
      <c r="A569" s="1"/>
      <c r="B569" s="1"/>
      <c r="C569" s="1"/>
      <c r="D569" s="1"/>
      <c r="E569" s="1"/>
      <c r="F569" s="1"/>
      <c r="G569" s="1"/>
      <c r="H569" s="1"/>
      <c r="I569" s="1"/>
    </row>
    <row r="570" ht="15.75" customHeight="1">
      <c r="A570" s="1"/>
      <c r="B570" s="1"/>
      <c r="C570" s="1"/>
      <c r="D570" s="1"/>
      <c r="E570" s="1"/>
      <c r="F570" s="1"/>
      <c r="G570" s="1"/>
      <c r="H570" s="1"/>
      <c r="I570" s="1"/>
    </row>
    <row r="571" ht="15.75" customHeight="1">
      <c r="A571" s="1"/>
      <c r="B571" s="1"/>
      <c r="C571" s="1"/>
      <c r="D571" s="1"/>
      <c r="E571" s="1"/>
      <c r="F571" s="1"/>
      <c r="G571" s="1"/>
      <c r="H571" s="1"/>
      <c r="I571" s="1"/>
    </row>
    <row r="572" ht="15.75" customHeight="1">
      <c r="A572" s="1"/>
      <c r="B572" s="1"/>
      <c r="C572" s="1"/>
      <c r="D572" s="1"/>
      <c r="E572" s="1"/>
      <c r="F572" s="1"/>
      <c r="G572" s="1"/>
      <c r="H572" s="1"/>
      <c r="I572" s="1"/>
    </row>
    <row r="573" ht="15.75" customHeight="1">
      <c r="A573" s="1"/>
      <c r="B573" s="1"/>
      <c r="C573" s="1"/>
      <c r="D573" s="1"/>
      <c r="E573" s="1"/>
      <c r="F573" s="1"/>
      <c r="G573" s="1"/>
      <c r="H573" s="1"/>
      <c r="I573" s="1"/>
    </row>
    <row r="574" ht="15.75" customHeight="1">
      <c r="A574" s="1"/>
      <c r="B574" s="1"/>
      <c r="C574" s="1"/>
      <c r="D574" s="1"/>
      <c r="E574" s="1"/>
      <c r="F574" s="1"/>
      <c r="G574" s="1"/>
      <c r="H574" s="1"/>
      <c r="I574" s="1"/>
    </row>
    <row r="575" ht="15.75" customHeight="1">
      <c r="A575" s="1"/>
      <c r="B575" s="1"/>
      <c r="C575" s="1"/>
      <c r="D575" s="1"/>
      <c r="E575" s="1"/>
      <c r="F575" s="1"/>
      <c r="G575" s="1"/>
      <c r="H575" s="1"/>
      <c r="I575" s="1"/>
    </row>
    <row r="576" ht="15.75" customHeight="1">
      <c r="A576" s="1"/>
      <c r="B576" s="1"/>
      <c r="C576" s="1"/>
      <c r="D576" s="1"/>
      <c r="E576" s="1"/>
      <c r="F576" s="1"/>
      <c r="G576" s="1"/>
      <c r="H576" s="1"/>
      <c r="I576" s="1"/>
    </row>
    <row r="577" ht="15.75" customHeight="1">
      <c r="A577" s="1"/>
      <c r="B577" s="1"/>
      <c r="C577" s="1"/>
      <c r="D577" s="1"/>
      <c r="E577" s="1"/>
      <c r="F577" s="1"/>
      <c r="G577" s="1"/>
      <c r="H577" s="1"/>
      <c r="I577" s="1"/>
    </row>
    <row r="578" ht="15.75" customHeight="1">
      <c r="A578" s="1"/>
      <c r="B578" s="1"/>
      <c r="C578" s="1"/>
      <c r="D578" s="1"/>
      <c r="E578" s="1"/>
      <c r="F578" s="1"/>
      <c r="G578" s="1"/>
      <c r="H578" s="1"/>
      <c r="I578" s="1"/>
    </row>
    <row r="579" ht="15.75" customHeight="1">
      <c r="A579" s="1"/>
      <c r="B579" s="1"/>
      <c r="C579" s="1"/>
      <c r="D579" s="1"/>
      <c r="E579" s="1"/>
      <c r="F579" s="1"/>
      <c r="G579" s="1"/>
      <c r="H579" s="1"/>
      <c r="I579" s="1"/>
    </row>
    <row r="580" ht="15.75" customHeight="1">
      <c r="A580" s="1"/>
      <c r="B580" s="1"/>
      <c r="C580" s="1"/>
      <c r="D580" s="1"/>
      <c r="E580" s="1"/>
      <c r="F580" s="1"/>
      <c r="G580" s="1"/>
      <c r="H580" s="1"/>
      <c r="I580" s="1"/>
    </row>
    <row r="581" ht="15.75" customHeight="1">
      <c r="A581" s="1"/>
      <c r="B581" s="1"/>
      <c r="C581" s="1"/>
      <c r="D581" s="1"/>
      <c r="E581" s="1"/>
      <c r="F581" s="1"/>
      <c r="G581" s="1"/>
      <c r="H581" s="1"/>
      <c r="I581" s="1"/>
    </row>
    <row r="582" ht="15.75" customHeight="1">
      <c r="A582" s="1"/>
      <c r="B582" s="1"/>
      <c r="C582" s="1"/>
      <c r="D582" s="1"/>
      <c r="E582" s="1"/>
      <c r="F582" s="1"/>
      <c r="G582" s="1"/>
      <c r="H582" s="1"/>
      <c r="I582" s="1"/>
    </row>
    <row r="583" ht="15.75" customHeight="1">
      <c r="A583" s="1"/>
      <c r="B583" s="1"/>
      <c r="C583" s="1"/>
      <c r="D583" s="1"/>
      <c r="E583" s="1"/>
      <c r="F583" s="1"/>
      <c r="G583" s="1"/>
      <c r="H583" s="1"/>
      <c r="I583" s="1"/>
    </row>
    <row r="584" ht="15.75" customHeight="1">
      <c r="A584" s="1"/>
      <c r="B584" s="1"/>
      <c r="C584" s="1"/>
      <c r="D584" s="1"/>
      <c r="E584" s="1"/>
      <c r="F584" s="1"/>
      <c r="G584" s="1"/>
      <c r="H584" s="1"/>
      <c r="I584" s="1"/>
    </row>
    <row r="585" ht="15.75" customHeight="1">
      <c r="A585" s="1"/>
      <c r="B585" s="1"/>
      <c r="C585" s="1"/>
      <c r="D585" s="1"/>
      <c r="E585" s="1"/>
      <c r="F585" s="1"/>
      <c r="G585" s="1"/>
      <c r="H585" s="1"/>
      <c r="I585" s="1"/>
    </row>
    <row r="586" ht="15.75" customHeight="1">
      <c r="A586" s="1"/>
      <c r="B586" s="1"/>
      <c r="C586" s="1"/>
      <c r="D586" s="1"/>
      <c r="E586" s="1"/>
      <c r="F586" s="1"/>
      <c r="G586" s="1"/>
      <c r="H586" s="1"/>
      <c r="I586" s="1"/>
    </row>
    <row r="587" ht="15.75" customHeight="1">
      <c r="A587" s="1"/>
      <c r="B587" s="1"/>
      <c r="C587" s="1"/>
      <c r="D587" s="1"/>
      <c r="E587" s="1"/>
      <c r="F587" s="1"/>
      <c r="G587" s="1"/>
      <c r="H587" s="1"/>
      <c r="I587" s="1"/>
    </row>
    <row r="588" ht="15.75" customHeight="1">
      <c r="A588" s="1"/>
      <c r="B588" s="1"/>
      <c r="C588" s="1"/>
      <c r="D588" s="1"/>
      <c r="E588" s="1"/>
      <c r="F588" s="1"/>
      <c r="G588" s="1"/>
      <c r="H588" s="1"/>
      <c r="I588" s="1"/>
    </row>
    <row r="589" ht="15.75" customHeight="1">
      <c r="A589" s="1"/>
      <c r="B589" s="1"/>
      <c r="C589" s="1"/>
      <c r="D589" s="1"/>
      <c r="E589" s="1"/>
      <c r="F589" s="1"/>
      <c r="G589" s="1"/>
      <c r="H589" s="1"/>
      <c r="I589" s="1"/>
    </row>
    <row r="590" ht="15.75" customHeight="1">
      <c r="A590" s="1"/>
      <c r="B590" s="1"/>
      <c r="C590" s="1"/>
      <c r="D590" s="1"/>
      <c r="E590" s="1"/>
      <c r="F590" s="1"/>
      <c r="G590" s="1"/>
      <c r="H590" s="1"/>
      <c r="I590" s="1"/>
    </row>
    <row r="591" ht="15.75" customHeight="1">
      <c r="A591" s="1"/>
      <c r="B591" s="1"/>
      <c r="C591" s="1"/>
      <c r="D591" s="1"/>
      <c r="E591" s="1"/>
      <c r="F591" s="1"/>
      <c r="G591" s="1"/>
      <c r="H591" s="1"/>
      <c r="I591" s="1"/>
    </row>
    <row r="592" ht="15.75" customHeight="1">
      <c r="A592" s="1"/>
      <c r="B592" s="1"/>
      <c r="C592" s="1"/>
      <c r="D592" s="1"/>
      <c r="E592" s="1"/>
      <c r="F592" s="1"/>
      <c r="G592" s="1"/>
      <c r="H592" s="1"/>
      <c r="I592" s="1"/>
    </row>
    <row r="593" ht="15.75" customHeight="1">
      <c r="A593" s="1"/>
      <c r="B593" s="1"/>
      <c r="C593" s="1"/>
      <c r="D593" s="1"/>
      <c r="E593" s="1"/>
      <c r="F593" s="1"/>
      <c r="G593" s="1"/>
      <c r="H593" s="1"/>
      <c r="I593" s="1"/>
    </row>
    <row r="594" ht="15.75" customHeight="1">
      <c r="A594" s="1"/>
      <c r="B594" s="1"/>
      <c r="C594" s="1"/>
      <c r="D594" s="1"/>
      <c r="E594" s="1"/>
      <c r="F594" s="1"/>
      <c r="G594" s="1"/>
      <c r="H594" s="1"/>
      <c r="I594" s="1"/>
    </row>
    <row r="595" ht="15.75" customHeight="1">
      <c r="A595" s="1"/>
      <c r="B595" s="1"/>
      <c r="C595" s="1"/>
      <c r="D595" s="1"/>
      <c r="E595" s="1"/>
      <c r="F595" s="1"/>
      <c r="G595" s="1"/>
      <c r="H595" s="1"/>
      <c r="I595" s="1"/>
    </row>
    <row r="596" ht="15.75" customHeight="1">
      <c r="A596" s="1"/>
      <c r="B596" s="1"/>
      <c r="C596" s="1"/>
      <c r="D596" s="1"/>
      <c r="E596" s="1"/>
      <c r="F596" s="1"/>
      <c r="G596" s="1"/>
      <c r="H596" s="1"/>
      <c r="I596" s="1"/>
    </row>
    <row r="597" ht="15.75" customHeight="1">
      <c r="A597" s="1"/>
      <c r="B597" s="1"/>
      <c r="C597" s="1"/>
      <c r="D597" s="1"/>
      <c r="E597" s="1"/>
      <c r="F597" s="1"/>
      <c r="G597" s="1"/>
      <c r="H597" s="1"/>
      <c r="I597" s="1"/>
    </row>
    <row r="598" ht="15.75" customHeight="1">
      <c r="A598" s="1"/>
      <c r="B598" s="1"/>
      <c r="C598" s="1"/>
      <c r="D598" s="1"/>
      <c r="E598" s="1"/>
      <c r="F598" s="1"/>
      <c r="G598" s="1"/>
      <c r="H598" s="1"/>
      <c r="I598" s="1"/>
    </row>
    <row r="599" ht="15.75" customHeight="1">
      <c r="A599" s="1"/>
      <c r="B599" s="1"/>
      <c r="C599" s="1"/>
      <c r="D599" s="1"/>
      <c r="E599" s="1"/>
      <c r="F599" s="1"/>
      <c r="G599" s="1"/>
      <c r="H599" s="1"/>
      <c r="I599" s="1"/>
    </row>
    <row r="600" ht="15.75" customHeight="1">
      <c r="A600" s="1"/>
      <c r="B600" s="1"/>
      <c r="C600" s="1"/>
      <c r="D600" s="1"/>
      <c r="E600" s="1"/>
      <c r="F600" s="1"/>
      <c r="G600" s="1"/>
      <c r="H600" s="1"/>
      <c r="I600" s="1"/>
    </row>
    <row r="601" ht="15.75" customHeight="1">
      <c r="A601" s="1"/>
      <c r="B601" s="1"/>
      <c r="C601" s="1"/>
      <c r="D601" s="1"/>
      <c r="E601" s="1"/>
      <c r="F601" s="1"/>
      <c r="G601" s="1"/>
      <c r="H601" s="1"/>
      <c r="I601" s="1"/>
    </row>
    <row r="602" ht="15.75" customHeight="1">
      <c r="A602" s="1"/>
      <c r="B602" s="1"/>
      <c r="C602" s="1"/>
      <c r="D602" s="1"/>
      <c r="E602" s="1"/>
      <c r="F602" s="1"/>
      <c r="G602" s="1"/>
      <c r="H602" s="1"/>
      <c r="I602" s="1"/>
    </row>
    <row r="603" ht="15.75" customHeight="1">
      <c r="A603" s="1"/>
      <c r="B603" s="1"/>
      <c r="C603" s="1"/>
      <c r="D603" s="1"/>
      <c r="E603" s="1"/>
      <c r="F603" s="1"/>
      <c r="G603" s="1"/>
      <c r="H603" s="1"/>
      <c r="I603" s="1"/>
    </row>
    <row r="604" ht="15.75" customHeight="1">
      <c r="A604" s="1"/>
      <c r="B604" s="1"/>
      <c r="C604" s="1"/>
      <c r="D604" s="1"/>
      <c r="E604" s="1"/>
      <c r="F604" s="1"/>
      <c r="G604" s="1"/>
      <c r="H604" s="1"/>
      <c r="I604" s="1"/>
    </row>
    <row r="605" ht="15.75" customHeight="1">
      <c r="A605" s="1"/>
      <c r="B605" s="1"/>
      <c r="C605" s="1"/>
      <c r="D605" s="1"/>
      <c r="E605" s="1"/>
      <c r="F605" s="1"/>
      <c r="G605" s="1"/>
      <c r="H605" s="1"/>
      <c r="I605" s="1"/>
    </row>
    <row r="606" ht="15.75" customHeight="1">
      <c r="A606" s="1"/>
      <c r="B606" s="1"/>
      <c r="C606" s="1"/>
      <c r="D606" s="1"/>
      <c r="E606" s="1"/>
      <c r="F606" s="1"/>
      <c r="G606" s="1"/>
      <c r="H606" s="1"/>
      <c r="I606" s="1"/>
    </row>
    <row r="607" ht="15.75" customHeight="1">
      <c r="A607" s="1"/>
      <c r="B607" s="1"/>
      <c r="C607" s="1"/>
      <c r="D607" s="1"/>
      <c r="E607" s="1"/>
      <c r="F607" s="1"/>
      <c r="G607" s="1"/>
      <c r="H607" s="1"/>
      <c r="I607" s="1"/>
    </row>
    <row r="608" ht="15.75" customHeight="1">
      <c r="A608" s="1"/>
      <c r="B608" s="1"/>
      <c r="C608" s="1"/>
      <c r="D608" s="1"/>
      <c r="E608" s="1"/>
      <c r="F608" s="1"/>
      <c r="G608" s="1"/>
      <c r="H608" s="1"/>
      <c r="I608" s="1"/>
    </row>
    <row r="609" ht="15.75" customHeight="1">
      <c r="A609" s="1"/>
      <c r="B609" s="1"/>
      <c r="C609" s="1"/>
      <c r="D609" s="1"/>
      <c r="E609" s="1"/>
      <c r="F609" s="1"/>
      <c r="G609" s="1"/>
      <c r="H609" s="1"/>
      <c r="I609" s="1"/>
    </row>
    <row r="610" ht="15.75" customHeight="1">
      <c r="A610" s="1"/>
      <c r="B610" s="1"/>
      <c r="C610" s="1"/>
      <c r="D610" s="1"/>
      <c r="E610" s="1"/>
      <c r="F610" s="1"/>
      <c r="G610" s="1"/>
      <c r="H610" s="1"/>
      <c r="I610" s="1"/>
    </row>
    <row r="611" ht="15.75" customHeight="1">
      <c r="A611" s="1"/>
      <c r="B611" s="1"/>
      <c r="C611" s="1"/>
      <c r="D611" s="1"/>
      <c r="E611" s="1"/>
      <c r="F611" s="1"/>
      <c r="G611" s="1"/>
      <c r="H611" s="1"/>
      <c r="I611" s="1"/>
    </row>
    <row r="612" ht="15.75" customHeight="1">
      <c r="A612" s="1"/>
      <c r="B612" s="1"/>
      <c r="C612" s="1"/>
      <c r="D612" s="1"/>
      <c r="E612" s="1"/>
      <c r="F612" s="1"/>
      <c r="G612" s="1"/>
      <c r="H612" s="1"/>
      <c r="I612" s="1"/>
    </row>
    <row r="613" ht="15.75" customHeight="1">
      <c r="A613" s="1"/>
      <c r="B613" s="1"/>
      <c r="C613" s="1"/>
      <c r="D613" s="1"/>
      <c r="E613" s="1"/>
      <c r="F613" s="1"/>
      <c r="G613" s="1"/>
      <c r="H613" s="1"/>
      <c r="I613" s="1"/>
    </row>
    <row r="614" ht="15.75" customHeight="1">
      <c r="A614" s="1"/>
      <c r="B614" s="1"/>
      <c r="C614" s="1"/>
      <c r="D614" s="1"/>
      <c r="E614" s="1"/>
      <c r="F614" s="1"/>
      <c r="G614" s="1"/>
      <c r="H614" s="1"/>
      <c r="I614" s="1"/>
    </row>
    <row r="615" ht="15.75" customHeight="1">
      <c r="A615" s="1"/>
      <c r="B615" s="1"/>
      <c r="C615" s="1"/>
      <c r="D615" s="1"/>
      <c r="E615" s="1"/>
      <c r="F615" s="1"/>
      <c r="G615" s="1"/>
      <c r="H615" s="1"/>
      <c r="I615" s="1"/>
    </row>
    <row r="616" ht="15.75" customHeight="1">
      <c r="A616" s="1"/>
      <c r="B616" s="1"/>
      <c r="C616" s="1"/>
      <c r="D616" s="1"/>
      <c r="E616" s="1"/>
      <c r="F616" s="1"/>
      <c r="G616" s="1"/>
      <c r="H616" s="1"/>
      <c r="I616" s="1"/>
    </row>
    <row r="617" ht="15.75" customHeight="1">
      <c r="A617" s="1"/>
      <c r="B617" s="1"/>
      <c r="C617" s="1"/>
      <c r="D617" s="1"/>
      <c r="E617" s="1"/>
      <c r="F617" s="1"/>
      <c r="G617" s="1"/>
      <c r="H617" s="1"/>
      <c r="I617" s="1"/>
    </row>
    <row r="618" ht="15.75" customHeight="1">
      <c r="A618" s="1"/>
      <c r="B618" s="1"/>
      <c r="C618" s="1"/>
      <c r="D618" s="1"/>
      <c r="E618" s="1"/>
      <c r="F618" s="1"/>
      <c r="G618" s="1"/>
      <c r="H618" s="1"/>
      <c r="I618" s="1"/>
    </row>
    <row r="619" ht="15.75" customHeight="1">
      <c r="A619" s="1"/>
      <c r="B619" s="1"/>
      <c r="C619" s="1"/>
      <c r="D619" s="1"/>
      <c r="E619" s="1"/>
      <c r="F619" s="1"/>
      <c r="G619" s="1"/>
      <c r="H619" s="1"/>
      <c r="I619" s="1"/>
    </row>
    <row r="620" ht="15.75" customHeight="1">
      <c r="A620" s="1"/>
      <c r="B620" s="1"/>
      <c r="C620" s="1"/>
      <c r="D620" s="1"/>
      <c r="E620" s="1"/>
      <c r="F620" s="1"/>
      <c r="G620" s="1"/>
      <c r="H620" s="1"/>
      <c r="I620" s="1"/>
    </row>
    <row r="621" ht="15.75" customHeight="1">
      <c r="A621" s="1"/>
      <c r="B621" s="1"/>
      <c r="C621" s="1"/>
      <c r="D621" s="1"/>
      <c r="E621" s="1"/>
      <c r="F621" s="1"/>
      <c r="G621" s="1"/>
      <c r="H621" s="1"/>
      <c r="I621" s="1"/>
    </row>
    <row r="622" ht="15.75" customHeight="1">
      <c r="A622" s="1"/>
      <c r="B622" s="1"/>
      <c r="C622" s="1"/>
      <c r="D622" s="1"/>
      <c r="E622" s="1"/>
      <c r="F622" s="1"/>
      <c r="G622" s="1"/>
      <c r="H622" s="1"/>
      <c r="I622" s="1"/>
    </row>
    <row r="623" ht="15.75" customHeight="1">
      <c r="A623" s="1"/>
      <c r="B623" s="1"/>
      <c r="C623" s="1"/>
      <c r="D623" s="1"/>
      <c r="E623" s="1"/>
      <c r="F623" s="1"/>
      <c r="G623" s="1"/>
      <c r="H623" s="1"/>
      <c r="I623" s="1"/>
    </row>
    <row r="624" ht="15.75" customHeight="1">
      <c r="A624" s="1"/>
      <c r="B624" s="1"/>
      <c r="C624" s="1"/>
      <c r="D624" s="1"/>
      <c r="E624" s="1"/>
      <c r="F624" s="1"/>
      <c r="G624" s="1"/>
      <c r="H624" s="1"/>
      <c r="I624" s="1"/>
    </row>
    <row r="625" ht="15.75" customHeight="1">
      <c r="A625" s="1"/>
      <c r="B625" s="1"/>
      <c r="C625" s="1"/>
      <c r="D625" s="1"/>
      <c r="E625" s="1"/>
      <c r="F625" s="1"/>
      <c r="G625" s="1"/>
      <c r="H625" s="1"/>
      <c r="I625" s="1"/>
    </row>
    <row r="626" ht="15.75" customHeight="1">
      <c r="A626" s="1"/>
      <c r="B626" s="1"/>
      <c r="C626" s="1"/>
      <c r="D626" s="1"/>
      <c r="E626" s="1"/>
      <c r="F626" s="1"/>
      <c r="G626" s="1"/>
      <c r="H626" s="1"/>
      <c r="I626" s="1"/>
    </row>
    <row r="627" ht="15.75" customHeight="1">
      <c r="A627" s="1"/>
      <c r="B627" s="1"/>
      <c r="C627" s="1"/>
      <c r="D627" s="1"/>
      <c r="E627" s="1"/>
      <c r="F627" s="1"/>
      <c r="G627" s="1"/>
      <c r="H627" s="1"/>
      <c r="I627" s="1"/>
    </row>
    <row r="628" ht="15.75" customHeight="1">
      <c r="A628" s="1"/>
      <c r="B628" s="1"/>
      <c r="C628" s="1"/>
      <c r="D628" s="1"/>
      <c r="E628" s="1"/>
      <c r="F628" s="1"/>
      <c r="G628" s="1"/>
      <c r="H628" s="1"/>
      <c r="I628" s="1"/>
    </row>
    <row r="629" ht="15.75" customHeight="1">
      <c r="A629" s="1"/>
      <c r="B629" s="1"/>
      <c r="C629" s="1"/>
      <c r="D629" s="1"/>
      <c r="E629" s="1"/>
      <c r="F629" s="1"/>
      <c r="G629" s="1"/>
      <c r="H629" s="1"/>
      <c r="I629" s="1"/>
    </row>
    <row r="630" ht="15.75" customHeight="1">
      <c r="A630" s="1"/>
      <c r="B630" s="1"/>
      <c r="C630" s="1"/>
      <c r="D630" s="1"/>
      <c r="E630" s="1"/>
      <c r="F630" s="1"/>
      <c r="G630" s="1"/>
      <c r="H630" s="1"/>
      <c r="I630" s="1"/>
    </row>
    <row r="631" ht="15.75" customHeight="1">
      <c r="A631" s="1"/>
      <c r="B631" s="1"/>
      <c r="C631" s="1"/>
      <c r="D631" s="1"/>
      <c r="E631" s="1"/>
      <c r="F631" s="1"/>
      <c r="G631" s="1"/>
      <c r="H631" s="1"/>
      <c r="I631" s="1"/>
    </row>
    <row r="632" ht="15.75" customHeight="1">
      <c r="A632" s="1"/>
      <c r="B632" s="1"/>
      <c r="C632" s="1"/>
      <c r="D632" s="1"/>
      <c r="E632" s="1"/>
      <c r="F632" s="1"/>
      <c r="G632" s="1"/>
      <c r="H632" s="1"/>
      <c r="I632" s="1"/>
    </row>
    <row r="633" ht="15.75" customHeight="1">
      <c r="A633" s="1"/>
      <c r="B633" s="1"/>
      <c r="C633" s="1"/>
      <c r="D633" s="1"/>
      <c r="E633" s="1"/>
      <c r="F633" s="1"/>
      <c r="G633" s="1"/>
      <c r="H633" s="1"/>
      <c r="I633" s="1"/>
    </row>
    <row r="634" ht="15.75" customHeight="1">
      <c r="A634" s="1"/>
      <c r="B634" s="1"/>
      <c r="C634" s="1"/>
      <c r="D634" s="1"/>
      <c r="E634" s="1"/>
      <c r="F634" s="1"/>
      <c r="G634" s="1"/>
      <c r="H634" s="1"/>
      <c r="I634" s="1"/>
    </row>
    <row r="635" ht="15.75" customHeight="1">
      <c r="A635" s="1"/>
      <c r="B635" s="1"/>
      <c r="C635" s="1"/>
      <c r="D635" s="1"/>
      <c r="E635" s="1"/>
      <c r="F635" s="1"/>
      <c r="G635" s="1"/>
      <c r="H635" s="1"/>
      <c r="I635" s="1"/>
    </row>
    <row r="636" ht="15.75" customHeight="1">
      <c r="A636" s="1"/>
      <c r="B636" s="1"/>
      <c r="C636" s="1"/>
      <c r="D636" s="1"/>
      <c r="E636" s="1"/>
      <c r="F636" s="1"/>
      <c r="G636" s="1"/>
      <c r="H636" s="1"/>
      <c r="I636" s="1"/>
    </row>
    <row r="637" ht="15.75" customHeight="1">
      <c r="A637" s="1"/>
      <c r="B637" s="1"/>
      <c r="C637" s="1"/>
      <c r="D637" s="1"/>
      <c r="E637" s="1"/>
      <c r="F637" s="1"/>
      <c r="G637" s="1"/>
      <c r="H637" s="1"/>
      <c r="I637" s="1"/>
    </row>
    <row r="638" ht="15.75" customHeight="1">
      <c r="A638" s="1"/>
      <c r="B638" s="1"/>
      <c r="C638" s="1"/>
      <c r="D638" s="1"/>
      <c r="E638" s="1"/>
      <c r="F638" s="1"/>
      <c r="G638" s="1"/>
      <c r="H638" s="1"/>
      <c r="I638" s="1"/>
    </row>
    <row r="639" ht="15.75" customHeight="1">
      <c r="A639" s="1"/>
      <c r="B639" s="1"/>
      <c r="C639" s="1"/>
      <c r="D639" s="1"/>
      <c r="E639" s="1"/>
      <c r="F639" s="1"/>
      <c r="G639" s="1"/>
      <c r="H639" s="1"/>
      <c r="I639" s="1"/>
    </row>
    <row r="640" ht="15.75" customHeight="1">
      <c r="A640" s="1"/>
      <c r="B640" s="1"/>
      <c r="C640" s="1"/>
      <c r="D640" s="1"/>
      <c r="E640" s="1"/>
      <c r="F640" s="1"/>
      <c r="G640" s="1"/>
      <c r="H640" s="1"/>
      <c r="I640" s="1"/>
    </row>
    <row r="641" ht="15.75" customHeight="1">
      <c r="A641" s="1"/>
      <c r="B641" s="1"/>
      <c r="C641" s="1"/>
      <c r="D641" s="1"/>
      <c r="E641" s="1"/>
      <c r="F641" s="1"/>
      <c r="G641" s="1"/>
      <c r="H641" s="1"/>
      <c r="I641" s="1"/>
    </row>
    <row r="642" ht="15.75" customHeight="1">
      <c r="A642" s="1"/>
      <c r="B642" s="1"/>
      <c r="C642" s="1"/>
      <c r="D642" s="1"/>
      <c r="E642" s="1"/>
      <c r="F642" s="1"/>
      <c r="G642" s="1"/>
      <c r="H642" s="1"/>
      <c r="I642" s="1"/>
    </row>
    <row r="643" ht="15.75" customHeight="1">
      <c r="A643" s="1"/>
      <c r="B643" s="1"/>
      <c r="C643" s="1"/>
      <c r="D643" s="1"/>
      <c r="E643" s="1"/>
      <c r="F643" s="1"/>
      <c r="G643" s="1"/>
      <c r="H643" s="1"/>
      <c r="I643" s="1"/>
    </row>
    <row r="644" ht="15.75" customHeight="1">
      <c r="A644" s="1"/>
      <c r="B644" s="1"/>
      <c r="C644" s="1"/>
      <c r="D644" s="1"/>
      <c r="E644" s="1"/>
      <c r="F644" s="1"/>
      <c r="G644" s="1"/>
      <c r="H644" s="1"/>
      <c r="I644" s="1"/>
    </row>
    <row r="645" ht="15.75" customHeight="1">
      <c r="A645" s="1"/>
      <c r="B645" s="1"/>
      <c r="C645" s="1"/>
      <c r="D645" s="1"/>
      <c r="E645" s="1"/>
      <c r="F645" s="1"/>
      <c r="G645" s="1"/>
      <c r="H645" s="1"/>
      <c r="I645" s="1"/>
    </row>
    <row r="646" ht="15.75" customHeight="1">
      <c r="A646" s="1"/>
      <c r="B646" s="1"/>
      <c r="C646" s="1"/>
      <c r="D646" s="1"/>
      <c r="E646" s="1"/>
      <c r="F646" s="1"/>
      <c r="G646" s="1"/>
      <c r="H646" s="1"/>
      <c r="I646" s="1"/>
    </row>
    <row r="647" ht="15.75" customHeight="1">
      <c r="A647" s="1"/>
      <c r="B647" s="1"/>
      <c r="C647" s="1"/>
      <c r="D647" s="1"/>
      <c r="E647" s="1"/>
      <c r="F647" s="1"/>
      <c r="G647" s="1"/>
      <c r="H647" s="1"/>
      <c r="I647" s="1"/>
    </row>
    <row r="648" ht="15.75" customHeight="1">
      <c r="A648" s="1"/>
      <c r="B648" s="1"/>
      <c r="C648" s="1"/>
      <c r="D648" s="1"/>
      <c r="E648" s="1"/>
      <c r="F648" s="1"/>
      <c r="G648" s="1"/>
      <c r="H648" s="1"/>
      <c r="I648" s="1"/>
    </row>
    <row r="649" ht="15.75" customHeight="1">
      <c r="A649" s="1"/>
      <c r="B649" s="1"/>
      <c r="C649" s="1"/>
      <c r="D649" s="1"/>
      <c r="E649" s="1"/>
      <c r="F649" s="1"/>
      <c r="G649" s="1"/>
      <c r="H649" s="1"/>
      <c r="I649" s="1"/>
    </row>
    <row r="650" ht="15.75" customHeight="1">
      <c r="A650" s="1"/>
      <c r="B650" s="1"/>
      <c r="C650" s="1"/>
      <c r="D650" s="1"/>
      <c r="E650" s="1"/>
      <c r="F650" s="1"/>
      <c r="G650" s="1"/>
      <c r="H650" s="1"/>
      <c r="I650" s="1"/>
    </row>
    <row r="651" ht="15.75" customHeight="1">
      <c r="A651" s="1"/>
      <c r="B651" s="1"/>
      <c r="C651" s="1"/>
      <c r="D651" s="1"/>
      <c r="E651" s="1"/>
      <c r="F651" s="1"/>
      <c r="G651" s="1"/>
      <c r="H651" s="1"/>
      <c r="I651" s="1"/>
    </row>
    <row r="652" ht="15.75" customHeight="1">
      <c r="A652" s="1"/>
      <c r="B652" s="1"/>
      <c r="C652" s="1"/>
      <c r="D652" s="1"/>
      <c r="E652" s="1"/>
      <c r="F652" s="1"/>
      <c r="G652" s="1"/>
      <c r="H652" s="1"/>
      <c r="I652" s="1"/>
    </row>
    <row r="653" ht="15.75" customHeight="1">
      <c r="A653" s="1"/>
      <c r="B653" s="1"/>
      <c r="C653" s="1"/>
      <c r="D653" s="1"/>
      <c r="E653" s="1"/>
      <c r="F653" s="1"/>
      <c r="G653" s="1"/>
      <c r="H653" s="1"/>
      <c r="I653" s="1"/>
    </row>
    <row r="654" ht="15.75" customHeight="1">
      <c r="A654" s="1"/>
      <c r="B654" s="1"/>
      <c r="C654" s="1"/>
      <c r="D654" s="1"/>
      <c r="E654" s="1"/>
      <c r="F654" s="1"/>
      <c r="G654" s="1"/>
      <c r="H654" s="1"/>
      <c r="I654" s="1"/>
    </row>
    <row r="655" ht="15.75" customHeight="1">
      <c r="A655" s="1"/>
      <c r="B655" s="1"/>
      <c r="C655" s="1"/>
      <c r="D655" s="1"/>
      <c r="E655" s="1"/>
      <c r="F655" s="1"/>
      <c r="G655" s="1"/>
      <c r="H655" s="1"/>
      <c r="I655" s="1"/>
    </row>
    <row r="656" ht="15.75" customHeight="1">
      <c r="A656" s="1"/>
      <c r="B656" s="1"/>
      <c r="C656" s="1"/>
      <c r="D656" s="1"/>
      <c r="E656" s="1"/>
      <c r="F656" s="1"/>
      <c r="G656" s="1"/>
      <c r="H656" s="1"/>
      <c r="I656" s="1"/>
    </row>
    <row r="657" ht="15.75" customHeight="1">
      <c r="A657" s="1"/>
      <c r="B657" s="1"/>
      <c r="C657" s="1"/>
      <c r="D657" s="1"/>
      <c r="E657" s="1"/>
      <c r="F657" s="1"/>
      <c r="G657" s="1"/>
      <c r="H657" s="1"/>
      <c r="I657" s="1"/>
    </row>
    <row r="658" ht="15.75" customHeight="1">
      <c r="A658" s="1"/>
      <c r="B658" s="1"/>
      <c r="C658" s="1"/>
      <c r="D658" s="1"/>
      <c r="E658" s="1"/>
      <c r="F658" s="1"/>
      <c r="G658" s="1"/>
      <c r="H658" s="1"/>
      <c r="I658" s="1"/>
    </row>
    <row r="659" ht="15.75" customHeight="1">
      <c r="A659" s="1"/>
      <c r="B659" s="1"/>
      <c r="C659" s="1"/>
      <c r="D659" s="1"/>
      <c r="E659" s="1"/>
      <c r="F659" s="1"/>
      <c r="G659" s="1"/>
      <c r="H659" s="1"/>
      <c r="I659" s="1"/>
    </row>
    <row r="660" ht="15.75" customHeight="1">
      <c r="A660" s="1"/>
      <c r="B660" s="1"/>
      <c r="C660" s="1"/>
      <c r="D660" s="1"/>
      <c r="E660" s="1"/>
      <c r="F660" s="1"/>
      <c r="G660" s="1"/>
      <c r="H660" s="1"/>
      <c r="I660" s="1"/>
    </row>
    <row r="661" ht="15.75" customHeight="1">
      <c r="A661" s="1"/>
      <c r="B661" s="1"/>
      <c r="C661" s="1"/>
      <c r="D661" s="1"/>
      <c r="E661" s="1"/>
      <c r="F661" s="1"/>
      <c r="G661" s="1"/>
      <c r="H661" s="1"/>
      <c r="I661" s="1"/>
    </row>
    <row r="662" ht="15.75" customHeight="1">
      <c r="A662" s="1"/>
      <c r="B662" s="1"/>
      <c r="C662" s="1"/>
      <c r="D662" s="1"/>
      <c r="E662" s="1"/>
      <c r="F662" s="1"/>
      <c r="G662" s="1"/>
      <c r="H662" s="1"/>
      <c r="I662" s="1"/>
    </row>
    <row r="663" ht="15.75" customHeight="1">
      <c r="A663" s="1"/>
      <c r="B663" s="1"/>
      <c r="C663" s="1"/>
      <c r="D663" s="1"/>
      <c r="E663" s="1"/>
      <c r="F663" s="1"/>
      <c r="G663" s="1"/>
      <c r="H663" s="1"/>
      <c r="I663" s="1"/>
    </row>
    <row r="664" ht="15.75" customHeight="1">
      <c r="A664" s="1"/>
      <c r="B664" s="1"/>
      <c r="C664" s="1"/>
      <c r="D664" s="1"/>
      <c r="E664" s="1"/>
      <c r="F664" s="1"/>
      <c r="G664" s="1"/>
      <c r="H664" s="1"/>
      <c r="I664" s="1"/>
    </row>
    <row r="665" ht="15.75" customHeight="1">
      <c r="A665" s="1"/>
      <c r="B665" s="1"/>
      <c r="C665" s="1"/>
      <c r="D665" s="1"/>
      <c r="E665" s="1"/>
      <c r="F665" s="1"/>
      <c r="G665" s="1"/>
      <c r="H665" s="1"/>
      <c r="I665" s="1"/>
    </row>
    <row r="666" ht="15.75" customHeight="1">
      <c r="A666" s="1"/>
      <c r="B666" s="1"/>
      <c r="C666" s="1"/>
      <c r="D666" s="1"/>
      <c r="E666" s="1"/>
      <c r="F666" s="1"/>
      <c r="G666" s="1"/>
      <c r="H666" s="1"/>
      <c r="I666" s="1"/>
    </row>
    <row r="667" ht="15.75" customHeight="1">
      <c r="A667" s="1"/>
      <c r="B667" s="1"/>
      <c r="C667" s="1"/>
      <c r="D667" s="1"/>
      <c r="E667" s="1"/>
      <c r="F667" s="1"/>
      <c r="G667" s="1"/>
      <c r="H667" s="1"/>
      <c r="I667" s="1"/>
    </row>
    <row r="668" ht="15.75" customHeight="1">
      <c r="A668" s="1"/>
      <c r="B668" s="1"/>
      <c r="C668" s="1"/>
      <c r="D668" s="1"/>
      <c r="E668" s="1"/>
      <c r="F668" s="1"/>
      <c r="G668" s="1"/>
      <c r="H668" s="1"/>
      <c r="I668" s="1"/>
    </row>
    <row r="669" ht="15.75" customHeight="1">
      <c r="A669" s="1"/>
      <c r="B669" s="1"/>
      <c r="C669" s="1"/>
      <c r="D669" s="1"/>
      <c r="E669" s="1"/>
      <c r="F669" s="1"/>
      <c r="G669" s="1"/>
      <c r="H669" s="1"/>
      <c r="I669" s="1"/>
    </row>
    <row r="670" ht="15.75" customHeight="1">
      <c r="A670" s="1"/>
      <c r="B670" s="1"/>
      <c r="C670" s="1"/>
      <c r="D670" s="1"/>
      <c r="E670" s="1"/>
      <c r="F670" s="1"/>
      <c r="G670" s="1"/>
      <c r="H670" s="1"/>
      <c r="I670" s="1"/>
    </row>
    <row r="671" ht="15.75" customHeight="1">
      <c r="A671" s="1"/>
      <c r="B671" s="1"/>
      <c r="C671" s="1"/>
      <c r="D671" s="1"/>
      <c r="E671" s="1"/>
      <c r="F671" s="1"/>
      <c r="G671" s="1"/>
      <c r="H671" s="1"/>
      <c r="I671" s="1"/>
    </row>
    <row r="672" ht="15.75" customHeight="1">
      <c r="A672" s="1"/>
      <c r="B672" s="1"/>
      <c r="C672" s="1"/>
      <c r="D672" s="1"/>
      <c r="E672" s="1"/>
      <c r="F672" s="1"/>
      <c r="G672" s="1"/>
      <c r="H672" s="1"/>
      <c r="I672" s="1"/>
    </row>
    <row r="673" ht="15.75" customHeight="1">
      <c r="A673" s="1"/>
      <c r="B673" s="1"/>
      <c r="C673" s="1"/>
      <c r="D673" s="1"/>
      <c r="E673" s="1"/>
      <c r="F673" s="1"/>
      <c r="G673" s="1"/>
      <c r="H673" s="1"/>
      <c r="I673" s="1"/>
    </row>
    <row r="674" ht="15.75" customHeight="1">
      <c r="A674" s="1"/>
      <c r="B674" s="1"/>
      <c r="C674" s="1"/>
      <c r="D674" s="1"/>
      <c r="E674" s="1"/>
      <c r="F674" s="1"/>
      <c r="G674" s="1"/>
      <c r="H674" s="1"/>
      <c r="I674" s="1"/>
    </row>
    <row r="675" ht="15.75" customHeight="1">
      <c r="A675" s="1"/>
      <c r="B675" s="1"/>
      <c r="C675" s="1"/>
      <c r="D675" s="1"/>
      <c r="E675" s="1"/>
      <c r="F675" s="1"/>
      <c r="G675" s="1"/>
      <c r="H675" s="1"/>
      <c r="I675" s="1"/>
    </row>
    <row r="676" ht="15.75" customHeight="1">
      <c r="A676" s="1"/>
      <c r="B676" s="1"/>
      <c r="C676" s="1"/>
      <c r="D676" s="1"/>
      <c r="E676" s="1"/>
      <c r="F676" s="1"/>
      <c r="G676" s="1"/>
      <c r="H676" s="1"/>
      <c r="I676" s="1"/>
    </row>
    <row r="677" ht="15.75" customHeight="1">
      <c r="A677" s="1"/>
      <c r="B677" s="1"/>
      <c r="C677" s="1"/>
      <c r="D677" s="1"/>
      <c r="E677" s="1"/>
      <c r="F677" s="1"/>
      <c r="G677" s="1"/>
      <c r="H677" s="1"/>
      <c r="I677" s="1"/>
    </row>
    <row r="678" ht="15.75" customHeight="1">
      <c r="A678" s="1"/>
      <c r="B678" s="1"/>
      <c r="C678" s="1"/>
      <c r="D678" s="1"/>
      <c r="E678" s="1"/>
      <c r="F678" s="1"/>
      <c r="G678" s="1"/>
      <c r="H678" s="1"/>
      <c r="I678" s="1"/>
    </row>
    <row r="679" ht="15.75" customHeight="1">
      <c r="A679" s="1"/>
      <c r="B679" s="1"/>
      <c r="C679" s="1"/>
      <c r="D679" s="1"/>
      <c r="E679" s="1"/>
      <c r="F679" s="1"/>
      <c r="G679" s="1"/>
      <c r="H679" s="1"/>
      <c r="I679" s="1"/>
    </row>
    <row r="680" ht="15.75" customHeight="1">
      <c r="A680" s="1"/>
      <c r="B680" s="1"/>
      <c r="C680" s="1"/>
      <c r="D680" s="1"/>
      <c r="E680" s="1"/>
      <c r="F680" s="1"/>
      <c r="G680" s="1"/>
      <c r="H680" s="1"/>
      <c r="I680" s="1"/>
    </row>
    <row r="681" ht="15.75" customHeight="1">
      <c r="A681" s="1"/>
      <c r="B681" s="1"/>
      <c r="C681" s="1"/>
      <c r="D681" s="1"/>
      <c r="E681" s="1"/>
      <c r="F681" s="1"/>
      <c r="G681" s="1"/>
      <c r="H681" s="1"/>
      <c r="I681" s="1"/>
    </row>
    <row r="682" ht="15.75" customHeight="1">
      <c r="A682" s="1"/>
      <c r="B682" s="1"/>
      <c r="C682" s="1"/>
      <c r="D682" s="1"/>
      <c r="E682" s="1"/>
      <c r="F682" s="1"/>
      <c r="G682" s="1"/>
      <c r="H682" s="1"/>
      <c r="I682" s="1"/>
    </row>
    <row r="683" ht="15.75" customHeight="1">
      <c r="A683" s="1"/>
      <c r="B683" s="1"/>
      <c r="C683" s="1"/>
      <c r="D683" s="1"/>
      <c r="E683" s="1"/>
      <c r="F683" s="1"/>
      <c r="G683" s="1"/>
      <c r="H683" s="1"/>
      <c r="I683" s="1"/>
    </row>
    <row r="684" ht="15.75" customHeight="1">
      <c r="A684" s="1"/>
      <c r="B684" s="1"/>
      <c r="C684" s="1"/>
      <c r="D684" s="1"/>
      <c r="E684" s="1"/>
      <c r="F684" s="1"/>
      <c r="G684" s="1"/>
      <c r="H684" s="1"/>
      <c r="I684" s="1"/>
    </row>
    <row r="685" ht="15.75" customHeight="1">
      <c r="A685" s="1"/>
      <c r="B685" s="1"/>
      <c r="C685" s="1"/>
      <c r="D685" s="1"/>
      <c r="E685" s="1"/>
      <c r="F685" s="1"/>
      <c r="G685" s="1"/>
      <c r="H685" s="1"/>
      <c r="I685" s="1"/>
    </row>
    <row r="686" ht="15.75" customHeight="1">
      <c r="A686" s="1"/>
      <c r="B686" s="1"/>
      <c r="C686" s="1"/>
      <c r="D686" s="1"/>
      <c r="E686" s="1"/>
      <c r="F686" s="1"/>
      <c r="G686" s="1"/>
      <c r="H686" s="1"/>
      <c r="I686" s="1"/>
    </row>
    <row r="687" ht="15.75" customHeight="1">
      <c r="A687" s="1"/>
      <c r="B687" s="1"/>
      <c r="C687" s="1"/>
      <c r="D687" s="1"/>
      <c r="E687" s="1"/>
      <c r="F687" s="1"/>
      <c r="G687" s="1"/>
      <c r="H687" s="1"/>
      <c r="I687" s="1"/>
    </row>
    <row r="688" ht="15.75" customHeight="1">
      <c r="A688" s="1"/>
      <c r="B688" s="1"/>
      <c r="C688" s="1"/>
      <c r="D688" s="1"/>
      <c r="E688" s="1"/>
      <c r="F688" s="1"/>
      <c r="G688" s="1"/>
      <c r="H688" s="1"/>
      <c r="I688" s="1"/>
    </row>
    <row r="689" ht="15.75" customHeight="1">
      <c r="A689" s="1"/>
      <c r="B689" s="1"/>
      <c r="C689" s="1"/>
      <c r="D689" s="1"/>
      <c r="E689" s="1"/>
      <c r="F689" s="1"/>
      <c r="G689" s="1"/>
      <c r="H689" s="1"/>
      <c r="I689" s="1"/>
    </row>
    <row r="690" ht="15.75" customHeight="1">
      <c r="A690" s="1"/>
      <c r="B690" s="1"/>
      <c r="C690" s="1"/>
      <c r="D690" s="1"/>
      <c r="E690" s="1"/>
      <c r="F690" s="1"/>
      <c r="G690" s="1"/>
      <c r="H690" s="1"/>
      <c r="I690" s="1"/>
    </row>
    <row r="691" ht="15.75" customHeight="1">
      <c r="A691" s="1"/>
      <c r="B691" s="1"/>
      <c r="C691" s="1"/>
      <c r="D691" s="1"/>
      <c r="E691" s="1"/>
      <c r="F691" s="1"/>
      <c r="G691" s="1"/>
      <c r="H691" s="1"/>
      <c r="I691" s="1"/>
    </row>
    <row r="692" ht="15.75" customHeight="1">
      <c r="A692" s="1"/>
      <c r="B692" s="1"/>
      <c r="C692" s="1"/>
      <c r="D692" s="1"/>
      <c r="E692" s="1"/>
      <c r="F692" s="1"/>
      <c r="G692" s="1"/>
      <c r="H692" s="1"/>
      <c r="I692" s="1"/>
    </row>
    <row r="693" ht="15.75" customHeight="1">
      <c r="A693" s="1"/>
      <c r="B693" s="1"/>
      <c r="C693" s="1"/>
      <c r="D693" s="1"/>
      <c r="E693" s="1"/>
      <c r="F693" s="1"/>
      <c r="G693" s="1"/>
      <c r="H693" s="1"/>
      <c r="I693" s="1"/>
    </row>
    <row r="694" ht="15.75" customHeight="1">
      <c r="A694" s="1"/>
      <c r="B694" s="1"/>
      <c r="C694" s="1"/>
      <c r="D694" s="1"/>
      <c r="E694" s="1"/>
      <c r="F694" s="1"/>
      <c r="G694" s="1"/>
      <c r="H694" s="1"/>
      <c r="I694" s="1"/>
    </row>
    <row r="695" ht="15.75" customHeight="1">
      <c r="A695" s="1"/>
      <c r="B695" s="1"/>
      <c r="C695" s="1"/>
      <c r="D695" s="1"/>
      <c r="E695" s="1"/>
      <c r="F695" s="1"/>
      <c r="G695" s="1"/>
      <c r="H695" s="1"/>
      <c r="I695" s="1"/>
    </row>
    <row r="696" ht="15.75" customHeight="1">
      <c r="A696" s="1"/>
      <c r="B696" s="1"/>
      <c r="C696" s="1"/>
      <c r="D696" s="1"/>
      <c r="E696" s="1"/>
      <c r="F696" s="1"/>
      <c r="G696" s="1"/>
      <c r="H696" s="1"/>
      <c r="I696" s="1"/>
    </row>
    <row r="697" ht="15.75" customHeight="1">
      <c r="A697" s="1"/>
      <c r="B697" s="1"/>
      <c r="C697" s="1"/>
      <c r="D697" s="1"/>
      <c r="E697" s="1"/>
      <c r="F697" s="1"/>
      <c r="G697" s="1"/>
      <c r="H697" s="1"/>
      <c r="I697" s="1"/>
    </row>
    <row r="698" ht="15.75" customHeight="1">
      <c r="A698" s="1"/>
      <c r="B698" s="1"/>
      <c r="C698" s="1"/>
      <c r="D698" s="1"/>
      <c r="E698" s="1"/>
      <c r="F698" s="1"/>
      <c r="G698" s="1"/>
      <c r="H698" s="1"/>
      <c r="I698" s="1"/>
    </row>
    <row r="699" ht="15.75" customHeight="1">
      <c r="A699" s="1"/>
      <c r="B699" s="1"/>
      <c r="C699" s="1"/>
      <c r="D699" s="1"/>
      <c r="E699" s="1"/>
      <c r="F699" s="1"/>
      <c r="G699" s="1"/>
      <c r="H699" s="1"/>
      <c r="I699" s="1"/>
    </row>
    <row r="700" ht="15.75" customHeight="1">
      <c r="A700" s="1"/>
      <c r="B700" s="1"/>
      <c r="C700" s="1"/>
      <c r="D700" s="1"/>
      <c r="E700" s="1"/>
      <c r="F700" s="1"/>
      <c r="G700" s="1"/>
      <c r="H700" s="1"/>
      <c r="I700" s="1"/>
    </row>
    <row r="701" ht="15.75" customHeight="1">
      <c r="A701" s="1"/>
      <c r="B701" s="1"/>
      <c r="C701" s="1"/>
      <c r="D701" s="1"/>
      <c r="E701" s="1"/>
      <c r="F701" s="1"/>
      <c r="G701" s="1"/>
      <c r="H701" s="1"/>
      <c r="I701" s="1"/>
    </row>
    <row r="702" ht="15.75" customHeight="1">
      <c r="A702" s="1"/>
      <c r="B702" s="1"/>
      <c r="C702" s="1"/>
      <c r="D702" s="1"/>
      <c r="E702" s="1"/>
      <c r="F702" s="1"/>
      <c r="G702" s="1"/>
      <c r="H702" s="1"/>
      <c r="I702" s="1"/>
    </row>
    <row r="703" ht="15.75" customHeight="1">
      <c r="A703" s="1"/>
      <c r="B703" s="1"/>
      <c r="C703" s="1"/>
      <c r="D703" s="1"/>
      <c r="E703" s="1"/>
      <c r="F703" s="1"/>
      <c r="G703" s="1"/>
      <c r="H703" s="1"/>
      <c r="I703" s="1"/>
    </row>
    <row r="704" ht="15.75" customHeight="1">
      <c r="A704" s="1"/>
      <c r="B704" s="1"/>
      <c r="C704" s="1"/>
      <c r="D704" s="1"/>
      <c r="E704" s="1"/>
      <c r="F704" s="1"/>
      <c r="G704" s="1"/>
      <c r="H704" s="1"/>
      <c r="I704" s="1"/>
    </row>
    <row r="705" ht="15.75" customHeight="1">
      <c r="A705" s="1"/>
      <c r="B705" s="1"/>
      <c r="C705" s="1"/>
      <c r="D705" s="1"/>
      <c r="E705" s="1"/>
      <c r="F705" s="1"/>
      <c r="G705" s="1"/>
      <c r="H705" s="1"/>
      <c r="I705" s="1"/>
    </row>
    <row r="706" ht="15.75" customHeight="1">
      <c r="A706" s="1"/>
      <c r="B706" s="1"/>
      <c r="C706" s="1"/>
      <c r="D706" s="1"/>
      <c r="E706" s="1"/>
      <c r="F706" s="1"/>
      <c r="G706" s="1"/>
      <c r="H706" s="1"/>
      <c r="I706" s="1"/>
    </row>
    <row r="707" ht="15.75" customHeight="1">
      <c r="A707" s="1"/>
      <c r="B707" s="1"/>
      <c r="C707" s="1"/>
      <c r="D707" s="1"/>
      <c r="E707" s="1"/>
      <c r="F707" s="1"/>
      <c r="G707" s="1"/>
      <c r="H707" s="1"/>
      <c r="I707" s="1"/>
    </row>
    <row r="708" ht="15.75" customHeight="1">
      <c r="A708" s="1"/>
      <c r="B708" s="1"/>
      <c r="C708" s="1"/>
      <c r="D708" s="1"/>
      <c r="E708" s="1"/>
      <c r="F708" s="1"/>
      <c r="G708" s="1"/>
      <c r="H708" s="1"/>
      <c r="I708" s="1"/>
    </row>
    <row r="709" ht="15.75" customHeight="1">
      <c r="A709" s="1"/>
      <c r="B709" s="1"/>
      <c r="C709" s="1"/>
      <c r="D709" s="1"/>
      <c r="E709" s="1"/>
      <c r="F709" s="1"/>
      <c r="G709" s="1"/>
      <c r="H709" s="1"/>
      <c r="I709" s="1"/>
    </row>
    <row r="710" ht="15.75" customHeight="1">
      <c r="A710" s="1"/>
      <c r="B710" s="1"/>
      <c r="C710" s="1"/>
      <c r="D710" s="1"/>
      <c r="E710" s="1"/>
      <c r="F710" s="1"/>
      <c r="G710" s="1"/>
      <c r="H710" s="1"/>
      <c r="I710" s="1"/>
    </row>
    <row r="711" ht="15.75" customHeight="1">
      <c r="A711" s="1"/>
      <c r="B711" s="1"/>
      <c r="C711" s="1"/>
      <c r="D711" s="1"/>
      <c r="E711" s="1"/>
      <c r="F711" s="1"/>
      <c r="G711" s="1"/>
      <c r="H711" s="1"/>
      <c r="I711" s="1"/>
    </row>
    <row r="712" ht="15.75" customHeight="1">
      <c r="A712" s="1"/>
      <c r="B712" s="1"/>
      <c r="C712" s="1"/>
      <c r="D712" s="1"/>
      <c r="E712" s="1"/>
      <c r="F712" s="1"/>
      <c r="G712" s="1"/>
      <c r="H712" s="1"/>
      <c r="I712" s="1"/>
    </row>
    <row r="713" ht="15.75" customHeight="1">
      <c r="A713" s="1"/>
      <c r="B713" s="1"/>
      <c r="C713" s="1"/>
      <c r="D713" s="1"/>
      <c r="E713" s="1"/>
      <c r="F713" s="1"/>
      <c r="G713" s="1"/>
      <c r="H713" s="1"/>
      <c r="I713" s="1"/>
    </row>
    <row r="714" ht="15.75" customHeight="1">
      <c r="A714" s="1"/>
      <c r="B714" s="1"/>
      <c r="C714" s="1"/>
      <c r="D714" s="1"/>
      <c r="E714" s="1"/>
      <c r="F714" s="1"/>
      <c r="G714" s="1"/>
      <c r="H714" s="1"/>
      <c r="I714" s="1"/>
    </row>
    <row r="715" ht="15.75" customHeight="1">
      <c r="A715" s="1"/>
      <c r="B715" s="1"/>
      <c r="C715" s="1"/>
      <c r="D715" s="1"/>
      <c r="E715" s="1"/>
      <c r="F715" s="1"/>
      <c r="G715" s="1"/>
      <c r="H715" s="1"/>
      <c r="I715" s="1"/>
    </row>
    <row r="716" ht="15.75" customHeight="1">
      <c r="A716" s="1"/>
      <c r="B716" s="1"/>
      <c r="C716" s="1"/>
      <c r="D716" s="1"/>
      <c r="E716" s="1"/>
      <c r="F716" s="1"/>
      <c r="G716" s="1"/>
      <c r="H716" s="1"/>
      <c r="I716" s="1"/>
    </row>
    <row r="717" ht="15.75" customHeight="1">
      <c r="A717" s="1"/>
      <c r="B717" s="1"/>
      <c r="C717" s="1"/>
      <c r="D717" s="1"/>
      <c r="E717" s="1"/>
      <c r="F717" s="1"/>
      <c r="G717" s="1"/>
      <c r="H717" s="1"/>
      <c r="I717" s="1"/>
    </row>
    <row r="718" ht="15.75" customHeight="1">
      <c r="A718" s="1"/>
      <c r="B718" s="1"/>
      <c r="C718" s="1"/>
      <c r="D718" s="1"/>
      <c r="E718" s="1"/>
      <c r="F718" s="1"/>
      <c r="G718" s="1"/>
      <c r="H718" s="1"/>
      <c r="I718" s="1"/>
    </row>
    <row r="719" ht="15.75" customHeight="1">
      <c r="A719" s="1"/>
      <c r="B719" s="1"/>
      <c r="C719" s="1"/>
      <c r="D719" s="1"/>
      <c r="E719" s="1"/>
      <c r="F719" s="1"/>
      <c r="G719" s="1"/>
      <c r="H719" s="1"/>
      <c r="I719" s="1"/>
    </row>
    <row r="720" ht="15.75" customHeight="1">
      <c r="A720" s="1"/>
      <c r="B720" s="1"/>
      <c r="C720" s="1"/>
      <c r="D720" s="1"/>
      <c r="E720" s="1"/>
      <c r="F720" s="1"/>
      <c r="G720" s="1"/>
      <c r="H720" s="1"/>
      <c r="I720" s="1"/>
    </row>
    <row r="721" ht="15.75" customHeight="1">
      <c r="A721" s="1"/>
      <c r="B721" s="1"/>
      <c r="C721" s="1"/>
      <c r="D721" s="1"/>
      <c r="E721" s="1"/>
      <c r="F721" s="1"/>
      <c r="G721" s="1"/>
      <c r="H721" s="1"/>
      <c r="I721" s="1"/>
    </row>
    <row r="722" ht="15.75" customHeight="1">
      <c r="A722" s="1"/>
      <c r="B722" s="1"/>
      <c r="C722" s="1"/>
      <c r="D722" s="1"/>
      <c r="E722" s="1"/>
      <c r="F722" s="1"/>
      <c r="G722" s="1"/>
      <c r="H722" s="1"/>
      <c r="I722" s="1"/>
    </row>
    <row r="723" ht="15.75" customHeight="1">
      <c r="A723" s="1"/>
      <c r="B723" s="1"/>
      <c r="C723" s="1"/>
      <c r="D723" s="1"/>
      <c r="E723" s="1"/>
      <c r="F723" s="1"/>
      <c r="G723" s="1"/>
      <c r="H723" s="1"/>
      <c r="I723" s="1"/>
    </row>
    <row r="724" ht="15.75" customHeight="1">
      <c r="A724" s="1"/>
      <c r="B724" s="1"/>
      <c r="C724" s="1"/>
      <c r="D724" s="1"/>
      <c r="E724" s="1"/>
      <c r="F724" s="1"/>
      <c r="G724" s="1"/>
      <c r="H724" s="1"/>
      <c r="I724" s="1"/>
    </row>
    <row r="725" ht="15.75" customHeight="1">
      <c r="A725" s="1"/>
      <c r="B725" s="1"/>
      <c r="C725" s="1"/>
      <c r="D725" s="1"/>
      <c r="E725" s="1"/>
      <c r="F725" s="1"/>
      <c r="G725" s="1"/>
      <c r="H725" s="1"/>
      <c r="I725" s="1"/>
    </row>
    <row r="726" ht="15.75" customHeight="1">
      <c r="A726" s="1"/>
      <c r="B726" s="1"/>
      <c r="C726" s="1"/>
      <c r="D726" s="1"/>
      <c r="E726" s="1"/>
      <c r="F726" s="1"/>
      <c r="G726" s="1"/>
      <c r="H726" s="1"/>
      <c r="I726" s="1"/>
    </row>
    <row r="727" ht="15.75" customHeight="1">
      <c r="A727" s="1"/>
      <c r="B727" s="1"/>
      <c r="C727" s="1"/>
      <c r="D727" s="1"/>
      <c r="E727" s="1"/>
      <c r="F727" s="1"/>
      <c r="G727" s="1"/>
      <c r="H727" s="1"/>
      <c r="I727" s="1"/>
    </row>
    <row r="728" ht="15.75" customHeight="1">
      <c r="A728" s="1"/>
      <c r="B728" s="1"/>
      <c r="C728" s="1"/>
      <c r="D728" s="1"/>
      <c r="E728" s="1"/>
      <c r="F728" s="1"/>
      <c r="G728" s="1"/>
      <c r="H728" s="1"/>
      <c r="I728" s="1"/>
    </row>
    <row r="729" ht="15.75" customHeight="1">
      <c r="A729" s="1"/>
      <c r="B729" s="1"/>
      <c r="C729" s="1"/>
      <c r="D729" s="1"/>
      <c r="E729" s="1"/>
      <c r="F729" s="1"/>
      <c r="G729" s="1"/>
      <c r="H729" s="1"/>
      <c r="I729" s="1"/>
    </row>
    <row r="730" ht="15.75" customHeight="1">
      <c r="A730" s="1"/>
      <c r="B730" s="1"/>
      <c r="C730" s="1"/>
      <c r="D730" s="1"/>
      <c r="E730" s="1"/>
      <c r="F730" s="1"/>
      <c r="G730" s="1"/>
      <c r="H730" s="1"/>
      <c r="I730" s="1"/>
    </row>
    <row r="731" ht="15.75" customHeight="1">
      <c r="A731" s="1"/>
      <c r="B731" s="1"/>
      <c r="C731" s="1"/>
      <c r="D731" s="1"/>
      <c r="E731" s="1"/>
      <c r="F731" s="1"/>
      <c r="G731" s="1"/>
      <c r="H731" s="1"/>
      <c r="I731" s="1"/>
    </row>
    <row r="732" ht="15.75" customHeight="1">
      <c r="A732" s="1"/>
      <c r="B732" s="1"/>
      <c r="C732" s="1"/>
      <c r="D732" s="1"/>
      <c r="E732" s="1"/>
      <c r="F732" s="1"/>
      <c r="G732" s="1"/>
      <c r="H732" s="1"/>
      <c r="I732" s="1"/>
    </row>
    <row r="733" ht="15.75" customHeight="1">
      <c r="A733" s="1"/>
      <c r="B733" s="1"/>
      <c r="C733" s="1"/>
      <c r="D733" s="1"/>
      <c r="E733" s="1"/>
      <c r="F733" s="1"/>
      <c r="G733" s="1"/>
      <c r="H733" s="1"/>
      <c r="I733" s="1"/>
    </row>
    <row r="734" ht="15.75" customHeight="1">
      <c r="A734" s="1"/>
      <c r="B734" s="1"/>
      <c r="C734" s="1"/>
      <c r="D734" s="1"/>
      <c r="E734" s="1"/>
      <c r="F734" s="1"/>
      <c r="G734" s="1"/>
      <c r="H734" s="1"/>
      <c r="I734" s="1"/>
    </row>
    <row r="735" ht="15.75" customHeight="1">
      <c r="A735" s="1"/>
      <c r="B735" s="1"/>
      <c r="C735" s="1"/>
      <c r="D735" s="1"/>
      <c r="E735" s="1"/>
      <c r="F735" s="1"/>
      <c r="G735" s="1"/>
      <c r="H735" s="1"/>
      <c r="I735" s="1"/>
    </row>
    <row r="736" ht="15.75" customHeight="1">
      <c r="A736" s="1"/>
      <c r="B736" s="1"/>
      <c r="C736" s="1"/>
      <c r="D736" s="1"/>
      <c r="E736" s="1"/>
      <c r="F736" s="1"/>
      <c r="G736" s="1"/>
      <c r="H736" s="1"/>
      <c r="I736" s="1"/>
    </row>
    <row r="737" ht="15.75" customHeight="1">
      <c r="A737" s="1"/>
      <c r="B737" s="1"/>
      <c r="C737" s="1"/>
      <c r="D737" s="1"/>
      <c r="E737" s="1"/>
      <c r="F737" s="1"/>
      <c r="G737" s="1"/>
      <c r="H737" s="1"/>
      <c r="I737" s="1"/>
    </row>
    <row r="738" ht="15.75" customHeight="1">
      <c r="A738" s="1"/>
      <c r="B738" s="1"/>
      <c r="C738" s="1"/>
      <c r="D738" s="1"/>
      <c r="E738" s="1"/>
      <c r="F738" s="1"/>
      <c r="G738" s="1"/>
      <c r="H738" s="1"/>
      <c r="I738" s="1"/>
    </row>
    <row r="739" ht="15.75" customHeight="1">
      <c r="A739" s="1"/>
      <c r="B739" s="1"/>
      <c r="C739" s="1"/>
      <c r="D739" s="1"/>
      <c r="E739" s="1"/>
      <c r="F739" s="1"/>
      <c r="G739" s="1"/>
      <c r="H739" s="1"/>
      <c r="I739" s="1"/>
    </row>
    <row r="740" ht="15.75" customHeight="1">
      <c r="A740" s="1"/>
      <c r="B740" s="1"/>
      <c r="C740" s="1"/>
      <c r="D740" s="1"/>
      <c r="E740" s="1"/>
      <c r="F740" s="1"/>
      <c r="G740" s="1"/>
      <c r="H740" s="1"/>
      <c r="I740" s="1"/>
    </row>
    <row r="741" ht="15.75" customHeight="1">
      <c r="A741" s="1"/>
      <c r="B741" s="1"/>
      <c r="C741" s="1"/>
      <c r="D741" s="1"/>
      <c r="E741" s="1"/>
      <c r="F741" s="1"/>
      <c r="G741" s="1"/>
      <c r="H741" s="1"/>
      <c r="I741" s="1"/>
    </row>
    <row r="742" ht="15.75" customHeight="1">
      <c r="A742" s="1"/>
      <c r="B742" s="1"/>
      <c r="C742" s="1"/>
      <c r="D742" s="1"/>
      <c r="E742" s="1"/>
      <c r="F742" s="1"/>
      <c r="G742" s="1"/>
      <c r="H742" s="1"/>
      <c r="I742" s="1"/>
    </row>
    <row r="743" ht="15.75" customHeight="1">
      <c r="A743" s="1"/>
      <c r="B743" s="1"/>
      <c r="C743" s="1"/>
      <c r="D743" s="1"/>
      <c r="E743" s="1"/>
      <c r="F743" s="1"/>
      <c r="G743" s="1"/>
      <c r="H743" s="1"/>
      <c r="I743" s="1"/>
    </row>
    <row r="744" ht="15.75" customHeight="1">
      <c r="A744" s="1"/>
      <c r="B744" s="1"/>
      <c r="C744" s="1"/>
      <c r="D744" s="1"/>
      <c r="E744" s="1"/>
      <c r="F744" s="1"/>
      <c r="G744" s="1"/>
      <c r="H744" s="1"/>
      <c r="I744" s="1"/>
    </row>
    <row r="745" ht="15.75" customHeight="1">
      <c r="A745" s="1"/>
      <c r="B745" s="1"/>
      <c r="C745" s="1"/>
      <c r="D745" s="1"/>
      <c r="E745" s="1"/>
      <c r="F745" s="1"/>
      <c r="G745" s="1"/>
      <c r="H745" s="1"/>
      <c r="I745" s="1"/>
    </row>
    <row r="746" ht="15.75" customHeight="1">
      <c r="A746" s="1"/>
      <c r="B746" s="1"/>
      <c r="C746" s="1"/>
      <c r="D746" s="1"/>
      <c r="E746" s="1"/>
      <c r="F746" s="1"/>
      <c r="G746" s="1"/>
      <c r="H746" s="1"/>
      <c r="I746" s="1"/>
    </row>
    <row r="747" ht="15.75" customHeight="1">
      <c r="A747" s="1"/>
      <c r="B747" s="1"/>
      <c r="C747" s="1"/>
      <c r="D747" s="1"/>
      <c r="E747" s="1"/>
      <c r="F747" s="1"/>
      <c r="G747" s="1"/>
      <c r="H747" s="1"/>
      <c r="I747" s="1"/>
    </row>
    <row r="748" ht="15.75" customHeight="1">
      <c r="A748" s="1"/>
      <c r="B748" s="1"/>
      <c r="C748" s="1"/>
      <c r="D748" s="1"/>
      <c r="E748" s="1"/>
      <c r="F748" s="1"/>
      <c r="G748" s="1"/>
      <c r="H748" s="1"/>
      <c r="I748" s="1"/>
    </row>
    <row r="749" ht="15.75" customHeight="1">
      <c r="A749" s="1"/>
      <c r="B749" s="1"/>
      <c r="C749" s="1"/>
      <c r="D749" s="1"/>
      <c r="E749" s="1"/>
      <c r="F749" s="1"/>
      <c r="G749" s="1"/>
      <c r="H749" s="1"/>
      <c r="I749" s="1"/>
    </row>
    <row r="750" ht="15.75" customHeight="1">
      <c r="A750" s="1"/>
      <c r="B750" s="1"/>
      <c r="C750" s="1"/>
      <c r="D750" s="1"/>
      <c r="E750" s="1"/>
      <c r="F750" s="1"/>
      <c r="G750" s="1"/>
      <c r="H750" s="1"/>
      <c r="I750" s="1"/>
    </row>
    <row r="751" ht="15.75" customHeight="1">
      <c r="A751" s="1"/>
      <c r="B751" s="1"/>
      <c r="C751" s="1"/>
      <c r="D751" s="1"/>
      <c r="E751" s="1"/>
      <c r="F751" s="1"/>
      <c r="G751" s="1"/>
      <c r="H751" s="1"/>
      <c r="I751" s="1"/>
    </row>
    <row r="752" ht="15.75" customHeight="1">
      <c r="A752" s="1"/>
      <c r="B752" s="1"/>
      <c r="C752" s="1"/>
      <c r="D752" s="1"/>
      <c r="E752" s="1"/>
      <c r="F752" s="1"/>
      <c r="G752" s="1"/>
      <c r="H752" s="1"/>
      <c r="I752" s="1"/>
    </row>
    <row r="753" ht="15.75" customHeight="1">
      <c r="A753" s="1"/>
      <c r="B753" s="1"/>
      <c r="C753" s="1"/>
      <c r="D753" s="1"/>
      <c r="E753" s="1"/>
      <c r="F753" s="1"/>
      <c r="G753" s="1"/>
      <c r="H753" s="1"/>
      <c r="I753" s="1"/>
    </row>
    <row r="754" ht="15.75" customHeight="1">
      <c r="A754" s="1"/>
      <c r="B754" s="1"/>
      <c r="C754" s="1"/>
      <c r="D754" s="1"/>
      <c r="E754" s="1"/>
      <c r="F754" s="1"/>
      <c r="G754" s="1"/>
      <c r="H754" s="1"/>
      <c r="I754" s="1"/>
    </row>
    <row r="755" ht="15.75" customHeight="1">
      <c r="A755" s="1"/>
      <c r="B755" s="1"/>
      <c r="C755" s="1"/>
      <c r="D755" s="1"/>
      <c r="E755" s="1"/>
      <c r="F755" s="1"/>
      <c r="G755" s="1"/>
      <c r="H755" s="1"/>
      <c r="I755" s="1"/>
    </row>
    <row r="756" ht="15.75" customHeight="1">
      <c r="A756" s="1"/>
      <c r="B756" s="1"/>
      <c r="C756" s="1"/>
      <c r="D756" s="1"/>
      <c r="E756" s="1"/>
      <c r="F756" s="1"/>
      <c r="G756" s="1"/>
      <c r="H756" s="1"/>
      <c r="I756" s="1"/>
    </row>
    <row r="757" ht="15.75" customHeight="1">
      <c r="A757" s="1"/>
      <c r="B757" s="1"/>
      <c r="C757" s="1"/>
      <c r="D757" s="1"/>
      <c r="E757" s="1"/>
      <c r="F757" s="1"/>
      <c r="G757" s="1"/>
      <c r="H757" s="1"/>
      <c r="I757" s="1"/>
    </row>
    <row r="758" ht="15.75" customHeight="1">
      <c r="A758" s="1"/>
      <c r="B758" s="1"/>
      <c r="C758" s="1"/>
      <c r="D758" s="1"/>
      <c r="E758" s="1"/>
      <c r="F758" s="1"/>
      <c r="G758" s="1"/>
      <c r="H758" s="1"/>
      <c r="I758" s="1"/>
    </row>
    <row r="759" ht="15.75" customHeight="1">
      <c r="A759" s="1"/>
      <c r="B759" s="1"/>
      <c r="C759" s="1"/>
      <c r="D759" s="1"/>
      <c r="E759" s="1"/>
      <c r="F759" s="1"/>
      <c r="G759" s="1"/>
      <c r="H759" s="1"/>
      <c r="I759" s="1"/>
    </row>
    <row r="760" ht="15.75" customHeight="1">
      <c r="A760" s="1"/>
      <c r="B760" s="1"/>
      <c r="C760" s="1"/>
      <c r="D760" s="1"/>
      <c r="E760" s="1"/>
      <c r="F760" s="1"/>
      <c r="G760" s="1"/>
      <c r="H760" s="1"/>
      <c r="I760" s="1"/>
    </row>
    <row r="761" ht="15.75" customHeight="1">
      <c r="A761" s="1"/>
      <c r="B761" s="1"/>
      <c r="C761" s="1"/>
      <c r="D761" s="1"/>
      <c r="E761" s="1"/>
      <c r="F761" s="1"/>
      <c r="G761" s="1"/>
      <c r="H761" s="1"/>
      <c r="I761" s="1"/>
    </row>
    <row r="762" ht="15.75" customHeight="1">
      <c r="A762" s="1"/>
      <c r="B762" s="1"/>
      <c r="C762" s="1"/>
      <c r="D762" s="1"/>
      <c r="E762" s="1"/>
      <c r="F762" s="1"/>
      <c r="G762" s="1"/>
      <c r="H762" s="1"/>
      <c r="I762" s="1"/>
    </row>
    <row r="763" ht="15.75" customHeight="1">
      <c r="A763" s="1"/>
      <c r="B763" s="1"/>
      <c r="C763" s="1"/>
      <c r="D763" s="1"/>
      <c r="E763" s="1"/>
      <c r="F763" s="1"/>
      <c r="G763" s="1"/>
      <c r="H763" s="1"/>
      <c r="I763" s="1"/>
    </row>
    <row r="764" ht="15.75" customHeight="1">
      <c r="A764" s="1"/>
      <c r="B764" s="1"/>
      <c r="C764" s="1"/>
      <c r="D764" s="1"/>
      <c r="E764" s="1"/>
      <c r="F764" s="1"/>
      <c r="G764" s="1"/>
      <c r="H764" s="1"/>
      <c r="I764" s="1"/>
    </row>
    <row r="765" ht="15.75" customHeight="1">
      <c r="A765" s="1"/>
      <c r="B765" s="1"/>
      <c r="C765" s="1"/>
      <c r="D765" s="1"/>
      <c r="E765" s="1"/>
      <c r="F765" s="1"/>
      <c r="G765" s="1"/>
      <c r="H765" s="1"/>
      <c r="I765" s="1"/>
    </row>
    <row r="766" ht="15.75" customHeight="1">
      <c r="A766" s="1"/>
      <c r="B766" s="1"/>
      <c r="C766" s="1"/>
      <c r="D766" s="1"/>
      <c r="E766" s="1"/>
      <c r="F766" s="1"/>
      <c r="G766" s="1"/>
      <c r="H766" s="1"/>
      <c r="I766" s="1"/>
    </row>
    <row r="767" ht="15.75" customHeight="1">
      <c r="A767" s="1"/>
      <c r="B767" s="1"/>
      <c r="C767" s="1"/>
      <c r="D767" s="1"/>
      <c r="E767" s="1"/>
      <c r="F767" s="1"/>
      <c r="G767" s="1"/>
      <c r="H767" s="1"/>
      <c r="I767" s="1"/>
    </row>
    <row r="768" ht="15.75" customHeight="1">
      <c r="A768" s="1"/>
      <c r="B768" s="1"/>
      <c r="C768" s="1"/>
      <c r="D768" s="1"/>
      <c r="E768" s="1"/>
      <c r="F768" s="1"/>
      <c r="G768" s="1"/>
      <c r="H768" s="1"/>
      <c r="I768" s="1"/>
    </row>
    <row r="769" ht="15.75" customHeight="1">
      <c r="A769" s="1"/>
      <c r="B769" s="1"/>
      <c r="C769" s="1"/>
      <c r="D769" s="1"/>
      <c r="E769" s="1"/>
      <c r="F769" s="1"/>
      <c r="G769" s="1"/>
      <c r="H769" s="1"/>
      <c r="I769" s="1"/>
    </row>
    <row r="770" ht="15.75" customHeight="1">
      <c r="A770" s="1"/>
      <c r="B770" s="1"/>
      <c r="C770" s="1"/>
      <c r="D770" s="1"/>
      <c r="E770" s="1"/>
      <c r="F770" s="1"/>
      <c r="G770" s="1"/>
      <c r="H770" s="1"/>
      <c r="I770" s="1"/>
    </row>
    <row r="771" ht="15.75" customHeight="1">
      <c r="A771" s="1"/>
      <c r="B771" s="1"/>
      <c r="C771" s="1"/>
      <c r="D771" s="1"/>
      <c r="E771" s="1"/>
      <c r="F771" s="1"/>
      <c r="G771" s="1"/>
      <c r="H771" s="1"/>
      <c r="I771" s="1"/>
    </row>
    <row r="772" ht="15.75" customHeight="1">
      <c r="A772" s="1"/>
      <c r="B772" s="1"/>
      <c r="C772" s="1"/>
      <c r="D772" s="1"/>
      <c r="E772" s="1"/>
      <c r="F772" s="1"/>
      <c r="G772" s="1"/>
      <c r="H772" s="1"/>
      <c r="I772" s="1"/>
    </row>
    <row r="773" ht="15.75" customHeight="1">
      <c r="A773" s="1"/>
      <c r="B773" s="1"/>
      <c r="C773" s="1"/>
      <c r="D773" s="1"/>
      <c r="E773" s="1"/>
      <c r="F773" s="1"/>
      <c r="G773" s="1"/>
      <c r="H773" s="1"/>
      <c r="I773" s="1"/>
    </row>
    <row r="774" ht="15.75" customHeight="1">
      <c r="A774" s="1"/>
      <c r="B774" s="1"/>
      <c r="C774" s="1"/>
      <c r="D774" s="1"/>
      <c r="E774" s="1"/>
      <c r="F774" s="1"/>
      <c r="G774" s="1"/>
      <c r="H774" s="1"/>
      <c r="I774" s="1"/>
    </row>
    <row r="775" ht="15.75" customHeight="1">
      <c r="A775" s="1"/>
      <c r="B775" s="1"/>
      <c r="C775" s="1"/>
      <c r="D775" s="1"/>
      <c r="E775" s="1"/>
      <c r="F775" s="1"/>
      <c r="G775" s="1"/>
      <c r="H775" s="1"/>
      <c r="I775" s="1"/>
    </row>
    <row r="776" ht="15.75" customHeight="1">
      <c r="A776" s="1"/>
      <c r="B776" s="1"/>
      <c r="C776" s="1"/>
      <c r="D776" s="1"/>
      <c r="E776" s="1"/>
      <c r="F776" s="1"/>
      <c r="G776" s="1"/>
      <c r="H776" s="1"/>
      <c r="I776" s="1"/>
    </row>
    <row r="777" ht="15.75" customHeight="1">
      <c r="A777" s="1"/>
      <c r="B777" s="1"/>
      <c r="C777" s="1"/>
      <c r="D777" s="1"/>
      <c r="E777" s="1"/>
      <c r="F777" s="1"/>
      <c r="G777" s="1"/>
      <c r="H777" s="1"/>
      <c r="I777" s="1"/>
    </row>
    <row r="778" ht="15.75" customHeight="1">
      <c r="A778" s="1"/>
      <c r="B778" s="1"/>
      <c r="C778" s="1"/>
      <c r="D778" s="1"/>
      <c r="E778" s="1"/>
      <c r="F778" s="1"/>
      <c r="G778" s="1"/>
      <c r="H778" s="1"/>
      <c r="I778" s="1"/>
    </row>
    <row r="779" ht="15.75" customHeight="1">
      <c r="A779" s="1"/>
      <c r="B779" s="1"/>
      <c r="C779" s="1"/>
      <c r="D779" s="1"/>
      <c r="E779" s="1"/>
      <c r="F779" s="1"/>
      <c r="G779" s="1"/>
      <c r="H779" s="1"/>
      <c r="I779" s="1"/>
    </row>
    <row r="780" ht="15.75" customHeight="1">
      <c r="A780" s="1"/>
      <c r="B780" s="1"/>
      <c r="C780" s="1"/>
      <c r="D780" s="1"/>
      <c r="E780" s="1"/>
      <c r="F780" s="1"/>
      <c r="G780" s="1"/>
      <c r="H780" s="1"/>
      <c r="I780" s="1"/>
    </row>
    <row r="781" ht="15.75" customHeight="1">
      <c r="A781" s="1"/>
      <c r="B781" s="1"/>
      <c r="C781" s="1"/>
      <c r="D781" s="1"/>
      <c r="E781" s="1"/>
      <c r="F781" s="1"/>
      <c r="G781" s="1"/>
      <c r="H781" s="1"/>
      <c r="I781" s="1"/>
    </row>
    <row r="782" ht="15.75" customHeight="1">
      <c r="A782" s="1"/>
      <c r="B782" s="1"/>
      <c r="C782" s="1"/>
      <c r="D782" s="1"/>
      <c r="E782" s="1"/>
      <c r="F782" s="1"/>
      <c r="G782" s="1"/>
      <c r="H782" s="1"/>
      <c r="I782" s="1"/>
    </row>
    <row r="783" ht="15.75" customHeight="1">
      <c r="A783" s="1"/>
      <c r="B783" s="1"/>
      <c r="C783" s="1"/>
      <c r="D783" s="1"/>
      <c r="E783" s="1"/>
      <c r="F783" s="1"/>
      <c r="G783" s="1"/>
      <c r="H783" s="1"/>
      <c r="I783" s="1"/>
    </row>
    <row r="784" ht="15.75" customHeight="1">
      <c r="A784" s="1"/>
      <c r="B784" s="1"/>
      <c r="C784" s="1"/>
      <c r="D784" s="1"/>
      <c r="E784" s="1"/>
      <c r="F784" s="1"/>
      <c r="G784" s="1"/>
      <c r="H784" s="1"/>
      <c r="I784" s="1"/>
    </row>
    <row r="785" ht="15.75" customHeight="1">
      <c r="A785" s="1"/>
      <c r="B785" s="1"/>
      <c r="C785" s="1"/>
      <c r="D785" s="1"/>
      <c r="E785" s="1"/>
      <c r="F785" s="1"/>
      <c r="G785" s="1"/>
      <c r="H785" s="1"/>
      <c r="I785" s="1"/>
    </row>
    <row r="786" ht="15.75" customHeight="1">
      <c r="A786" s="1"/>
      <c r="B786" s="1"/>
      <c r="C786" s="1"/>
      <c r="D786" s="1"/>
      <c r="E786" s="1"/>
      <c r="F786" s="1"/>
      <c r="G786" s="1"/>
      <c r="H786" s="1"/>
      <c r="I786" s="1"/>
    </row>
    <row r="787" ht="15.75" customHeight="1">
      <c r="A787" s="1"/>
      <c r="B787" s="1"/>
      <c r="C787" s="1"/>
      <c r="D787" s="1"/>
      <c r="E787" s="1"/>
      <c r="F787" s="1"/>
      <c r="G787" s="1"/>
      <c r="H787" s="1"/>
      <c r="I787" s="1"/>
    </row>
    <row r="788" ht="15.75" customHeight="1">
      <c r="A788" s="1"/>
      <c r="B788" s="1"/>
      <c r="C788" s="1"/>
      <c r="D788" s="1"/>
      <c r="E788" s="1"/>
      <c r="F788" s="1"/>
      <c r="G788" s="1"/>
      <c r="H788" s="1"/>
      <c r="I788" s="1"/>
    </row>
    <row r="789" ht="15.75" customHeight="1">
      <c r="A789" s="1"/>
      <c r="B789" s="1"/>
      <c r="C789" s="1"/>
      <c r="D789" s="1"/>
      <c r="E789" s="1"/>
      <c r="F789" s="1"/>
      <c r="G789" s="1"/>
      <c r="H789" s="1"/>
      <c r="I789" s="1"/>
    </row>
    <row r="790" ht="15.75" customHeight="1">
      <c r="A790" s="1"/>
      <c r="B790" s="1"/>
      <c r="C790" s="1"/>
      <c r="D790" s="1"/>
      <c r="E790" s="1"/>
      <c r="F790" s="1"/>
      <c r="G790" s="1"/>
      <c r="H790" s="1"/>
      <c r="I790" s="1"/>
    </row>
    <row r="791" ht="15.75" customHeight="1">
      <c r="A791" s="1"/>
      <c r="B791" s="1"/>
      <c r="C791" s="1"/>
      <c r="D791" s="1"/>
      <c r="E791" s="1"/>
      <c r="F791" s="1"/>
      <c r="G791" s="1"/>
      <c r="H791" s="1"/>
      <c r="I791" s="1"/>
    </row>
    <row r="792" ht="15.75" customHeight="1">
      <c r="A792" s="1"/>
      <c r="B792" s="1"/>
      <c r="C792" s="1"/>
      <c r="D792" s="1"/>
      <c r="E792" s="1"/>
      <c r="F792" s="1"/>
      <c r="G792" s="1"/>
      <c r="H792" s="1"/>
      <c r="I792" s="1"/>
    </row>
    <row r="793" ht="15.75" customHeight="1">
      <c r="A793" s="1"/>
      <c r="B793" s="1"/>
      <c r="C793" s="1"/>
      <c r="D793" s="1"/>
      <c r="E793" s="1"/>
      <c r="F793" s="1"/>
      <c r="G793" s="1"/>
      <c r="H793" s="1"/>
      <c r="I793" s="1"/>
    </row>
    <row r="794" ht="15.75" customHeight="1">
      <c r="A794" s="1"/>
      <c r="B794" s="1"/>
      <c r="C794" s="1"/>
      <c r="D794" s="1"/>
      <c r="E794" s="1"/>
      <c r="F794" s="1"/>
      <c r="G794" s="1"/>
      <c r="H794" s="1"/>
      <c r="I794" s="1"/>
    </row>
    <row r="795" ht="15.75" customHeight="1">
      <c r="A795" s="1"/>
      <c r="B795" s="1"/>
      <c r="C795" s="1"/>
      <c r="D795" s="1"/>
      <c r="E795" s="1"/>
      <c r="F795" s="1"/>
      <c r="G795" s="1"/>
      <c r="H795" s="1"/>
      <c r="I795" s="1"/>
    </row>
    <row r="796" ht="15.75" customHeight="1">
      <c r="A796" s="1"/>
      <c r="B796" s="1"/>
      <c r="C796" s="1"/>
      <c r="D796" s="1"/>
      <c r="E796" s="1"/>
      <c r="F796" s="1"/>
      <c r="G796" s="1"/>
      <c r="H796" s="1"/>
      <c r="I796" s="1"/>
    </row>
    <row r="797" ht="15.75" customHeight="1">
      <c r="A797" s="1"/>
      <c r="B797" s="1"/>
      <c r="C797" s="1"/>
      <c r="D797" s="1"/>
      <c r="E797" s="1"/>
      <c r="F797" s="1"/>
      <c r="G797" s="1"/>
      <c r="H797" s="1"/>
      <c r="I797" s="1"/>
    </row>
    <row r="798" ht="15.75" customHeight="1">
      <c r="A798" s="1"/>
      <c r="B798" s="1"/>
      <c r="C798" s="1"/>
      <c r="D798" s="1"/>
      <c r="E798" s="1"/>
      <c r="F798" s="1"/>
      <c r="G798" s="1"/>
      <c r="H798" s="1"/>
      <c r="I798" s="1"/>
    </row>
    <row r="799" ht="15.75" customHeight="1">
      <c r="A799" s="1"/>
      <c r="B799" s="1"/>
      <c r="C799" s="1"/>
      <c r="D799" s="1"/>
      <c r="E799" s="1"/>
      <c r="F799" s="1"/>
      <c r="G799" s="1"/>
      <c r="H799" s="1"/>
      <c r="I799" s="1"/>
    </row>
    <row r="800" ht="15.75" customHeight="1">
      <c r="A800" s="1"/>
      <c r="B800" s="1"/>
      <c r="C800" s="1"/>
      <c r="D800" s="1"/>
      <c r="E800" s="1"/>
      <c r="F800" s="1"/>
      <c r="G800" s="1"/>
      <c r="H800" s="1"/>
      <c r="I800" s="1"/>
    </row>
    <row r="801" ht="15.75" customHeight="1">
      <c r="A801" s="1"/>
      <c r="B801" s="1"/>
      <c r="C801" s="1"/>
      <c r="D801" s="1"/>
      <c r="E801" s="1"/>
      <c r="F801" s="1"/>
      <c r="G801" s="1"/>
      <c r="H801" s="1"/>
      <c r="I801" s="1"/>
    </row>
    <row r="802" ht="15.75" customHeight="1">
      <c r="A802" s="1"/>
      <c r="B802" s="1"/>
      <c r="C802" s="1"/>
      <c r="D802" s="1"/>
      <c r="E802" s="1"/>
      <c r="F802" s="1"/>
      <c r="G802" s="1"/>
      <c r="H802" s="1"/>
      <c r="I802" s="1"/>
    </row>
    <row r="803" ht="15.75" customHeight="1">
      <c r="A803" s="1"/>
      <c r="B803" s="1"/>
      <c r="C803" s="1"/>
      <c r="D803" s="1"/>
      <c r="E803" s="1"/>
      <c r="F803" s="1"/>
      <c r="G803" s="1"/>
      <c r="H803" s="1"/>
      <c r="I803" s="1"/>
    </row>
    <row r="804" ht="15.75" customHeight="1">
      <c r="A804" s="1"/>
      <c r="B804" s="1"/>
      <c r="C804" s="1"/>
      <c r="D804" s="1"/>
      <c r="E804" s="1"/>
      <c r="F804" s="1"/>
      <c r="G804" s="1"/>
      <c r="H804" s="1"/>
      <c r="I804" s="1"/>
    </row>
    <row r="805" ht="15.75" customHeight="1">
      <c r="A805" s="1"/>
      <c r="B805" s="1"/>
      <c r="C805" s="1"/>
      <c r="D805" s="1"/>
      <c r="E805" s="1"/>
      <c r="F805" s="1"/>
      <c r="G805" s="1"/>
      <c r="H805" s="1"/>
      <c r="I805" s="1"/>
    </row>
    <row r="806" ht="15.75" customHeight="1">
      <c r="A806" s="1"/>
      <c r="B806" s="1"/>
      <c r="C806" s="1"/>
      <c r="D806" s="1"/>
      <c r="E806" s="1"/>
      <c r="F806" s="1"/>
      <c r="G806" s="1"/>
      <c r="H806" s="1"/>
      <c r="I806" s="1"/>
    </row>
    <row r="807" ht="15.75" customHeight="1">
      <c r="A807" s="1"/>
      <c r="B807" s="1"/>
      <c r="C807" s="1"/>
      <c r="D807" s="1"/>
      <c r="E807" s="1"/>
      <c r="F807" s="1"/>
      <c r="G807" s="1"/>
      <c r="H807" s="1"/>
      <c r="I807" s="1"/>
    </row>
    <row r="808" ht="15.75" customHeight="1">
      <c r="A808" s="1"/>
      <c r="B808" s="1"/>
      <c r="C808" s="1"/>
      <c r="D808" s="1"/>
      <c r="E808" s="1"/>
      <c r="F808" s="1"/>
      <c r="G808" s="1"/>
      <c r="H808" s="1"/>
      <c r="I808" s="1"/>
    </row>
    <row r="809" ht="15.75" customHeight="1">
      <c r="A809" s="1"/>
      <c r="B809" s="1"/>
      <c r="C809" s="1"/>
      <c r="D809" s="1"/>
      <c r="E809" s="1"/>
      <c r="F809" s="1"/>
      <c r="G809" s="1"/>
      <c r="H809" s="1"/>
      <c r="I809" s="1"/>
    </row>
    <row r="810" ht="15.75" customHeight="1">
      <c r="A810" s="1"/>
      <c r="B810" s="1"/>
      <c r="C810" s="1"/>
      <c r="D810" s="1"/>
      <c r="E810" s="1"/>
      <c r="F810" s="1"/>
      <c r="G810" s="1"/>
      <c r="H810" s="1"/>
      <c r="I810" s="1"/>
    </row>
    <row r="811" ht="15.75" customHeight="1">
      <c r="A811" s="1"/>
      <c r="B811" s="1"/>
      <c r="C811" s="1"/>
      <c r="D811" s="1"/>
      <c r="E811" s="1"/>
      <c r="F811" s="1"/>
      <c r="G811" s="1"/>
      <c r="H811" s="1"/>
      <c r="I811" s="1"/>
    </row>
    <row r="812" ht="15.75" customHeight="1">
      <c r="A812" s="1"/>
      <c r="B812" s="1"/>
      <c r="C812" s="1"/>
      <c r="D812" s="1"/>
      <c r="E812" s="1"/>
      <c r="F812" s="1"/>
      <c r="G812" s="1"/>
      <c r="H812" s="1"/>
      <c r="I812" s="1"/>
    </row>
    <row r="813" ht="15.75" customHeight="1">
      <c r="A813" s="1"/>
      <c r="B813" s="1"/>
      <c r="C813" s="1"/>
      <c r="D813" s="1"/>
      <c r="E813" s="1"/>
      <c r="F813" s="1"/>
      <c r="G813" s="1"/>
      <c r="H813" s="1"/>
      <c r="I813" s="1"/>
    </row>
    <row r="814" ht="15.75" customHeight="1">
      <c r="A814" s="1"/>
      <c r="B814" s="1"/>
      <c r="C814" s="1"/>
      <c r="D814" s="1"/>
      <c r="E814" s="1"/>
      <c r="F814" s="1"/>
      <c r="G814" s="1"/>
      <c r="H814" s="1"/>
      <c r="I814" s="1"/>
    </row>
    <row r="815" ht="15.75" customHeight="1">
      <c r="A815" s="1"/>
      <c r="B815" s="1"/>
      <c r="C815" s="1"/>
      <c r="D815" s="1"/>
      <c r="E815" s="1"/>
      <c r="F815" s="1"/>
      <c r="G815" s="1"/>
      <c r="H815" s="1"/>
      <c r="I815" s="1"/>
    </row>
    <row r="816" ht="15.75" customHeight="1">
      <c r="A816" s="1"/>
      <c r="B816" s="1"/>
      <c r="C816" s="1"/>
      <c r="D816" s="1"/>
      <c r="E816" s="1"/>
      <c r="F816" s="1"/>
      <c r="G816" s="1"/>
      <c r="H816" s="1"/>
      <c r="I816" s="1"/>
    </row>
    <row r="817" ht="15.75" customHeight="1">
      <c r="A817" s="1"/>
      <c r="B817" s="1"/>
      <c r="C817" s="1"/>
      <c r="D817" s="1"/>
      <c r="E817" s="1"/>
      <c r="F817" s="1"/>
      <c r="G817" s="1"/>
      <c r="H817" s="1"/>
      <c r="I817" s="1"/>
    </row>
    <row r="818" ht="15.75" customHeight="1">
      <c r="A818" s="1"/>
      <c r="B818" s="1"/>
      <c r="C818" s="1"/>
      <c r="D818" s="1"/>
      <c r="E818" s="1"/>
      <c r="F818" s="1"/>
      <c r="G818" s="1"/>
      <c r="H818" s="1"/>
      <c r="I818" s="1"/>
    </row>
    <row r="819" ht="15.75" customHeight="1">
      <c r="A819" s="1"/>
      <c r="B819" s="1"/>
      <c r="C819" s="1"/>
      <c r="D819" s="1"/>
      <c r="E819" s="1"/>
      <c r="F819" s="1"/>
      <c r="G819" s="1"/>
      <c r="H819" s="1"/>
      <c r="I819" s="1"/>
    </row>
    <row r="820" ht="15.75" customHeight="1">
      <c r="A820" s="1"/>
      <c r="B820" s="1"/>
      <c r="C820" s="1"/>
      <c r="D820" s="1"/>
      <c r="E820" s="1"/>
      <c r="F820" s="1"/>
      <c r="G820" s="1"/>
      <c r="H820" s="1"/>
      <c r="I820" s="1"/>
    </row>
    <row r="821" ht="15.75" customHeight="1">
      <c r="A821" s="1"/>
      <c r="B821" s="1"/>
      <c r="C821" s="1"/>
      <c r="D821" s="1"/>
      <c r="E821" s="1"/>
      <c r="F821" s="1"/>
      <c r="G821" s="1"/>
      <c r="H821" s="1"/>
      <c r="I821" s="1"/>
    </row>
    <row r="822" ht="15.75" customHeight="1">
      <c r="A822" s="1"/>
      <c r="B822" s="1"/>
      <c r="C822" s="1"/>
      <c r="D822" s="1"/>
      <c r="E822" s="1"/>
      <c r="F822" s="1"/>
      <c r="G822" s="1"/>
      <c r="H822" s="1"/>
      <c r="I822" s="1"/>
    </row>
    <row r="823" ht="15.75" customHeight="1">
      <c r="A823" s="1"/>
      <c r="B823" s="1"/>
      <c r="C823" s="1"/>
      <c r="D823" s="1"/>
      <c r="E823" s="1"/>
      <c r="F823" s="1"/>
      <c r="G823" s="1"/>
      <c r="H823" s="1"/>
      <c r="I823" s="1"/>
    </row>
    <row r="824" ht="15.75" customHeight="1">
      <c r="A824" s="1"/>
      <c r="B824" s="1"/>
      <c r="C824" s="1"/>
      <c r="D824" s="1"/>
      <c r="E824" s="1"/>
      <c r="F824" s="1"/>
      <c r="G824" s="1"/>
      <c r="H824" s="1"/>
      <c r="I824" s="1"/>
    </row>
    <row r="825" ht="15.75" customHeight="1">
      <c r="A825" s="1"/>
      <c r="B825" s="1"/>
      <c r="C825" s="1"/>
      <c r="D825" s="1"/>
      <c r="E825" s="1"/>
      <c r="F825" s="1"/>
      <c r="G825" s="1"/>
      <c r="H825" s="1"/>
      <c r="I825" s="1"/>
    </row>
    <row r="826" ht="15.75" customHeight="1">
      <c r="A826" s="1"/>
      <c r="B826" s="1"/>
      <c r="C826" s="1"/>
      <c r="D826" s="1"/>
      <c r="E826" s="1"/>
      <c r="F826" s="1"/>
      <c r="G826" s="1"/>
      <c r="H826" s="1"/>
      <c r="I826" s="1"/>
    </row>
    <row r="827" ht="15.75" customHeight="1">
      <c r="A827" s="1"/>
      <c r="B827" s="1"/>
      <c r="C827" s="1"/>
      <c r="D827" s="1"/>
      <c r="E827" s="1"/>
      <c r="F827" s="1"/>
      <c r="G827" s="1"/>
      <c r="H827" s="1"/>
      <c r="I827" s="1"/>
    </row>
    <row r="828" ht="15.75" customHeight="1">
      <c r="A828" s="1"/>
      <c r="B828" s="1"/>
      <c r="C828" s="1"/>
      <c r="D828" s="1"/>
      <c r="E828" s="1"/>
      <c r="F828" s="1"/>
      <c r="G828" s="1"/>
      <c r="H828" s="1"/>
      <c r="I828" s="1"/>
    </row>
    <row r="829" ht="15.75" customHeight="1">
      <c r="A829" s="1"/>
      <c r="B829" s="1"/>
      <c r="C829" s="1"/>
      <c r="D829" s="1"/>
      <c r="E829" s="1"/>
      <c r="F829" s="1"/>
      <c r="G829" s="1"/>
      <c r="H829" s="1"/>
      <c r="I829" s="1"/>
    </row>
    <row r="830" ht="15.75" customHeight="1">
      <c r="A830" s="1"/>
      <c r="B830" s="1"/>
      <c r="C830" s="1"/>
      <c r="D830" s="1"/>
      <c r="E830" s="1"/>
      <c r="F830" s="1"/>
      <c r="G830" s="1"/>
      <c r="H830" s="1"/>
      <c r="I830" s="1"/>
    </row>
    <row r="831" ht="15.75" customHeight="1">
      <c r="A831" s="1"/>
      <c r="B831" s="1"/>
      <c r="C831" s="1"/>
      <c r="D831" s="1"/>
      <c r="E831" s="1"/>
      <c r="F831" s="1"/>
      <c r="G831" s="1"/>
      <c r="H831" s="1"/>
      <c r="I831" s="1"/>
    </row>
    <row r="832" ht="15.75" customHeight="1">
      <c r="A832" s="1"/>
      <c r="B832" s="1"/>
      <c r="C832" s="1"/>
      <c r="D832" s="1"/>
      <c r="E832" s="1"/>
      <c r="F832" s="1"/>
      <c r="G832" s="1"/>
      <c r="H832" s="1"/>
      <c r="I832" s="1"/>
    </row>
    <row r="833" ht="15.75" customHeight="1">
      <c r="A833" s="1"/>
      <c r="B833" s="1"/>
      <c r="C833" s="1"/>
      <c r="D833" s="1"/>
      <c r="E833" s="1"/>
      <c r="F833" s="1"/>
      <c r="G833" s="1"/>
      <c r="H833" s="1"/>
      <c r="I833" s="1"/>
    </row>
    <row r="834" ht="15.75" customHeight="1">
      <c r="A834" s="1"/>
      <c r="B834" s="1"/>
      <c r="C834" s="1"/>
      <c r="D834" s="1"/>
      <c r="E834" s="1"/>
      <c r="F834" s="1"/>
      <c r="G834" s="1"/>
      <c r="H834" s="1"/>
      <c r="I834" s="1"/>
    </row>
    <row r="835" ht="15.75" customHeight="1">
      <c r="A835" s="1"/>
      <c r="B835" s="1"/>
      <c r="C835" s="1"/>
      <c r="D835" s="1"/>
      <c r="E835" s="1"/>
      <c r="F835" s="1"/>
      <c r="G835" s="1"/>
      <c r="H835" s="1"/>
      <c r="I835" s="1"/>
    </row>
    <row r="836" ht="15.75" customHeight="1">
      <c r="A836" s="1"/>
      <c r="B836" s="1"/>
      <c r="C836" s="1"/>
      <c r="D836" s="1"/>
      <c r="E836" s="1"/>
      <c r="F836" s="1"/>
      <c r="G836" s="1"/>
      <c r="H836" s="1"/>
      <c r="I836" s="1"/>
    </row>
    <row r="837" ht="15.75" customHeight="1">
      <c r="A837" s="1"/>
      <c r="B837" s="1"/>
      <c r="C837" s="1"/>
      <c r="D837" s="1"/>
      <c r="E837" s="1"/>
      <c r="F837" s="1"/>
      <c r="G837" s="1"/>
      <c r="H837" s="1"/>
      <c r="I837" s="1"/>
    </row>
    <row r="838" ht="15.75" customHeight="1">
      <c r="A838" s="1"/>
      <c r="B838" s="1"/>
      <c r="C838" s="1"/>
      <c r="D838" s="1"/>
      <c r="E838" s="1"/>
      <c r="F838" s="1"/>
      <c r="G838" s="1"/>
      <c r="H838" s="1"/>
      <c r="I838" s="1"/>
    </row>
    <row r="839" ht="15.75" customHeight="1">
      <c r="A839" s="1"/>
      <c r="B839" s="1"/>
      <c r="C839" s="1"/>
      <c r="D839" s="1"/>
      <c r="E839" s="1"/>
      <c r="F839" s="1"/>
      <c r="G839" s="1"/>
      <c r="H839" s="1"/>
      <c r="I839" s="1"/>
    </row>
    <row r="840" ht="15.75" customHeight="1">
      <c r="A840" s="1"/>
      <c r="B840" s="1"/>
      <c r="C840" s="1"/>
      <c r="D840" s="1"/>
      <c r="E840" s="1"/>
      <c r="F840" s="1"/>
      <c r="G840" s="1"/>
      <c r="H840" s="1"/>
      <c r="I840" s="1"/>
    </row>
    <row r="841" ht="15.75" customHeight="1">
      <c r="A841" s="1"/>
      <c r="B841" s="1"/>
      <c r="C841" s="1"/>
      <c r="D841" s="1"/>
      <c r="E841" s="1"/>
      <c r="F841" s="1"/>
      <c r="G841" s="1"/>
      <c r="H841" s="1"/>
      <c r="I841" s="1"/>
    </row>
    <row r="842" ht="15.75" customHeight="1">
      <c r="A842" s="1"/>
      <c r="B842" s="1"/>
      <c r="C842" s="1"/>
      <c r="D842" s="1"/>
      <c r="E842" s="1"/>
      <c r="F842" s="1"/>
      <c r="G842" s="1"/>
      <c r="H842" s="1"/>
      <c r="I842" s="1"/>
    </row>
    <row r="843" ht="15.75" customHeight="1">
      <c r="A843" s="1"/>
      <c r="B843" s="1"/>
      <c r="C843" s="1"/>
      <c r="D843" s="1"/>
      <c r="E843" s="1"/>
      <c r="F843" s="1"/>
      <c r="G843" s="1"/>
      <c r="H843" s="1"/>
      <c r="I843" s="1"/>
    </row>
    <row r="844" ht="15.75" customHeight="1">
      <c r="A844" s="1"/>
      <c r="B844" s="1"/>
      <c r="C844" s="1"/>
      <c r="D844" s="1"/>
      <c r="E844" s="1"/>
      <c r="F844" s="1"/>
      <c r="G844" s="1"/>
      <c r="H844" s="1"/>
      <c r="I844" s="1"/>
    </row>
    <row r="845" ht="15.75" customHeight="1">
      <c r="A845" s="1"/>
      <c r="B845" s="1"/>
      <c r="C845" s="1"/>
      <c r="D845" s="1"/>
      <c r="E845" s="1"/>
      <c r="F845" s="1"/>
      <c r="G845" s="1"/>
      <c r="H845" s="1"/>
      <c r="I845" s="1"/>
    </row>
    <row r="846" ht="15.75" customHeight="1">
      <c r="A846" s="1"/>
      <c r="B846" s="1"/>
      <c r="C846" s="1"/>
      <c r="D846" s="1"/>
      <c r="E846" s="1"/>
      <c r="F846" s="1"/>
      <c r="G846" s="1"/>
      <c r="H846" s="1"/>
      <c r="I846" s="1"/>
    </row>
    <row r="847" ht="15.75" customHeight="1">
      <c r="A847" s="1"/>
      <c r="B847" s="1"/>
      <c r="C847" s="1"/>
      <c r="D847" s="1"/>
      <c r="E847" s="1"/>
      <c r="F847" s="1"/>
      <c r="G847" s="1"/>
      <c r="H847" s="1"/>
      <c r="I847" s="1"/>
    </row>
    <row r="848" ht="15.75" customHeight="1">
      <c r="A848" s="1"/>
      <c r="B848" s="1"/>
      <c r="C848" s="1"/>
      <c r="D848" s="1"/>
      <c r="E848" s="1"/>
      <c r="F848" s="1"/>
      <c r="G848" s="1"/>
      <c r="H848" s="1"/>
      <c r="I848" s="1"/>
    </row>
    <row r="849" ht="15.75" customHeight="1">
      <c r="A849" s="1"/>
      <c r="B849" s="1"/>
      <c r="C849" s="1"/>
      <c r="D849" s="1"/>
      <c r="E849" s="1"/>
      <c r="F849" s="1"/>
      <c r="G849" s="1"/>
      <c r="H849" s="1"/>
      <c r="I849" s="1"/>
    </row>
    <row r="850" ht="15.75" customHeight="1">
      <c r="A850" s="1"/>
      <c r="B850" s="1"/>
      <c r="C850" s="1"/>
      <c r="D850" s="1"/>
      <c r="E850" s="1"/>
      <c r="F850" s="1"/>
      <c r="G850" s="1"/>
      <c r="H850" s="1"/>
      <c r="I850" s="1"/>
    </row>
    <row r="851" ht="15.75" customHeight="1">
      <c r="A851" s="1"/>
      <c r="B851" s="1"/>
      <c r="C851" s="1"/>
      <c r="D851" s="1"/>
      <c r="E851" s="1"/>
      <c r="F851" s="1"/>
      <c r="G851" s="1"/>
      <c r="H851" s="1"/>
      <c r="I851" s="1"/>
    </row>
    <row r="852" ht="15.75" customHeight="1">
      <c r="A852" s="1"/>
      <c r="B852" s="1"/>
      <c r="C852" s="1"/>
      <c r="D852" s="1"/>
      <c r="E852" s="1"/>
      <c r="F852" s="1"/>
      <c r="G852" s="1"/>
      <c r="H852" s="1"/>
      <c r="I852" s="1"/>
    </row>
    <row r="853" ht="15.75" customHeight="1">
      <c r="A853" s="1"/>
      <c r="B853" s="1"/>
      <c r="C853" s="1"/>
      <c r="D853" s="1"/>
      <c r="E853" s="1"/>
      <c r="F853" s="1"/>
      <c r="G853" s="1"/>
      <c r="H853" s="1"/>
      <c r="I853" s="1"/>
    </row>
    <row r="854" ht="15.75" customHeight="1">
      <c r="A854" s="1"/>
      <c r="B854" s="1"/>
      <c r="C854" s="1"/>
      <c r="D854" s="1"/>
      <c r="E854" s="1"/>
      <c r="F854" s="1"/>
      <c r="G854" s="1"/>
      <c r="H854" s="1"/>
      <c r="I854" s="1"/>
    </row>
    <row r="855" ht="15.75" customHeight="1">
      <c r="A855" s="1"/>
      <c r="B855" s="1"/>
      <c r="C855" s="1"/>
      <c r="D855" s="1"/>
      <c r="E855" s="1"/>
      <c r="F855" s="1"/>
      <c r="G855" s="1"/>
      <c r="H855" s="1"/>
      <c r="I855" s="1"/>
    </row>
    <row r="856" ht="15.75" customHeight="1">
      <c r="A856" s="1"/>
      <c r="B856" s="1"/>
      <c r="C856" s="1"/>
      <c r="D856" s="1"/>
      <c r="E856" s="1"/>
      <c r="F856" s="1"/>
      <c r="G856" s="1"/>
      <c r="H856" s="1"/>
      <c r="I856" s="1"/>
    </row>
    <row r="857" ht="15.75" customHeight="1">
      <c r="A857" s="1"/>
      <c r="B857" s="1"/>
      <c r="C857" s="1"/>
      <c r="D857" s="1"/>
      <c r="E857" s="1"/>
      <c r="F857" s="1"/>
      <c r="G857" s="1"/>
      <c r="H857" s="1"/>
      <c r="I857" s="1"/>
    </row>
    <row r="858" ht="15.75" customHeight="1">
      <c r="A858" s="1"/>
      <c r="B858" s="1"/>
      <c r="C858" s="1"/>
      <c r="D858" s="1"/>
      <c r="E858" s="1"/>
      <c r="F858" s="1"/>
      <c r="G858" s="1"/>
      <c r="H858" s="1"/>
      <c r="I858" s="1"/>
    </row>
    <row r="859" ht="15.75" customHeight="1">
      <c r="A859" s="1"/>
      <c r="B859" s="1"/>
      <c r="C859" s="1"/>
      <c r="D859" s="1"/>
      <c r="E859" s="1"/>
      <c r="F859" s="1"/>
      <c r="G859" s="1"/>
      <c r="H859" s="1"/>
      <c r="I859" s="1"/>
    </row>
    <row r="860" ht="15.75" customHeight="1">
      <c r="A860" s="1"/>
      <c r="B860" s="1"/>
      <c r="C860" s="1"/>
      <c r="D860" s="1"/>
      <c r="E860" s="1"/>
      <c r="F860" s="1"/>
      <c r="G860" s="1"/>
      <c r="H860" s="1"/>
      <c r="I860" s="1"/>
    </row>
    <row r="861" ht="15.75" customHeight="1">
      <c r="A861" s="1"/>
      <c r="B861" s="1"/>
      <c r="C861" s="1"/>
      <c r="D861" s="1"/>
      <c r="E861" s="1"/>
      <c r="F861" s="1"/>
      <c r="G861" s="1"/>
      <c r="H861" s="1"/>
      <c r="I861" s="1"/>
    </row>
    <row r="862" ht="15.75" customHeight="1">
      <c r="A862" s="1"/>
      <c r="B862" s="1"/>
      <c r="C862" s="1"/>
      <c r="D862" s="1"/>
      <c r="E862" s="1"/>
      <c r="F862" s="1"/>
      <c r="G862" s="1"/>
      <c r="H862" s="1"/>
      <c r="I862" s="1"/>
    </row>
    <row r="863" ht="15.75" customHeight="1">
      <c r="A863" s="1"/>
      <c r="B863" s="1"/>
      <c r="C863" s="1"/>
      <c r="D863" s="1"/>
      <c r="E863" s="1"/>
      <c r="F863" s="1"/>
      <c r="G863" s="1"/>
      <c r="H863" s="1"/>
      <c r="I863" s="1"/>
    </row>
    <row r="864" ht="15.75" customHeight="1">
      <c r="A864" s="1"/>
      <c r="B864" s="1"/>
      <c r="C864" s="1"/>
      <c r="D864" s="1"/>
      <c r="E864" s="1"/>
      <c r="F864" s="1"/>
      <c r="G864" s="1"/>
      <c r="H864" s="1"/>
      <c r="I864" s="1"/>
    </row>
    <row r="865" ht="15.75" customHeight="1">
      <c r="A865" s="1"/>
      <c r="B865" s="1"/>
      <c r="C865" s="1"/>
      <c r="D865" s="1"/>
      <c r="E865" s="1"/>
      <c r="F865" s="1"/>
      <c r="G865" s="1"/>
      <c r="H865" s="1"/>
      <c r="I865" s="1"/>
    </row>
    <row r="866" ht="15.75" customHeight="1">
      <c r="A866" s="1"/>
      <c r="B866" s="1"/>
      <c r="C866" s="1"/>
      <c r="D866" s="1"/>
      <c r="E866" s="1"/>
      <c r="F866" s="1"/>
      <c r="G866" s="1"/>
      <c r="H866" s="1"/>
      <c r="I866" s="1"/>
    </row>
    <row r="867" ht="15.75" customHeight="1">
      <c r="A867" s="1"/>
      <c r="B867" s="1"/>
      <c r="C867" s="1"/>
      <c r="D867" s="1"/>
      <c r="E867" s="1"/>
      <c r="F867" s="1"/>
      <c r="G867" s="1"/>
      <c r="H867" s="1"/>
      <c r="I867" s="1"/>
    </row>
    <row r="868" ht="15.75" customHeight="1">
      <c r="A868" s="1"/>
      <c r="B868" s="1"/>
      <c r="C868" s="1"/>
      <c r="D868" s="1"/>
      <c r="E868" s="1"/>
      <c r="F868" s="1"/>
      <c r="G868" s="1"/>
      <c r="H868" s="1"/>
      <c r="I868" s="1"/>
    </row>
    <row r="869" ht="15.75" customHeight="1">
      <c r="A869" s="1"/>
      <c r="B869" s="1"/>
      <c r="C869" s="1"/>
      <c r="D869" s="1"/>
      <c r="E869" s="1"/>
      <c r="F869" s="1"/>
      <c r="G869" s="1"/>
      <c r="H869" s="1"/>
      <c r="I869" s="1"/>
    </row>
    <row r="870" ht="15.75" customHeight="1">
      <c r="A870" s="1"/>
      <c r="B870" s="1"/>
      <c r="C870" s="1"/>
      <c r="D870" s="1"/>
      <c r="E870" s="1"/>
      <c r="F870" s="1"/>
      <c r="G870" s="1"/>
      <c r="H870" s="1"/>
      <c r="I870" s="1"/>
    </row>
    <row r="871" ht="15.75" customHeight="1">
      <c r="A871" s="1"/>
      <c r="B871" s="1"/>
      <c r="C871" s="1"/>
      <c r="D871" s="1"/>
      <c r="E871" s="1"/>
      <c r="F871" s="1"/>
      <c r="G871" s="1"/>
      <c r="H871" s="1"/>
      <c r="I871" s="1"/>
    </row>
    <row r="872" ht="15.75" customHeight="1">
      <c r="A872" s="1"/>
      <c r="B872" s="1"/>
      <c r="C872" s="1"/>
      <c r="D872" s="1"/>
      <c r="E872" s="1"/>
      <c r="F872" s="1"/>
      <c r="G872" s="1"/>
      <c r="H872" s="1"/>
      <c r="I872" s="1"/>
    </row>
    <row r="873" ht="15.75" customHeight="1">
      <c r="A873" s="1"/>
      <c r="B873" s="1"/>
      <c r="C873" s="1"/>
      <c r="D873" s="1"/>
      <c r="E873" s="1"/>
      <c r="F873" s="1"/>
      <c r="G873" s="1"/>
      <c r="H873" s="1"/>
      <c r="I873" s="1"/>
    </row>
    <row r="874" ht="15.75" customHeight="1">
      <c r="A874" s="1"/>
      <c r="B874" s="1"/>
      <c r="C874" s="1"/>
      <c r="D874" s="1"/>
      <c r="E874" s="1"/>
      <c r="F874" s="1"/>
      <c r="G874" s="1"/>
      <c r="H874" s="1"/>
      <c r="I874" s="1"/>
    </row>
    <row r="875" ht="15.75" customHeight="1">
      <c r="A875" s="1"/>
      <c r="B875" s="1"/>
      <c r="C875" s="1"/>
      <c r="D875" s="1"/>
      <c r="E875" s="1"/>
      <c r="F875" s="1"/>
      <c r="G875" s="1"/>
      <c r="H875" s="1"/>
      <c r="I875" s="1"/>
    </row>
    <row r="876" ht="15.75" customHeight="1">
      <c r="A876" s="1"/>
      <c r="B876" s="1"/>
      <c r="C876" s="1"/>
      <c r="D876" s="1"/>
      <c r="E876" s="1"/>
      <c r="F876" s="1"/>
      <c r="G876" s="1"/>
      <c r="H876" s="1"/>
      <c r="I876" s="1"/>
    </row>
    <row r="877" ht="15.75" customHeight="1">
      <c r="A877" s="1"/>
      <c r="B877" s="1"/>
      <c r="C877" s="1"/>
      <c r="D877" s="1"/>
      <c r="E877" s="1"/>
      <c r="F877" s="1"/>
      <c r="G877" s="1"/>
      <c r="H877" s="1"/>
      <c r="I877" s="1"/>
    </row>
    <row r="878" ht="15.75" customHeight="1">
      <c r="A878" s="1"/>
      <c r="B878" s="1"/>
      <c r="C878" s="1"/>
      <c r="D878" s="1"/>
      <c r="E878" s="1"/>
      <c r="F878" s="1"/>
      <c r="G878" s="1"/>
      <c r="H878" s="1"/>
      <c r="I878" s="1"/>
    </row>
    <row r="879" ht="15.75" customHeight="1">
      <c r="A879" s="1"/>
      <c r="B879" s="1"/>
      <c r="C879" s="1"/>
      <c r="D879" s="1"/>
      <c r="E879" s="1"/>
      <c r="F879" s="1"/>
      <c r="G879" s="1"/>
      <c r="H879" s="1"/>
      <c r="I879" s="1"/>
    </row>
    <row r="880" ht="15.75" customHeight="1">
      <c r="A880" s="1"/>
      <c r="B880" s="1"/>
      <c r="C880" s="1"/>
      <c r="D880" s="1"/>
      <c r="E880" s="1"/>
      <c r="F880" s="1"/>
      <c r="G880" s="1"/>
      <c r="H880" s="1"/>
      <c r="I880" s="1"/>
    </row>
    <row r="881" ht="15.75" customHeight="1">
      <c r="A881" s="1"/>
      <c r="B881" s="1"/>
      <c r="C881" s="1"/>
      <c r="D881" s="1"/>
      <c r="E881" s="1"/>
      <c r="F881" s="1"/>
      <c r="G881" s="1"/>
      <c r="H881" s="1"/>
      <c r="I881" s="1"/>
    </row>
    <row r="882" ht="15.75" customHeight="1">
      <c r="A882" s="1"/>
      <c r="B882" s="1"/>
      <c r="C882" s="1"/>
      <c r="D882" s="1"/>
      <c r="E882" s="1"/>
      <c r="F882" s="1"/>
      <c r="G882" s="1"/>
      <c r="H882" s="1"/>
      <c r="I882" s="1"/>
    </row>
    <row r="883" ht="15.75" customHeight="1">
      <c r="A883" s="1"/>
      <c r="B883" s="1"/>
      <c r="C883" s="1"/>
      <c r="D883" s="1"/>
      <c r="E883" s="1"/>
      <c r="F883" s="1"/>
      <c r="G883" s="1"/>
      <c r="H883" s="1"/>
      <c r="I883" s="1"/>
    </row>
    <row r="884" ht="15.75" customHeight="1">
      <c r="A884" s="1"/>
      <c r="B884" s="1"/>
      <c r="C884" s="1"/>
      <c r="D884" s="1"/>
      <c r="E884" s="1"/>
      <c r="F884" s="1"/>
      <c r="G884" s="1"/>
      <c r="H884" s="1"/>
      <c r="I884" s="1"/>
    </row>
    <row r="885" ht="15.75" customHeight="1">
      <c r="A885" s="1"/>
      <c r="B885" s="1"/>
      <c r="C885" s="1"/>
      <c r="D885" s="1"/>
      <c r="E885" s="1"/>
      <c r="F885" s="1"/>
      <c r="G885" s="1"/>
      <c r="H885" s="1"/>
      <c r="I885" s="1"/>
    </row>
    <row r="886" ht="15.75" customHeight="1">
      <c r="A886" s="1"/>
      <c r="B886" s="1"/>
      <c r="C886" s="1"/>
      <c r="D886" s="1"/>
      <c r="E886" s="1"/>
      <c r="F886" s="1"/>
      <c r="G886" s="1"/>
      <c r="H886" s="1"/>
      <c r="I886" s="1"/>
    </row>
    <row r="887" ht="15.75" customHeight="1">
      <c r="A887" s="1"/>
      <c r="B887" s="1"/>
      <c r="C887" s="1"/>
      <c r="D887" s="1"/>
      <c r="E887" s="1"/>
      <c r="F887" s="1"/>
      <c r="G887" s="1"/>
      <c r="H887" s="1"/>
      <c r="I887" s="1"/>
    </row>
    <row r="888" ht="15.75" customHeight="1">
      <c r="A888" s="1"/>
      <c r="B888" s="1"/>
      <c r="C888" s="1"/>
      <c r="D888" s="1"/>
      <c r="E888" s="1"/>
      <c r="F888" s="1"/>
      <c r="G888" s="1"/>
      <c r="H888" s="1"/>
      <c r="I888" s="1"/>
    </row>
    <row r="889" ht="15.75" customHeight="1">
      <c r="A889" s="1"/>
      <c r="B889" s="1"/>
      <c r="C889" s="1"/>
      <c r="D889" s="1"/>
      <c r="E889" s="1"/>
      <c r="F889" s="1"/>
      <c r="G889" s="1"/>
      <c r="H889" s="1"/>
      <c r="I889" s="1"/>
    </row>
    <row r="890" ht="15.75" customHeight="1">
      <c r="A890" s="1"/>
      <c r="B890" s="1"/>
      <c r="C890" s="1"/>
      <c r="D890" s="1"/>
      <c r="E890" s="1"/>
      <c r="F890" s="1"/>
      <c r="G890" s="1"/>
      <c r="H890" s="1"/>
      <c r="I890" s="1"/>
    </row>
    <row r="891" ht="15.75" customHeight="1">
      <c r="A891" s="1"/>
      <c r="B891" s="1"/>
      <c r="C891" s="1"/>
      <c r="D891" s="1"/>
      <c r="E891" s="1"/>
      <c r="F891" s="1"/>
      <c r="G891" s="1"/>
      <c r="H891" s="1"/>
      <c r="I891" s="1"/>
    </row>
    <row r="892" ht="15.75" customHeight="1">
      <c r="A892" s="1"/>
      <c r="B892" s="1"/>
      <c r="C892" s="1"/>
      <c r="D892" s="1"/>
      <c r="E892" s="1"/>
      <c r="F892" s="1"/>
      <c r="G892" s="1"/>
      <c r="H892" s="1"/>
      <c r="I892" s="1"/>
    </row>
    <row r="893" ht="15.75" customHeight="1">
      <c r="A893" s="1"/>
      <c r="B893" s="1"/>
      <c r="C893" s="1"/>
      <c r="D893" s="1"/>
      <c r="E893" s="1"/>
      <c r="F893" s="1"/>
      <c r="G893" s="1"/>
      <c r="H893" s="1"/>
      <c r="I893" s="1"/>
    </row>
    <row r="894" ht="15.75" customHeight="1">
      <c r="A894" s="1"/>
      <c r="B894" s="1"/>
      <c r="C894" s="1"/>
      <c r="D894" s="1"/>
      <c r="E894" s="1"/>
      <c r="F894" s="1"/>
      <c r="G894" s="1"/>
      <c r="H894" s="1"/>
      <c r="I894" s="1"/>
    </row>
    <row r="895" ht="15.75" customHeight="1">
      <c r="A895" s="1"/>
      <c r="B895" s="1"/>
      <c r="C895" s="1"/>
      <c r="D895" s="1"/>
      <c r="E895" s="1"/>
      <c r="F895" s="1"/>
      <c r="G895" s="1"/>
      <c r="H895" s="1"/>
      <c r="I895" s="1"/>
    </row>
    <row r="896" ht="15.75" customHeight="1">
      <c r="A896" s="1"/>
      <c r="B896" s="1"/>
      <c r="C896" s="1"/>
      <c r="D896" s="1"/>
      <c r="E896" s="1"/>
      <c r="F896" s="1"/>
      <c r="G896" s="1"/>
      <c r="H896" s="1"/>
      <c r="I896" s="1"/>
    </row>
    <row r="897" ht="15.75" customHeight="1">
      <c r="A897" s="1"/>
      <c r="B897" s="1"/>
      <c r="C897" s="1"/>
      <c r="D897" s="1"/>
      <c r="E897" s="1"/>
      <c r="F897" s="1"/>
      <c r="G897" s="1"/>
      <c r="H897" s="1"/>
      <c r="I897" s="1"/>
    </row>
    <row r="898" ht="15.75" customHeight="1">
      <c r="A898" s="1"/>
      <c r="B898" s="1"/>
      <c r="C898" s="1"/>
      <c r="D898" s="1"/>
      <c r="E898" s="1"/>
      <c r="F898" s="1"/>
      <c r="G898" s="1"/>
      <c r="H898" s="1"/>
      <c r="I898" s="1"/>
    </row>
    <row r="899" ht="15.75" customHeight="1">
      <c r="A899" s="1"/>
      <c r="B899" s="1"/>
      <c r="C899" s="1"/>
      <c r="D899" s="1"/>
      <c r="E899" s="1"/>
      <c r="F899" s="1"/>
      <c r="G899" s="1"/>
      <c r="H899" s="1"/>
      <c r="I899" s="1"/>
    </row>
    <row r="900" ht="15.75" customHeight="1">
      <c r="A900" s="1"/>
      <c r="B900" s="1"/>
      <c r="C900" s="1"/>
      <c r="D900" s="1"/>
      <c r="E900" s="1"/>
      <c r="F900" s="1"/>
      <c r="G900" s="1"/>
      <c r="H900" s="1"/>
      <c r="I900" s="1"/>
    </row>
    <row r="901" ht="15.75" customHeight="1">
      <c r="A901" s="1"/>
      <c r="B901" s="1"/>
      <c r="C901" s="1"/>
      <c r="D901" s="1"/>
      <c r="E901" s="1"/>
      <c r="F901" s="1"/>
      <c r="G901" s="1"/>
      <c r="H901" s="1"/>
      <c r="I901" s="1"/>
    </row>
    <row r="902" ht="15.75" customHeight="1">
      <c r="A902" s="1"/>
      <c r="B902" s="1"/>
      <c r="C902" s="1"/>
      <c r="D902" s="1"/>
      <c r="E902" s="1"/>
      <c r="F902" s="1"/>
      <c r="G902" s="1"/>
      <c r="H902" s="1"/>
      <c r="I902" s="1"/>
    </row>
    <row r="903" ht="15.75" customHeight="1">
      <c r="A903" s="1"/>
      <c r="B903" s="1"/>
      <c r="C903" s="1"/>
      <c r="D903" s="1"/>
      <c r="E903" s="1"/>
      <c r="F903" s="1"/>
      <c r="G903" s="1"/>
      <c r="H903" s="1"/>
      <c r="I903" s="1"/>
    </row>
    <row r="904" ht="15.75" customHeight="1">
      <c r="A904" s="1"/>
      <c r="B904" s="1"/>
      <c r="C904" s="1"/>
      <c r="D904" s="1"/>
      <c r="E904" s="1"/>
      <c r="F904" s="1"/>
      <c r="G904" s="1"/>
      <c r="H904" s="1"/>
      <c r="I904" s="1"/>
    </row>
    <row r="905" ht="15.75" customHeight="1">
      <c r="A905" s="1"/>
      <c r="B905" s="1"/>
      <c r="C905" s="1"/>
      <c r="D905" s="1"/>
      <c r="E905" s="1"/>
      <c r="F905" s="1"/>
      <c r="G905" s="1"/>
      <c r="H905" s="1"/>
      <c r="I905" s="1"/>
    </row>
    <row r="906" ht="15.75" customHeight="1">
      <c r="A906" s="1"/>
      <c r="B906" s="1"/>
      <c r="C906" s="1"/>
      <c r="D906" s="1"/>
      <c r="E906" s="1"/>
      <c r="F906" s="1"/>
      <c r="G906" s="1"/>
      <c r="H906" s="1"/>
      <c r="I906" s="1"/>
    </row>
    <row r="907" ht="15.75" customHeight="1">
      <c r="A907" s="1"/>
      <c r="B907" s="1"/>
      <c r="C907" s="1"/>
      <c r="D907" s="1"/>
      <c r="E907" s="1"/>
      <c r="F907" s="1"/>
      <c r="G907" s="1"/>
      <c r="H907" s="1"/>
      <c r="I907" s="1"/>
    </row>
    <row r="908" ht="15.75" customHeight="1">
      <c r="A908" s="1"/>
      <c r="B908" s="1"/>
      <c r="C908" s="1"/>
      <c r="D908" s="1"/>
      <c r="E908" s="1"/>
      <c r="F908" s="1"/>
      <c r="G908" s="1"/>
      <c r="H908" s="1"/>
      <c r="I908" s="1"/>
    </row>
    <row r="909" ht="15.75" customHeight="1">
      <c r="A909" s="1"/>
      <c r="B909" s="1"/>
      <c r="C909" s="1"/>
      <c r="D909" s="1"/>
      <c r="E909" s="1"/>
      <c r="F909" s="1"/>
      <c r="G909" s="1"/>
      <c r="H909" s="1"/>
      <c r="I909" s="1"/>
    </row>
    <row r="910" ht="15.75" customHeight="1">
      <c r="A910" s="1"/>
      <c r="B910" s="1"/>
      <c r="C910" s="1"/>
      <c r="D910" s="1"/>
      <c r="E910" s="1"/>
      <c r="F910" s="1"/>
      <c r="G910" s="1"/>
      <c r="H910" s="1"/>
      <c r="I910" s="1"/>
    </row>
    <row r="911" ht="15.75" customHeight="1">
      <c r="A911" s="1"/>
      <c r="B911" s="1"/>
      <c r="C911" s="1"/>
      <c r="D911" s="1"/>
      <c r="E911" s="1"/>
      <c r="F911" s="1"/>
      <c r="G911" s="1"/>
      <c r="H911" s="1"/>
      <c r="I911" s="1"/>
    </row>
    <row r="912" ht="15.75" customHeight="1">
      <c r="A912" s="1"/>
      <c r="B912" s="1"/>
      <c r="C912" s="1"/>
      <c r="D912" s="1"/>
      <c r="E912" s="1"/>
      <c r="F912" s="1"/>
      <c r="G912" s="1"/>
      <c r="H912" s="1"/>
      <c r="I912" s="1"/>
    </row>
    <row r="913" ht="15.75" customHeight="1">
      <c r="A913" s="1"/>
      <c r="B913" s="1"/>
      <c r="C913" s="1"/>
      <c r="D913" s="1"/>
      <c r="E913" s="1"/>
      <c r="F913" s="1"/>
      <c r="G913" s="1"/>
      <c r="H913" s="1"/>
      <c r="I913" s="1"/>
    </row>
    <row r="914" ht="15.75" customHeight="1">
      <c r="A914" s="1"/>
      <c r="B914" s="1"/>
      <c r="C914" s="1"/>
      <c r="D914" s="1"/>
      <c r="E914" s="1"/>
      <c r="F914" s="1"/>
      <c r="G914" s="1"/>
      <c r="H914" s="1"/>
      <c r="I914" s="1"/>
    </row>
    <row r="915" ht="15.75" customHeight="1">
      <c r="A915" s="1"/>
      <c r="B915" s="1"/>
      <c r="C915" s="1"/>
      <c r="D915" s="1"/>
      <c r="E915" s="1"/>
      <c r="F915" s="1"/>
      <c r="G915" s="1"/>
      <c r="H915" s="1"/>
      <c r="I915" s="1"/>
    </row>
    <row r="916" ht="15.75" customHeight="1">
      <c r="A916" s="1"/>
      <c r="B916" s="1"/>
      <c r="C916" s="1"/>
      <c r="D916" s="1"/>
      <c r="E916" s="1"/>
      <c r="F916" s="1"/>
      <c r="G916" s="1"/>
      <c r="H916" s="1"/>
      <c r="I916" s="1"/>
    </row>
    <row r="917" ht="15.75" customHeight="1">
      <c r="A917" s="1"/>
      <c r="B917" s="1"/>
      <c r="C917" s="1"/>
      <c r="D917" s="1"/>
      <c r="E917" s="1"/>
      <c r="F917" s="1"/>
      <c r="G917" s="1"/>
      <c r="H917" s="1"/>
      <c r="I917" s="1"/>
    </row>
    <row r="918" ht="15.75" customHeight="1">
      <c r="A918" s="1"/>
      <c r="B918" s="1"/>
      <c r="C918" s="1"/>
      <c r="D918" s="1"/>
      <c r="E918" s="1"/>
      <c r="F918" s="1"/>
      <c r="G918" s="1"/>
      <c r="H918" s="1"/>
      <c r="I918" s="1"/>
    </row>
    <row r="919" ht="15.75" customHeight="1">
      <c r="A919" s="1"/>
      <c r="B919" s="1"/>
      <c r="C919" s="1"/>
      <c r="D919" s="1"/>
      <c r="E919" s="1"/>
      <c r="F919" s="1"/>
      <c r="G919" s="1"/>
      <c r="H919" s="1"/>
      <c r="I919" s="1"/>
    </row>
    <row r="920" ht="15.75" customHeight="1">
      <c r="A920" s="1"/>
      <c r="B920" s="1"/>
      <c r="C920" s="1"/>
      <c r="D920" s="1"/>
      <c r="E920" s="1"/>
      <c r="F920" s="1"/>
      <c r="G920" s="1"/>
      <c r="H920" s="1"/>
      <c r="I920" s="1"/>
    </row>
    <row r="921" ht="15.75" customHeight="1">
      <c r="A921" s="1"/>
      <c r="B921" s="1"/>
      <c r="C921" s="1"/>
      <c r="D921" s="1"/>
      <c r="E921" s="1"/>
      <c r="F921" s="1"/>
      <c r="G921" s="1"/>
      <c r="H921" s="1"/>
      <c r="I921" s="1"/>
    </row>
    <row r="922" ht="15.75" customHeight="1">
      <c r="A922" s="1"/>
      <c r="B922" s="1"/>
      <c r="C922" s="1"/>
      <c r="D922" s="1"/>
      <c r="E922" s="1"/>
      <c r="F922" s="1"/>
      <c r="G922" s="1"/>
      <c r="H922" s="1"/>
      <c r="I922" s="1"/>
    </row>
    <row r="923" ht="15.75" customHeight="1">
      <c r="A923" s="1"/>
      <c r="B923" s="1"/>
      <c r="C923" s="1"/>
      <c r="D923" s="1"/>
      <c r="E923" s="1"/>
      <c r="F923" s="1"/>
      <c r="G923" s="1"/>
      <c r="H923" s="1"/>
      <c r="I923" s="1"/>
    </row>
    <row r="924" ht="15.75" customHeight="1">
      <c r="A924" s="1"/>
      <c r="B924" s="1"/>
      <c r="C924" s="1"/>
      <c r="D924" s="1"/>
      <c r="E924" s="1"/>
      <c r="F924" s="1"/>
      <c r="G924" s="1"/>
      <c r="H924" s="1"/>
      <c r="I924" s="1"/>
    </row>
    <row r="925" ht="15.75" customHeight="1">
      <c r="A925" s="1"/>
      <c r="B925" s="1"/>
      <c r="C925" s="1"/>
      <c r="D925" s="1"/>
      <c r="E925" s="1"/>
      <c r="F925" s="1"/>
      <c r="G925" s="1"/>
      <c r="H925" s="1"/>
      <c r="I925" s="1"/>
    </row>
    <row r="926" ht="15.75" customHeight="1">
      <c r="A926" s="1"/>
      <c r="B926" s="1"/>
      <c r="C926" s="1"/>
      <c r="D926" s="1"/>
      <c r="E926" s="1"/>
      <c r="F926" s="1"/>
      <c r="G926" s="1"/>
      <c r="H926" s="1"/>
      <c r="I926" s="1"/>
    </row>
    <row r="927" ht="15.75" customHeight="1">
      <c r="A927" s="1"/>
      <c r="B927" s="1"/>
      <c r="C927" s="1"/>
      <c r="D927" s="1"/>
      <c r="E927" s="1"/>
      <c r="F927" s="1"/>
      <c r="G927" s="1"/>
      <c r="H927" s="1"/>
      <c r="I927" s="1"/>
    </row>
    <row r="928" ht="15.75" customHeight="1">
      <c r="A928" s="1"/>
      <c r="B928" s="1"/>
      <c r="C928" s="1"/>
      <c r="D928" s="1"/>
      <c r="E928" s="1"/>
      <c r="F928" s="1"/>
      <c r="G928" s="1"/>
      <c r="H928" s="1"/>
      <c r="I928" s="1"/>
    </row>
    <row r="929" ht="15.75" customHeight="1">
      <c r="A929" s="1"/>
      <c r="B929" s="1"/>
      <c r="C929" s="1"/>
      <c r="D929" s="1"/>
      <c r="E929" s="1"/>
      <c r="F929" s="1"/>
      <c r="G929" s="1"/>
      <c r="H929" s="1"/>
      <c r="I929" s="1"/>
    </row>
    <row r="930" ht="15.75" customHeight="1">
      <c r="A930" s="1"/>
      <c r="B930" s="1"/>
      <c r="C930" s="1"/>
      <c r="D930" s="1"/>
      <c r="E930" s="1"/>
      <c r="F930" s="1"/>
      <c r="G930" s="1"/>
      <c r="H930" s="1"/>
      <c r="I930" s="1"/>
    </row>
    <row r="931" ht="15.75" customHeight="1">
      <c r="A931" s="1"/>
      <c r="B931" s="1"/>
      <c r="C931" s="1"/>
      <c r="D931" s="1"/>
      <c r="E931" s="1"/>
      <c r="F931" s="1"/>
      <c r="G931" s="1"/>
      <c r="H931" s="1"/>
      <c r="I931" s="1"/>
    </row>
    <row r="932" ht="15.75" customHeight="1">
      <c r="A932" s="1"/>
      <c r="B932" s="1"/>
      <c r="C932" s="1"/>
      <c r="D932" s="1"/>
      <c r="E932" s="1"/>
      <c r="F932" s="1"/>
      <c r="G932" s="1"/>
      <c r="H932" s="1"/>
      <c r="I932" s="1"/>
    </row>
    <row r="933" ht="15.75" customHeight="1">
      <c r="A933" s="1"/>
      <c r="B933" s="1"/>
      <c r="C933" s="1"/>
      <c r="D933" s="1"/>
      <c r="E933" s="1"/>
      <c r="F933" s="1"/>
      <c r="G933" s="1"/>
      <c r="H933" s="1"/>
      <c r="I933" s="1"/>
    </row>
    <row r="934" ht="15.75" customHeight="1">
      <c r="A934" s="1"/>
      <c r="B934" s="1"/>
      <c r="C934" s="1"/>
      <c r="D934" s="1"/>
      <c r="E934" s="1"/>
      <c r="F934" s="1"/>
      <c r="G934" s="1"/>
      <c r="H934" s="1"/>
      <c r="I934" s="1"/>
    </row>
    <row r="935" ht="15.75" customHeight="1">
      <c r="A935" s="1"/>
      <c r="B935" s="1"/>
      <c r="C935" s="1"/>
      <c r="D935" s="1"/>
      <c r="E935" s="1"/>
      <c r="F935" s="1"/>
      <c r="G935" s="1"/>
      <c r="H935" s="1"/>
      <c r="I935" s="1"/>
    </row>
    <row r="936" ht="15.75" customHeight="1">
      <c r="A936" s="1"/>
      <c r="B936" s="1"/>
      <c r="C936" s="1"/>
      <c r="D936" s="1"/>
      <c r="E936" s="1"/>
      <c r="F936" s="1"/>
      <c r="G936" s="1"/>
      <c r="H936" s="1"/>
      <c r="I936" s="1"/>
    </row>
    <row r="937" ht="15.75" customHeight="1">
      <c r="A937" s="1"/>
      <c r="B937" s="1"/>
      <c r="C937" s="1"/>
      <c r="D937" s="1"/>
      <c r="E937" s="1"/>
      <c r="F937" s="1"/>
      <c r="G937" s="1"/>
      <c r="H937" s="1"/>
      <c r="I937" s="1"/>
    </row>
    <row r="938" ht="15.75" customHeight="1">
      <c r="A938" s="1"/>
      <c r="B938" s="1"/>
      <c r="C938" s="1"/>
      <c r="D938" s="1"/>
      <c r="E938" s="1"/>
      <c r="F938" s="1"/>
      <c r="G938" s="1"/>
      <c r="H938" s="1"/>
      <c r="I938" s="1"/>
    </row>
    <row r="939" ht="15.75" customHeight="1">
      <c r="A939" s="1"/>
      <c r="B939" s="1"/>
      <c r="C939" s="1"/>
      <c r="D939" s="1"/>
      <c r="E939" s="1"/>
      <c r="F939" s="1"/>
      <c r="G939" s="1"/>
      <c r="H939" s="1"/>
      <c r="I939" s="1"/>
    </row>
    <row r="940" ht="15.75" customHeight="1">
      <c r="A940" s="1"/>
      <c r="B940" s="1"/>
      <c r="C940" s="1"/>
      <c r="D940" s="1"/>
      <c r="E940" s="1"/>
      <c r="F940" s="1"/>
      <c r="G940" s="1"/>
      <c r="H940" s="1"/>
      <c r="I940" s="1"/>
    </row>
    <row r="941" ht="15.75" customHeight="1">
      <c r="A941" s="1"/>
      <c r="B941" s="1"/>
      <c r="C941" s="1"/>
      <c r="D941" s="1"/>
      <c r="E941" s="1"/>
      <c r="F941" s="1"/>
      <c r="G941" s="1"/>
      <c r="H941" s="1"/>
      <c r="I941" s="1"/>
    </row>
    <row r="942" ht="15.75" customHeight="1">
      <c r="A942" s="1"/>
      <c r="B942" s="1"/>
      <c r="C942" s="1"/>
      <c r="D942" s="1"/>
      <c r="E942" s="1"/>
      <c r="F942" s="1"/>
      <c r="G942" s="1"/>
      <c r="H942" s="1"/>
      <c r="I942" s="1"/>
    </row>
    <row r="943" ht="15.75" customHeight="1">
      <c r="A943" s="1"/>
      <c r="B943" s="1"/>
      <c r="C943" s="1"/>
      <c r="D943" s="1"/>
      <c r="E943" s="1"/>
      <c r="F943" s="1"/>
      <c r="G943" s="1"/>
      <c r="H943" s="1"/>
      <c r="I943" s="1"/>
    </row>
    <row r="944" ht="15.75" customHeight="1">
      <c r="A944" s="1"/>
      <c r="B944" s="1"/>
      <c r="C944" s="1"/>
      <c r="D944" s="1"/>
      <c r="E944" s="1"/>
      <c r="F944" s="1"/>
      <c r="G944" s="1"/>
      <c r="H944" s="1"/>
      <c r="I944" s="1"/>
    </row>
    <row r="945" ht="15.75" customHeight="1">
      <c r="A945" s="1"/>
      <c r="B945" s="1"/>
      <c r="C945" s="1"/>
      <c r="D945" s="1"/>
      <c r="E945" s="1"/>
      <c r="F945" s="1"/>
      <c r="G945" s="1"/>
      <c r="H945" s="1"/>
      <c r="I945" s="1"/>
    </row>
    <row r="946" ht="15.75" customHeight="1">
      <c r="A946" s="1"/>
      <c r="B946" s="1"/>
      <c r="C946" s="1"/>
      <c r="D946" s="1"/>
      <c r="E946" s="1"/>
      <c r="F946" s="1"/>
      <c r="G946" s="1"/>
      <c r="H946" s="1"/>
      <c r="I946" s="1"/>
    </row>
    <row r="947" ht="15.75" customHeight="1">
      <c r="A947" s="1"/>
      <c r="B947" s="1"/>
      <c r="C947" s="1"/>
      <c r="D947" s="1"/>
      <c r="E947" s="1"/>
      <c r="F947" s="1"/>
      <c r="G947" s="1"/>
      <c r="H947" s="1"/>
      <c r="I947" s="1"/>
    </row>
    <row r="948" ht="15.75" customHeight="1">
      <c r="A948" s="1"/>
      <c r="B948" s="1"/>
      <c r="C948" s="1"/>
      <c r="D948" s="1"/>
      <c r="E948" s="1"/>
      <c r="F948" s="1"/>
      <c r="G948" s="1"/>
      <c r="H948" s="1"/>
      <c r="I948" s="1"/>
    </row>
    <row r="949" ht="15.75" customHeight="1">
      <c r="A949" s="1"/>
      <c r="B949" s="1"/>
      <c r="C949" s="1"/>
      <c r="D949" s="1"/>
      <c r="E949" s="1"/>
      <c r="F949" s="1"/>
      <c r="G949" s="1"/>
      <c r="H949" s="1"/>
      <c r="I949" s="1"/>
    </row>
    <row r="950" ht="15.75" customHeight="1">
      <c r="A950" s="1"/>
      <c r="B950" s="1"/>
      <c r="C950" s="1"/>
      <c r="D950" s="1"/>
      <c r="E950" s="1"/>
      <c r="F950" s="1"/>
      <c r="G950" s="1"/>
      <c r="H950" s="1"/>
      <c r="I950" s="1"/>
    </row>
    <row r="951" ht="15.75" customHeight="1">
      <c r="A951" s="1"/>
      <c r="B951" s="1"/>
      <c r="C951" s="1"/>
      <c r="D951" s="1"/>
      <c r="E951" s="1"/>
      <c r="F951" s="1"/>
      <c r="G951" s="1"/>
      <c r="H951" s="1"/>
      <c r="I951" s="1"/>
    </row>
    <row r="952" ht="15.75" customHeight="1">
      <c r="A952" s="1"/>
      <c r="B952" s="1"/>
      <c r="C952" s="1"/>
      <c r="D952" s="1"/>
      <c r="E952" s="1"/>
      <c r="F952" s="1"/>
      <c r="G952" s="1"/>
      <c r="H952" s="1"/>
      <c r="I952" s="1"/>
    </row>
    <row r="953" ht="15.75" customHeight="1">
      <c r="A953" s="1"/>
      <c r="B953" s="1"/>
      <c r="C953" s="1"/>
      <c r="D953" s="1"/>
      <c r="E953" s="1"/>
      <c r="F953" s="1"/>
      <c r="G953" s="1"/>
      <c r="H953" s="1"/>
      <c r="I953" s="1"/>
    </row>
    <row r="954" ht="15.75" customHeight="1">
      <c r="A954" s="1"/>
      <c r="B954" s="1"/>
      <c r="C954" s="1"/>
      <c r="D954" s="1"/>
      <c r="E954" s="1"/>
      <c r="F954" s="1"/>
      <c r="G954" s="1"/>
      <c r="H954" s="1"/>
      <c r="I954" s="1"/>
    </row>
    <row r="955" ht="15.75" customHeight="1">
      <c r="A955" s="1"/>
      <c r="B955" s="1"/>
      <c r="C955" s="1"/>
      <c r="D955" s="1"/>
      <c r="E955" s="1"/>
      <c r="F955" s="1"/>
      <c r="G955" s="1"/>
      <c r="H955" s="1"/>
      <c r="I955" s="1"/>
    </row>
    <row r="956" ht="15.75" customHeight="1">
      <c r="A956" s="1"/>
      <c r="B956" s="1"/>
      <c r="C956" s="1"/>
      <c r="D956" s="1"/>
      <c r="E956" s="1"/>
      <c r="F956" s="1"/>
      <c r="G956" s="1"/>
      <c r="H956" s="1"/>
      <c r="I956" s="1"/>
    </row>
    <row r="957" ht="15.75" customHeight="1">
      <c r="A957" s="1"/>
      <c r="B957" s="1"/>
      <c r="C957" s="1"/>
      <c r="D957" s="1"/>
      <c r="E957" s="1"/>
      <c r="F957" s="1"/>
      <c r="G957" s="1"/>
      <c r="H957" s="1"/>
      <c r="I957" s="1"/>
    </row>
    <row r="958" ht="15.75" customHeight="1">
      <c r="A958" s="1"/>
      <c r="B958" s="1"/>
      <c r="C958" s="1"/>
      <c r="D958" s="1"/>
      <c r="E958" s="1"/>
      <c r="F958" s="1"/>
      <c r="G958" s="1"/>
      <c r="H958" s="1"/>
      <c r="I958" s="1"/>
    </row>
    <row r="959" ht="15.75" customHeight="1">
      <c r="A959" s="1"/>
      <c r="B959" s="1"/>
      <c r="C959" s="1"/>
      <c r="D959" s="1"/>
      <c r="E959" s="1"/>
      <c r="F959" s="1"/>
      <c r="G959" s="1"/>
      <c r="H959" s="1"/>
      <c r="I959" s="1"/>
    </row>
    <row r="960" ht="15.75" customHeight="1">
      <c r="A960" s="1"/>
      <c r="B960" s="1"/>
      <c r="C960" s="1"/>
      <c r="D960" s="1"/>
      <c r="E960" s="1"/>
      <c r="F960" s="1"/>
      <c r="G960" s="1"/>
      <c r="H960" s="1"/>
      <c r="I960" s="1"/>
    </row>
    <row r="961" ht="15.75" customHeight="1">
      <c r="A961" s="1"/>
      <c r="B961" s="1"/>
      <c r="C961" s="1"/>
      <c r="D961" s="1"/>
      <c r="E961" s="1"/>
      <c r="F961" s="1"/>
      <c r="G961" s="1"/>
      <c r="H961" s="1"/>
      <c r="I961" s="1"/>
    </row>
    <row r="962" ht="15.75" customHeight="1">
      <c r="A962" s="1"/>
      <c r="B962" s="1"/>
      <c r="C962" s="1"/>
      <c r="D962" s="1"/>
      <c r="E962" s="1"/>
      <c r="F962" s="1"/>
      <c r="G962" s="1"/>
      <c r="H962" s="1"/>
      <c r="I962" s="1"/>
    </row>
    <row r="963" ht="15.75" customHeight="1">
      <c r="A963" s="1"/>
      <c r="B963" s="1"/>
      <c r="C963" s="1"/>
      <c r="D963" s="1"/>
      <c r="E963" s="1"/>
      <c r="F963" s="1"/>
      <c r="G963" s="1"/>
      <c r="H963" s="1"/>
      <c r="I963" s="1"/>
    </row>
    <row r="964" ht="15.75" customHeight="1">
      <c r="A964" s="1"/>
      <c r="B964" s="1"/>
      <c r="C964" s="1"/>
      <c r="D964" s="1"/>
      <c r="E964" s="1"/>
      <c r="F964" s="1"/>
      <c r="G964" s="1"/>
      <c r="H964" s="1"/>
      <c r="I964" s="1"/>
    </row>
    <row r="965" ht="15.75" customHeight="1">
      <c r="A965" s="1"/>
      <c r="B965" s="1"/>
      <c r="C965" s="1"/>
      <c r="D965" s="1"/>
      <c r="E965" s="1"/>
      <c r="F965" s="1"/>
      <c r="G965" s="1"/>
      <c r="H965" s="1"/>
      <c r="I965" s="1"/>
    </row>
    <row r="966" ht="15.75" customHeight="1">
      <c r="A966" s="1"/>
      <c r="B966" s="1"/>
      <c r="C966" s="1"/>
      <c r="D966" s="1"/>
      <c r="E966" s="1"/>
      <c r="F966" s="1"/>
      <c r="G966" s="1"/>
      <c r="H966" s="1"/>
      <c r="I966" s="1"/>
    </row>
    <row r="967" ht="15.75" customHeight="1">
      <c r="A967" s="1"/>
      <c r="B967" s="1"/>
      <c r="C967" s="1"/>
      <c r="D967" s="1"/>
      <c r="E967" s="1"/>
      <c r="F967" s="1"/>
      <c r="G967" s="1"/>
      <c r="H967" s="1"/>
      <c r="I967" s="1"/>
    </row>
    <row r="968" ht="15.75" customHeight="1">
      <c r="A968" s="1"/>
      <c r="B968" s="1"/>
      <c r="C968" s="1"/>
      <c r="D968" s="1"/>
      <c r="E968" s="1"/>
      <c r="F968" s="1"/>
      <c r="G968" s="1"/>
      <c r="H968" s="1"/>
      <c r="I968" s="1"/>
    </row>
    <row r="969" ht="15.75" customHeight="1">
      <c r="A969" s="1"/>
      <c r="B969" s="1"/>
      <c r="C969" s="1"/>
      <c r="D969" s="1"/>
      <c r="E969" s="1"/>
      <c r="F969" s="1"/>
      <c r="G969" s="1"/>
      <c r="H969" s="1"/>
      <c r="I969" s="1"/>
    </row>
    <row r="970" ht="15.75" customHeight="1">
      <c r="A970" s="1"/>
      <c r="B970" s="1"/>
      <c r="C970" s="1"/>
      <c r="D970" s="1"/>
      <c r="E970" s="1"/>
      <c r="F970" s="1"/>
      <c r="G970" s="1"/>
      <c r="H970" s="1"/>
      <c r="I970" s="1"/>
    </row>
    <row r="971" ht="15.75" customHeight="1">
      <c r="A971" s="1"/>
      <c r="B971" s="1"/>
      <c r="C971" s="1"/>
      <c r="D971" s="1"/>
      <c r="E971" s="1"/>
      <c r="F971" s="1"/>
      <c r="G971" s="1"/>
      <c r="H971" s="1"/>
      <c r="I971" s="1"/>
    </row>
    <row r="972" ht="15.75" customHeight="1">
      <c r="A972" s="1"/>
      <c r="B972" s="1"/>
      <c r="C972" s="1"/>
      <c r="D972" s="1"/>
      <c r="E972" s="1"/>
      <c r="F972" s="1"/>
      <c r="G972" s="1"/>
      <c r="H972" s="1"/>
      <c r="I972" s="1"/>
    </row>
    <row r="973" ht="15.75" customHeight="1">
      <c r="A973" s="1"/>
      <c r="B973" s="1"/>
      <c r="C973" s="1"/>
      <c r="D973" s="1"/>
      <c r="E973" s="1"/>
      <c r="F973" s="1"/>
      <c r="G973" s="1"/>
      <c r="H973" s="1"/>
      <c r="I973" s="1"/>
    </row>
    <row r="974" ht="15.75" customHeight="1">
      <c r="A974" s="1"/>
      <c r="B974" s="1"/>
      <c r="C974" s="1"/>
      <c r="D974" s="1"/>
      <c r="E974" s="1"/>
      <c r="F974" s="1"/>
      <c r="G974" s="1"/>
      <c r="H974" s="1"/>
      <c r="I974" s="1"/>
    </row>
    <row r="975" ht="15.75" customHeight="1">
      <c r="A975" s="1"/>
      <c r="B975" s="1"/>
      <c r="C975" s="1"/>
      <c r="D975" s="1"/>
      <c r="E975" s="1"/>
      <c r="F975" s="1"/>
      <c r="G975" s="1"/>
      <c r="H975" s="1"/>
      <c r="I975" s="1"/>
    </row>
    <row r="976" ht="15.75" customHeight="1">
      <c r="A976" s="1"/>
      <c r="B976" s="1"/>
      <c r="C976" s="1"/>
      <c r="D976" s="1"/>
      <c r="E976" s="1"/>
      <c r="F976" s="1"/>
      <c r="G976" s="1"/>
      <c r="H976" s="1"/>
      <c r="I976" s="1"/>
    </row>
    <row r="977" ht="15.75" customHeight="1">
      <c r="A977" s="1"/>
      <c r="B977" s="1"/>
      <c r="C977" s="1"/>
      <c r="D977" s="1"/>
      <c r="E977" s="1"/>
      <c r="F977" s="1"/>
      <c r="G977" s="1"/>
      <c r="H977" s="1"/>
      <c r="I977" s="1"/>
    </row>
    <row r="978" ht="15.75" customHeight="1">
      <c r="A978" s="1"/>
      <c r="B978" s="1"/>
      <c r="C978" s="1"/>
      <c r="D978" s="1"/>
      <c r="E978" s="1"/>
      <c r="F978" s="1"/>
      <c r="G978" s="1"/>
      <c r="H978" s="1"/>
      <c r="I978" s="1"/>
    </row>
    <row r="979" ht="15.75" customHeight="1">
      <c r="A979" s="1"/>
      <c r="B979" s="1"/>
      <c r="C979" s="1"/>
      <c r="D979" s="1"/>
      <c r="E979" s="1"/>
      <c r="F979" s="1"/>
      <c r="G979" s="1"/>
      <c r="H979" s="1"/>
      <c r="I979" s="1"/>
    </row>
    <row r="980" ht="15.75" customHeight="1">
      <c r="A980" s="1"/>
      <c r="B980" s="1"/>
      <c r="C980" s="1"/>
      <c r="D980" s="1"/>
      <c r="E980" s="1"/>
      <c r="F980" s="1"/>
      <c r="G980" s="1"/>
      <c r="H980" s="1"/>
      <c r="I980" s="1"/>
    </row>
    <row r="981" ht="15.75" customHeight="1">
      <c r="A981" s="1"/>
      <c r="B981" s="1"/>
      <c r="C981" s="1"/>
      <c r="D981" s="1"/>
      <c r="E981" s="1"/>
      <c r="F981" s="1"/>
      <c r="G981" s="1"/>
      <c r="H981" s="1"/>
      <c r="I981" s="1"/>
    </row>
    <row r="982" ht="15.75" customHeight="1">
      <c r="A982" s="1"/>
      <c r="B982" s="1"/>
      <c r="C982" s="1"/>
      <c r="D982" s="1"/>
      <c r="E982" s="1"/>
      <c r="F982" s="1"/>
      <c r="G982" s="1"/>
      <c r="H982" s="1"/>
      <c r="I982" s="1"/>
    </row>
    <row r="983" ht="15.75" customHeight="1">
      <c r="A983" s="1"/>
      <c r="B983" s="1"/>
      <c r="C983" s="1"/>
      <c r="D983" s="1"/>
      <c r="E983" s="1"/>
      <c r="F983" s="1"/>
      <c r="G983" s="1"/>
      <c r="H983" s="1"/>
      <c r="I983" s="1"/>
    </row>
    <row r="984" ht="15.75" customHeight="1">
      <c r="A984" s="1"/>
      <c r="B984" s="1"/>
      <c r="C984" s="1"/>
      <c r="D984" s="1"/>
      <c r="E984" s="1"/>
      <c r="F984" s="1"/>
      <c r="G984" s="1"/>
      <c r="H984" s="1"/>
      <c r="I984" s="1"/>
    </row>
    <row r="985" ht="15.75" customHeight="1">
      <c r="A985" s="1"/>
      <c r="B985" s="1"/>
      <c r="C985" s="1"/>
      <c r="D985" s="1"/>
      <c r="E985" s="1"/>
      <c r="F985" s="1"/>
      <c r="G985" s="1"/>
      <c r="H985" s="1"/>
      <c r="I985" s="1"/>
    </row>
    <row r="986" ht="15.75" customHeight="1">
      <c r="A986" s="1"/>
      <c r="B986" s="1"/>
      <c r="C986" s="1"/>
      <c r="D986" s="1"/>
      <c r="E986" s="1"/>
      <c r="F986" s="1"/>
      <c r="G986" s="1"/>
      <c r="H986" s="1"/>
      <c r="I986" s="1"/>
    </row>
    <row r="987" ht="15.75" customHeight="1">
      <c r="A987" s="1"/>
      <c r="B987" s="1"/>
      <c r="C987" s="1"/>
      <c r="D987" s="1"/>
      <c r="E987" s="1"/>
      <c r="F987" s="1"/>
      <c r="G987" s="1"/>
      <c r="H987" s="1"/>
      <c r="I987" s="1"/>
    </row>
    <row r="988" ht="15.75" customHeight="1">
      <c r="A988" s="1"/>
      <c r="B988" s="1"/>
      <c r="C988" s="1"/>
      <c r="D988" s="1"/>
      <c r="E988" s="1"/>
      <c r="F988" s="1"/>
      <c r="G988" s="1"/>
      <c r="H988" s="1"/>
      <c r="I988" s="1"/>
    </row>
    <row r="989" ht="15.75" customHeight="1">
      <c r="A989" s="1"/>
      <c r="B989" s="1"/>
      <c r="C989" s="1"/>
      <c r="D989" s="1"/>
      <c r="E989" s="1"/>
      <c r="F989" s="1"/>
      <c r="G989" s="1"/>
      <c r="H989" s="1"/>
      <c r="I989" s="1"/>
    </row>
    <row r="990" ht="15.75" customHeight="1">
      <c r="A990" s="1"/>
      <c r="B990" s="1"/>
      <c r="C990" s="1"/>
      <c r="D990" s="1"/>
      <c r="E990" s="1"/>
      <c r="F990" s="1"/>
      <c r="G990" s="1"/>
      <c r="H990" s="1"/>
      <c r="I990" s="1"/>
    </row>
    <row r="991" ht="15.75" customHeight="1">
      <c r="A991" s="1"/>
      <c r="B991" s="1"/>
      <c r="C991" s="1"/>
      <c r="D991" s="1"/>
      <c r="E991" s="1"/>
      <c r="F991" s="1"/>
      <c r="G991" s="1"/>
      <c r="H991" s="1"/>
      <c r="I991" s="1"/>
    </row>
    <row r="992" ht="15.75" customHeight="1">
      <c r="A992" s="1"/>
      <c r="B992" s="1"/>
      <c r="C992" s="1"/>
      <c r="D992" s="1"/>
      <c r="E992" s="1"/>
      <c r="F992" s="1"/>
      <c r="G992" s="1"/>
      <c r="H992" s="1"/>
      <c r="I992" s="1"/>
    </row>
    <row r="993" ht="15.75" customHeight="1">
      <c r="A993" s="1"/>
      <c r="B993" s="1"/>
      <c r="C993" s="1"/>
      <c r="D993" s="1"/>
      <c r="E993" s="1"/>
      <c r="F993" s="1"/>
      <c r="G993" s="1"/>
      <c r="H993" s="1"/>
      <c r="I993" s="1"/>
    </row>
    <row r="994" ht="15.75" customHeight="1">
      <c r="A994" s="1"/>
      <c r="B994" s="1"/>
      <c r="C994" s="1"/>
      <c r="D994" s="1"/>
      <c r="E994" s="1"/>
      <c r="F994" s="1"/>
      <c r="G994" s="1"/>
      <c r="H994" s="1"/>
      <c r="I994" s="1"/>
    </row>
    <row r="995" ht="15.75" customHeight="1">
      <c r="A995" s="1"/>
      <c r="B995" s="1"/>
      <c r="C995" s="1"/>
      <c r="D995" s="1"/>
      <c r="E995" s="1"/>
      <c r="F995" s="1"/>
      <c r="G995" s="1"/>
      <c r="H995" s="1"/>
      <c r="I995" s="1"/>
    </row>
    <row r="996" ht="15.75" customHeight="1">
      <c r="A996" s="1"/>
      <c r="B996" s="1"/>
      <c r="C996" s="1"/>
      <c r="D996" s="1"/>
      <c r="E996" s="1"/>
      <c r="F996" s="1"/>
      <c r="G996" s="1"/>
      <c r="H996" s="1"/>
      <c r="I996" s="1"/>
    </row>
    <row r="997" ht="15.75" customHeight="1">
      <c r="A997" s="1"/>
      <c r="B997" s="1"/>
      <c r="C997" s="1"/>
      <c r="D997" s="1"/>
      <c r="E997" s="1"/>
      <c r="F997" s="1"/>
      <c r="G997" s="1"/>
      <c r="H997" s="1"/>
      <c r="I997" s="1"/>
    </row>
    <row r="998" ht="15.75" customHeight="1">
      <c r="A998" s="1"/>
      <c r="B998" s="1"/>
      <c r="C998" s="1"/>
      <c r="D998" s="1"/>
      <c r="E998" s="1"/>
      <c r="F998" s="1"/>
      <c r="G998" s="1"/>
      <c r="H998" s="1"/>
      <c r="I998" s="1"/>
    </row>
    <row r="999" ht="15.75" customHeight="1">
      <c r="A999" s="1"/>
      <c r="B999" s="1"/>
      <c r="C999" s="1"/>
      <c r="D999" s="1"/>
      <c r="E999" s="1"/>
      <c r="F999" s="1"/>
      <c r="G999" s="1"/>
      <c r="H999" s="1"/>
      <c r="I999" s="1"/>
    </row>
    <row r="1000" ht="15.75" customHeight="1">
      <c r="A1000" s="1"/>
      <c r="B1000" s="1"/>
      <c r="C1000" s="1"/>
      <c r="D1000" s="1"/>
      <c r="E1000" s="1"/>
      <c r="F1000" s="1"/>
      <c r="G1000" s="1"/>
      <c r="H1000" s="1"/>
      <c r="I1000" s="1"/>
    </row>
  </sheetData>
  <mergeCells count="3">
    <mergeCell ref="B2:F2"/>
    <mergeCell ref="B3:F3"/>
    <mergeCell ref="B48:F51"/>
  </mergeCells>
  <printOptions/>
  <pageMargins bottom="1.0" footer="0.0" header="0.0" left="0.75" right="0.75" top="1.0"/>
  <pageSetup fitToHeight="0"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F6FA6"/>
    <pageSetUpPr fitToPage="1"/>
  </sheetPr>
  <sheetViews>
    <sheetView showGridLines="0" workbookViewId="0"/>
  </sheetViews>
  <sheetFormatPr customHeight="1" defaultColWidth="14.43" defaultRowHeight="15.0"/>
  <cols>
    <col customWidth="1" min="1" max="1" width="3.0"/>
    <col customWidth="1" min="2" max="2" width="38.0"/>
    <col customWidth="1" min="3" max="3" width="90.0"/>
    <col customWidth="1" min="4" max="26" width="8.71"/>
  </cols>
  <sheetData>
    <row r="1">
      <c r="A1" s="1"/>
      <c r="B1" s="1"/>
      <c r="C1" s="1"/>
    </row>
    <row r="2" ht="20.25" customHeight="1">
      <c r="A2" s="1"/>
      <c r="B2" s="182" t="s">
        <v>2229</v>
      </c>
      <c r="C2" s="1"/>
    </row>
    <row r="3">
      <c r="A3" s="1"/>
      <c r="B3" s="1"/>
      <c r="C3" s="1"/>
    </row>
    <row r="4" ht="45.75" customHeight="1">
      <c r="A4" s="1"/>
      <c r="B4" s="183" t="s">
        <v>97</v>
      </c>
      <c r="C4" s="184" t="s">
        <v>2230</v>
      </c>
    </row>
    <row r="5" ht="45.75" customHeight="1">
      <c r="A5" s="1"/>
      <c r="B5" s="185" t="s">
        <v>173</v>
      </c>
      <c r="C5" s="186" t="s">
        <v>2231</v>
      </c>
    </row>
    <row r="6" ht="45.75" customHeight="1">
      <c r="A6" s="1"/>
      <c r="B6" s="187" t="s">
        <v>203</v>
      </c>
      <c r="C6" s="188" t="s">
        <v>2232</v>
      </c>
    </row>
    <row r="7">
      <c r="A7" s="1"/>
      <c r="B7" s="1"/>
      <c r="C7" s="1"/>
    </row>
    <row r="8" ht="19.5" customHeight="1">
      <c r="A8" s="1"/>
      <c r="B8" s="189" t="s">
        <v>99</v>
      </c>
      <c r="C8" s="190" t="s">
        <v>2233</v>
      </c>
    </row>
    <row r="9" ht="19.5" customHeight="1">
      <c r="A9" s="1"/>
      <c r="B9" s="189" t="s">
        <v>101</v>
      </c>
      <c r="C9" s="190" t="s">
        <v>2234</v>
      </c>
    </row>
    <row r="10" ht="19.5" customHeight="1">
      <c r="A10" s="1"/>
      <c r="B10" s="189" t="s">
        <v>103</v>
      </c>
      <c r="C10" s="190" t="s">
        <v>2235</v>
      </c>
    </row>
    <row r="11" ht="33.75" customHeight="1">
      <c r="A11" s="1"/>
      <c r="B11" s="189" t="s">
        <v>106</v>
      </c>
      <c r="C11" s="190" t="s">
        <v>2236</v>
      </c>
    </row>
    <row r="12" ht="75.75" customHeight="1">
      <c r="A12" s="1"/>
      <c r="B12" s="189" t="s">
        <v>96</v>
      </c>
      <c r="C12" s="190" t="s">
        <v>2237</v>
      </c>
    </row>
    <row r="13" ht="19.5" customHeight="1">
      <c r="A13" s="1"/>
      <c r="B13" s="189" t="s">
        <v>111</v>
      </c>
      <c r="C13" s="190" t="s">
        <v>2238</v>
      </c>
    </row>
    <row r="14" ht="33.75" customHeight="1">
      <c r="A14" s="1"/>
      <c r="B14" s="189" t="s">
        <v>2239</v>
      </c>
      <c r="C14" s="190" t="s">
        <v>2240</v>
      </c>
    </row>
    <row r="15">
      <c r="A15" s="1"/>
      <c r="B15" s="1"/>
      <c r="C15" s="1"/>
    </row>
    <row r="16" ht="15.0" customHeight="1">
      <c r="A16" s="1"/>
      <c r="B16" s="141" t="s">
        <v>2241</v>
      </c>
      <c r="C16" s="1"/>
    </row>
    <row r="17" ht="30.0" customHeight="1">
      <c r="A17" s="1"/>
      <c r="B17" s="183" t="s">
        <v>2242</v>
      </c>
      <c r="C17" s="184" t="s">
        <v>2243</v>
      </c>
    </row>
    <row r="18" ht="30.0" customHeight="1">
      <c r="A18" s="1"/>
      <c r="B18" s="185" t="s">
        <v>2244</v>
      </c>
      <c r="C18" s="186" t="s">
        <v>2245</v>
      </c>
    </row>
    <row r="19" ht="30.0" customHeight="1">
      <c r="A19" s="1"/>
      <c r="B19" s="185" t="s">
        <v>2246</v>
      </c>
      <c r="C19" s="186" t="s">
        <v>2247</v>
      </c>
    </row>
    <row r="20" ht="30.0" customHeight="1">
      <c r="A20" s="1"/>
      <c r="B20" s="187" t="s">
        <v>2248</v>
      </c>
      <c r="C20" s="188" t="s">
        <v>2249</v>
      </c>
    </row>
    <row r="21" ht="15.75" customHeight="1">
      <c r="A21" s="1"/>
      <c r="B21" s="1"/>
      <c r="C21" s="1"/>
    </row>
    <row r="22" ht="30.0" customHeight="1">
      <c r="A22" s="1"/>
      <c r="B22" s="189" t="s">
        <v>2250</v>
      </c>
      <c r="C22" s="190" t="s">
        <v>2251</v>
      </c>
    </row>
    <row r="23" ht="30.0" customHeight="1">
      <c r="A23" s="1"/>
      <c r="B23" s="189" t="s">
        <v>113</v>
      </c>
      <c r="C23" s="190" t="s">
        <v>2252</v>
      </c>
    </row>
    <row r="24" ht="15.75" customHeight="1">
      <c r="A24" s="1"/>
      <c r="B24" s="1"/>
      <c r="C24" s="1"/>
    </row>
    <row r="25" ht="15.75" customHeight="1">
      <c r="A25" s="1"/>
      <c r="B25" s="1"/>
      <c r="C25" s="1"/>
    </row>
    <row r="26" ht="15.0" customHeight="1">
      <c r="A26" s="1"/>
      <c r="B26" s="141" t="s">
        <v>2253</v>
      </c>
      <c r="C26" s="1"/>
    </row>
    <row r="27" ht="23.25" customHeight="1">
      <c r="A27" s="1"/>
      <c r="B27" s="191" t="s">
        <v>114</v>
      </c>
      <c r="C27" s="192" t="s">
        <v>2254</v>
      </c>
    </row>
    <row r="28" ht="15.0" customHeight="1">
      <c r="A28" s="1"/>
      <c r="B28" s="55" t="s">
        <v>2255</v>
      </c>
      <c r="C28" s="57" t="s">
        <v>2256</v>
      </c>
    </row>
    <row r="29" ht="15.0" customHeight="1">
      <c r="A29" s="1"/>
      <c r="B29" s="191" t="s">
        <v>2257</v>
      </c>
      <c r="C29" s="192" t="s">
        <v>2258</v>
      </c>
    </row>
    <row r="30" ht="34.5" customHeight="1">
      <c r="A30" s="1"/>
      <c r="B30" s="55" t="s">
        <v>2259</v>
      </c>
      <c r="C30" s="57" t="s">
        <v>2260</v>
      </c>
    </row>
    <row r="31" ht="15.0" customHeight="1">
      <c r="A31" s="1"/>
      <c r="B31" s="191" t="s">
        <v>118</v>
      </c>
      <c r="C31" s="192" t="s">
        <v>2261</v>
      </c>
    </row>
    <row r="32" ht="23.25" customHeight="1">
      <c r="A32" s="1"/>
      <c r="B32" s="55" t="s">
        <v>119</v>
      </c>
      <c r="C32" s="57" t="s">
        <v>2262</v>
      </c>
    </row>
    <row r="33" ht="15.0" customHeight="1">
      <c r="A33" s="1"/>
      <c r="B33" s="191" t="s">
        <v>2263</v>
      </c>
      <c r="C33" s="192" t="s">
        <v>2264</v>
      </c>
    </row>
    <row r="34" ht="57.0" customHeight="1">
      <c r="A34" s="1"/>
      <c r="B34" s="55" t="s">
        <v>16</v>
      </c>
      <c r="C34" s="57" t="s">
        <v>2265</v>
      </c>
    </row>
    <row r="35" ht="34.5" customHeight="1">
      <c r="A35" s="1"/>
      <c r="B35" s="191" t="s">
        <v>2266</v>
      </c>
      <c r="C35" s="192" t="s">
        <v>2267</v>
      </c>
    </row>
    <row r="36" ht="15.0" customHeight="1">
      <c r="A36" s="1"/>
      <c r="B36" s="55" t="s">
        <v>537</v>
      </c>
      <c r="C36" s="57" t="s">
        <v>2268</v>
      </c>
    </row>
    <row r="37" ht="15.0" customHeight="1">
      <c r="A37" s="1"/>
      <c r="B37" s="191" t="s">
        <v>559</v>
      </c>
      <c r="C37" s="192" t="s">
        <v>2269</v>
      </c>
    </row>
    <row r="38" ht="15.0" customHeight="1">
      <c r="A38" s="1"/>
      <c r="B38" s="55" t="s">
        <v>601</v>
      </c>
      <c r="C38" s="57" t="s">
        <v>2270</v>
      </c>
    </row>
    <row r="39" ht="15.0" customHeight="1">
      <c r="A39" s="1"/>
      <c r="B39" s="191" t="s">
        <v>617</v>
      </c>
      <c r="C39" s="192" t="s">
        <v>2271</v>
      </c>
    </row>
    <row r="40" ht="23.25" customHeight="1">
      <c r="A40" s="1"/>
      <c r="B40" s="55" t="s">
        <v>2272</v>
      </c>
      <c r="C40" s="57" t="s">
        <v>2273</v>
      </c>
    </row>
    <row r="41" ht="23.25" customHeight="1">
      <c r="A41" s="1"/>
      <c r="B41" s="191" t="s">
        <v>125</v>
      </c>
      <c r="C41" s="192" t="s">
        <v>2274</v>
      </c>
    </row>
    <row r="42" ht="23.25" customHeight="1">
      <c r="A42" s="1"/>
      <c r="B42" s="55" t="s">
        <v>129</v>
      </c>
      <c r="C42" s="57" t="s">
        <v>2275</v>
      </c>
    </row>
    <row r="43" ht="23.25" customHeight="1">
      <c r="A43" s="1"/>
      <c r="B43" s="191" t="s">
        <v>2276</v>
      </c>
      <c r="C43" s="192" t="s">
        <v>2277</v>
      </c>
    </row>
    <row r="44" ht="15.0" customHeight="1">
      <c r="A44" s="1"/>
      <c r="B44" s="55" t="s">
        <v>61</v>
      </c>
      <c r="C44" s="57" t="s">
        <v>2278</v>
      </c>
    </row>
    <row r="45" ht="23.25" customHeight="1">
      <c r="A45" s="1"/>
      <c r="B45" s="191" t="s">
        <v>133</v>
      </c>
      <c r="C45" s="192" t="s">
        <v>2279</v>
      </c>
    </row>
    <row r="46" ht="15.75" customHeight="1">
      <c r="A46" s="1"/>
      <c r="B46" s="1"/>
      <c r="C46" s="1"/>
    </row>
    <row r="47" ht="15.0" customHeight="1">
      <c r="A47" s="1"/>
      <c r="B47" s="141" t="s">
        <v>2280</v>
      </c>
      <c r="C47" s="1"/>
    </row>
    <row r="48" ht="15.0" customHeight="1">
      <c r="A48" s="1"/>
      <c r="B48" s="191" t="s">
        <v>114</v>
      </c>
      <c r="C48" s="192" t="s">
        <v>236</v>
      </c>
    </row>
    <row r="49" ht="15.0" customHeight="1">
      <c r="A49" s="1"/>
      <c r="B49" s="191"/>
      <c r="C49" s="192" t="s">
        <v>185</v>
      </c>
    </row>
    <row r="50" ht="15.0" customHeight="1">
      <c r="A50" s="1"/>
      <c r="B50" s="191"/>
      <c r="C50" s="192" t="s">
        <v>277</v>
      </c>
    </row>
    <row r="51" ht="15.0" customHeight="1">
      <c r="A51" s="1"/>
      <c r="B51" s="191"/>
      <c r="C51" s="192" t="s">
        <v>310</v>
      </c>
    </row>
    <row r="52" ht="15.0" customHeight="1">
      <c r="A52" s="1"/>
      <c r="B52" s="191"/>
      <c r="C52" s="192" t="s">
        <v>326</v>
      </c>
    </row>
    <row r="53" ht="15.0" customHeight="1">
      <c r="A53" s="1"/>
      <c r="B53" s="191"/>
      <c r="C53" s="192" t="s">
        <v>362</v>
      </c>
    </row>
    <row r="54" ht="15.0" customHeight="1">
      <c r="A54" s="1"/>
      <c r="B54" s="191"/>
      <c r="C54" s="192" t="s">
        <v>392</v>
      </c>
    </row>
    <row r="55" ht="15.0" customHeight="1">
      <c r="A55" s="1"/>
      <c r="B55" s="191"/>
      <c r="C55" s="192" t="s">
        <v>500</v>
      </c>
    </row>
    <row r="56" ht="15.75" customHeight="1">
      <c r="A56" s="1"/>
      <c r="B56" s="1"/>
      <c r="C56" s="1"/>
    </row>
    <row r="57" ht="15.0" customHeight="1">
      <c r="A57" s="1"/>
      <c r="B57" s="191" t="s">
        <v>118</v>
      </c>
      <c r="C57" s="192" t="s">
        <v>205</v>
      </c>
    </row>
    <row r="58" ht="15.0" customHeight="1">
      <c r="A58" s="1"/>
      <c r="B58" s="191"/>
      <c r="C58" s="192" t="s">
        <v>504</v>
      </c>
    </row>
    <row r="59" ht="15.0" customHeight="1">
      <c r="A59" s="1"/>
      <c r="B59" s="191"/>
      <c r="C59" s="192" t="s">
        <v>780</v>
      </c>
    </row>
    <row r="60" ht="15.0" customHeight="1">
      <c r="A60" s="1"/>
      <c r="B60" s="191"/>
      <c r="C60" s="192" t="s">
        <v>1833</v>
      </c>
    </row>
    <row r="61" ht="15.0" customHeight="1">
      <c r="A61" s="1"/>
      <c r="B61" s="191"/>
      <c r="C61" s="192" t="s">
        <v>2281</v>
      </c>
    </row>
    <row r="62" ht="15.0" customHeight="1">
      <c r="A62" s="1"/>
      <c r="B62" s="191"/>
      <c r="C62" s="192" t="s">
        <v>1459</v>
      </c>
    </row>
    <row r="63" ht="15.0" customHeight="1">
      <c r="A63" s="1"/>
      <c r="B63" s="191"/>
      <c r="C63" s="192" t="s">
        <v>891</v>
      </c>
    </row>
    <row r="64" ht="15.0" customHeight="1">
      <c r="A64" s="1"/>
      <c r="B64" s="191"/>
      <c r="C64" s="192" t="s">
        <v>2048</v>
      </c>
    </row>
    <row r="65" ht="15.0" customHeight="1">
      <c r="A65" s="1"/>
      <c r="B65" s="191"/>
      <c r="C65" s="192" t="s">
        <v>1379</v>
      </c>
    </row>
    <row r="66" ht="15.75" customHeight="1">
      <c r="A66" s="1"/>
      <c r="B66" s="1"/>
      <c r="C66" s="1"/>
    </row>
    <row r="67" ht="15.0" customHeight="1">
      <c r="A67" s="1"/>
      <c r="B67" s="191" t="s">
        <v>103</v>
      </c>
      <c r="C67" s="192" t="s">
        <v>407</v>
      </c>
    </row>
    <row r="68" ht="15.0" customHeight="1">
      <c r="A68" s="1"/>
      <c r="B68" s="191"/>
      <c r="C68" s="192" t="s">
        <v>689</v>
      </c>
    </row>
    <row r="69" ht="15.0" customHeight="1">
      <c r="A69" s="1"/>
      <c r="B69" s="191"/>
      <c r="C69" s="192" t="s">
        <v>211</v>
      </c>
    </row>
    <row r="70" ht="15.0" customHeight="1">
      <c r="A70" s="1"/>
      <c r="B70" s="191"/>
      <c r="C70" s="192" t="s">
        <v>1317</v>
      </c>
    </row>
    <row r="71" ht="15.0" customHeight="1">
      <c r="A71" s="1"/>
      <c r="B71" s="191"/>
      <c r="C71" s="192" t="s">
        <v>781</v>
      </c>
    </row>
    <row r="72" ht="15.0" customHeight="1">
      <c r="A72" s="1"/>
      <c r="B72" s="191"/>
      <c r="C72" s="192" t="s">
        <v>893</v>
      </c>
    </row>
    <row r="73" ht="15.0" customHeight="1">
      <c r="A73" s="1"/>
      <c r="B73" s="191"/>
      <c r="C73" s="192" t="s">
        <v>968</v>
      </c>
    </row>
    <row r="74" ht="15.0" customHeight="1">
      <c r="A74" s="1"/>
      <c r="B74" s="191"/>
      <c r="C74" s="192" t="s">
        <v>1814</v>
      </c>
    </row>
    <row r="75" ht="15.0" customHeight="1">
      <c r="A75" s="1"/>
      <c r="B75" s="191"/>
      <c r="C75" s="192" t="s">
        <v>2017</v>
      </c>
    </row>
    <row r="76" ht="15.0" customHeight="1">
      <c r="A76" s="1"/>
      <c r="B76" s="191"/>
      <c r="C76" s="192" t="s">
        <v>1379</v>
      </c>
    </row>
    <row r="77" ht="15.75" customHeight="1">
      <c r="A77" s="1"/>
      <c r="B77" s="1"/>
      <c r="C77" s="1"/>
    </row>
    <row r="78" ht="15.0" customHeight="1">
      <c r="A78" s="1"/>
      <c r="B78" s="191" t="s">
        <v>17</v>
      </c>
      <c r="C78" s="192" t="s">
        <v>42</v>
      </c>
    </row>
    <row r="79" ht="15.0" customHeight="1">
      <c r="A79" s="1"/>
      <c r="B79" s="191"/>
      <c r="C79" s="192" t="s">
        <v>197</v>
      </c>
    </row>
    <row r="80" ht="15.0" customHeight="1">
      <c r="A80" s="1"/>
      <c r="B80" s="191"/>
      <c r="C80" s="192" t="s">
        <v>249</v>
      </c>
    </row>
    <row r="81" ht="15.0" customHeight="1">
      <c r="A81" s="1"/>
      <c r="B81" s="191"/>
      <c r="C81" s="192" t="s">
        <v>121</v>
      </c>
    </row>
    <row r="82" ht="15.75" customHeight="1">
      <c r="A82" s="1"/>
      <c r="B82" s="1"/>
      <c r="C82" s="1"/>
    </row>
    <row r="83" ht="15.0" customHeight="1">
      <c r="A83" s="1"/>
      <c r="B83" s="191" t="s">
        <v>129</v>
      </c>
      <c r="C83" s="192" t="s">
        <v>470</v>
      </c>
    </row>
    <row r="84" ht="15.0" customHeight="1">
      <c r="A84" s="1"/>
      <c r="B84" s="191"/>
      <c r="C84" s="192" t="s">
        <v>752</v>
      </c>
    </row>
    <row r="85" ht="15.0" customHeight="1">
      <c r="A85" s="1"/>
      <c r="B85" s="191"/>
      <c r="C85" s="192" t="s">
        <v>273</v>
      </c>
    </row>
    <row r="86" ht="15.75" customHeight="1">
      <c r="A86" s="1"/>
      <c r="B86" s="1"/>
      <c r="C86" s="1"/>
    </row>
    <row r="87" ht="15.0" customHeight="1">
      <c r="A87" s="1"/>
      <c r="B87" s="191" t="s">
        <v>16</v>
      </c>
      <c r="C87" s="192" t="s">
        <v>409</v>
      </c>
    </row>
    <row r="88" ht="15.0" customHeight="1">
      <c r="A88" s="1"/>
      <c r="B88" s="191"/>
      <c r="C88" s="192" t="s">
        <v>934</v>
      </c>
    </row>
    <row r="89" ht="15.0" customHeight="1">
      <c r="A89" s="1"/>
      <c r="B89" s="191"/>
      <c r="C89" s="192" t="s">
        <v>386</v>
      </c>
    </row>
    <row r="90" ht="15.0" customHeight="1">
      <c r="A90" s="1"/>
      <c r="B90" s="191"/>
      <c r="C90" s="192" t="s">
        <v>744</v>
      </c>
    </row>
    <row r="91" ht="15.0" customHeight="1">
      <c r="A91" s="1"/>
      <c r="B91" s="191"/>
      <c r="C91" s="192" t="s">
        <v>783</v>
      </c>
    </row>
    <row r="92" ht="15.0" customHeight="1">
      <c r="A92" s="1"/>
      <c r="B92" s="191"/>
      <c r="C92" s="192" t="s">
        <v>418</v>
      </c>
    </row>
    <row r="93" ht="15.0" customHeight="1">
      <c r="A93" s="1"/>
      <c r="B93" s="191"/>
      <c r="C93" s="192" t="s">
        <v>692</v>
      </c>
    </row>
    <row r="94" ht="15.0" customHeight="1">
      <c r="A94" s="1"/>
      <c r="B94" s="191"/>
      <c r="C94" s="192" t="s">
        <v>1075</v>
      </c>
    </row>
    <row r="95" ht="15.0" customHeight="1">
      <c r="A95" s="1"/>
      <c r="B95" s="191"/>
      <c r="C95" s="192" t="s">
        <v>214</v>
      </c>
    </row>
    <row r="96" ht="15.0" customHeight="1">
      <c r="A96" s="1"/>
      <c r="B96" s="191"/>
      <c r="C96" s="192" t="s">
        <v>333</v>
      </c>
    </row>
    <row r="97" ht="15.0" customHeight="1">
      <c r="A97" s="1"/>
      <c r="B97" s="191"/>
      <c r="C97" s="192" t="s">
        <v>1141</v>
      </c>
    </row>
    <row r="98" ht="15.0" customHeight="1">
      <c r="A98" s="1"/>
      <c r="B98" s="191"/>
      <c r="C98" s="192" t="s">
        <v>896</v>
      </c>
    </row>
    <row r="99" ht="15.0" customHeight="1">
      <c r="A99" s="1"/>
      <c r="B99" s="191"/>
      <c r="C99" s="192" t="s">
        <v>490</v>
      </c>
    </row>
    <row r="100" ht="15.0" customHeight="1">
      <c r="A100" s="1"/>
      <c r="B100" s="191"/>
      <c r="C100" s="192" t="s">
        <v>74</v>
      </c>
    </row>
    <row r="101" ht="15.0" customHeight="1">
      <c r="A101" s="1"/>
      <c r="B101" s="191"/>
      <c r="C101" s="192" t="s">
        <v>860</v>
      </c>
    </row>
    <row r="102" ht="15.0" customHeight="1">
      <c r="A102" s="1"/>
      <c r="B102" s="191"/>
      <c r="C102" s="192" t="s">
        <v>1243</v>
      </c>
    </row>
    <row r="103" ht="15.0" customHeight="1">
      <c r="A103" s="1"/>
      <c r="B103" s="191"/>
      <c r="C103" s="192" t="s">
        <v>1251</v>
      </c>
    </row>
    <row r="104" ht="15.75" customHeight="1">
      <c r="A104" s="1"/>
      <c r="B104" s="1"/>
      <c r="C104" s="1"/>
    </row>
    <row r="105" ht="15.75" customHeight="1">
      <c r="A105" s="1"/>
      <c r="B105" s="1"/>
      <c r="C105" s="1"/>
    </row>
    <row r="106" ht="15.75" customHeight="1">
      <c r="A106" s="1"/>
      <c r="B106" s="1"/>
      <c r="C106" s="1"/>
    </row>
    <row r="107" ht="15.75" customHeight="1">
      <c r="A107" s="1"/>
      <c r="B107" s="1"/>
      <c r="C107" s="1"/>
    </row>
    <row r="108" ht="15.75" customHeight="1">
      <c r="A108" s="1"/>
      <c r="B108" s="1"/>
      <c r="C108" s="1"/>
    </row>
    <row r="109" ht="15.75" customHeight="1">
      <c r="A109" s="1"/>
      <c r="B109" s="1"/>
      <c r="C109" s="1"/>
    </row>
    <row r="110" ht="15.75" customHeight="1">
      <c r="A110" s="1"/>
      <c r="B110" s="1"/>
      <c r="C110" s="1"/>
    </row>
    <row r="111" ht="15.75" customHeight="1">
      <c r="A111" s="1"/>
      <c r="B111" s="1"/>
      <c r="C111" s="1"/>
    </row>
    <row r="112" ht="15.75" customHeight="1">
      <c r="A112" s="1"/>
      <c r="B112" s="1"/>
      <c r="C112" s="1"/>
    </row>
    <row r="113" ht="15.75" customHeight="1">
      <c r="A113" s="1"/>
      <c r="B113" s="1"/>
      <c r="C113" s="1"/>
    </row>
    <row r="114" ht="15.75" customHeight="1">
      <c r="A114" s="1"/>
      <c r="B114" s="1"/>
      <c r="C114" s="1"/>
    </row>
    <row r="115" ht="15.75" customHeight="1">
      <c r="A115" s="1"/>
      <c r="B115" s="1"/>
      <c r="C115" s="1"/>
    </row>
    <row r="116" ht="15.75" customHeight="1">
      <c r="A116" s="1"/>
      <c r="B116" s="1"/>
      <c r="C116" s="1"/>
    </row>
    <row r="117" ht="15.75" customHeight="1">
      <c r="A117" s="1"/>
      <c r="B117" s="1"/>
      <c r="C117" s="1"/>
    </row>
    <row r="118" ht="15.75" customHeight="1">
      <c r="A118" s="1"/>
      <c r="B118" s="1"/>
      <c r="C118" s="1"/>
    </row>
    <row r="119" ht="15.75" customHeight="1">
      <c r="A119" s="1"/>
      <c r="B119" s="1"/>
      <c r="C119" s="1"/>
    </row>
    <row r="120" ht="15.75" customHeight="1">
      <c r="A120" s="1"/>
      <c r="B120" s="1"/>
      <c r="C120" s="1"/>
    </row>
    <row r="121" ht="15.75" customHeight="1">
      <c r="A121" s="1"/>
      <c r="B121" s="1"/>
      <c r="C121" s="1"/>
    </row>
    <row r="122" ht="15.75" customHeight="1">
      <c r="A122" s="1"/>
      <c r="B122" s="1"/>
      <c r="C122" s="1"/>
    </row>
    <row r="123" ht="15.75" customHeight="1">
      <c r="A123" s="1"/>
      <c r="B123" s="1"/>
      <c r="C123" s="1"/>
    </row>
    <row r="124" ht="15.75" customHeight="1">
      <c r="A124" s="1"/>
      <c r="B124" s="1"/>
      <c r="C124" s="1"/>
    </row>
    <row r="125" ht="15.75" customHeight="1">
      <c r="A125" s="1"/>
      <c r="B125" s="1"/>
      <c r="C125" s="1"/>
    </row>
    <row r="126" ht="15.75" customHeight="1">
      <c r="A126" s="1"/>
      <c r="B126" s="1"/>
      <c r="C126" s="1"/>
    </row>
    <row r="127" ht="15.75" customHeight="1">
      <c r="A127" s="1"/>
      <c r="B127" s="1"/>
      <c r="C127" s="1"/>
    </row>
    <row r="128" ht="15.75" customHeight="1">
      <c r="A128" s="1"/>
      <c r="B128" s="1"/>
      <c r="C128" s="1"/>
    </row>
    <row r="129" ht="15.75" customHeight="1">
      <c r="A129" s="1"/>
      <c r="B129" s="1"/>
      <c r="C129" s="1"/>
    </row>
    <row r="130" ht="15.75" customHeight="1">
      <c r="A130" s="1"/>
      <c r="B130" s="1"/>
      <c r="C130" s="1"/>
    </row>
    <row r="131" ht="15.75" customHeight="1">
      <c r="A131" s="1"/>
      <c r="B131" s="1"/>
      <c r="C131" s="1"/>
    </row>
    <row r="132" ht="15.75" customHeight="1">
      <c r="A132" s="1"/>
      <c r="B132" s="1"/>
      <c r="C132" s="1"/>
    </row>
    <row r="133" ht="15.75" customHeight="1">
      <c r="A133" s="1"/>
      <c r="B133" s="1"/>
      <c r="C133" s="1"/>
    </row>
    <row r="134" ht="15.75" customHeight="1">
      <c r="A134" s="1"/>
      <c r="B134" s="1"/>
      <c r="C134" s="1"/>
    </row>
    <row r="135" ht="15.75" customHeight="1">
      <c r="A135" s="1"/>
      <c r="B135" s="1"/>
      <c r="C135" s="1"/>
    </row>
    <row r="136" ht="15.75" customHeight="1">
      <c r="A136" s="1"/>
      <c r="B136" s="1"/>
      <c r="C136" s="1"/>
    </row>
    <row r="137" ht="15.75" customHeight="1">
      <c r="A137" s="1"/>
      <c r="B137" s="1"/>
      <c r="C137" s="1"/>
    </row>
    <row r="138" ht="15.75" customHeight="1">
      <c r="A138" s="1"/>
      <c r="B138" s="1"/>
      <c r="C138" s="1"/>
    </row>
    <row r="139" ht="15.75" customHeight="1">
      <c r="A139" s="1"/>
      <c r="B139" s="1"/>
      <c r="C139" s="1"/>
    </row>
    <row r="140" ht="15.75" customHeight="1">
      <c r="A140" s="1"/>
      <c r="B140" s="1"/>
      <c r="C140" s="1"/>
    </row>
    <row r="141" ht="15.75" customHeight="1">
      <c r="A141" s="1"/>
      <c r="B141" s="1"/>
      <c r="C141" s="1"/>
    </row>
    <row r="142" ht="15.75" customHeight="1">
      <c r="A142" s="1"/>
      <c r="B142" s="1"/>
      <c r="C142" s="1"/>
    </row>
    <row r="143" ht="15.75" customHeight="1">
      <c r="A143" s="1"/>
      <c r="B143" s="1"/>
      <c r="C143" s="1"/>
    </row>
    <row r="144" ht="15.75" customHeight="1">
      <c r="A144" s="1"/>
      <c r="B144" s="1"/>
      <c r="C144" s="1"/>
    </row>
    <row r="145" ht="15.75" customHeight="1">
      <c r="A145" s="1"/>
      <c r="B145" s="1"/>
      <c r="C145" s="1"/>
    </row>
    <row r="146" ht="15.75" customHeight="1">
      <c r="A146" s="1"/>
      <c r="B146" s="1"/>
      <c r="C146" s="1"/>
    </row>
    <row r="147" ht="15.75" customHeight="1">
      <c r="A147" s="1"/>
      <c r="B147" s="1"/>
      <c r="C147" s="1"/>
    </row>
    <row r="148" ht="15.75" customHeight="1">
      <c r="A148" s="1"/>
      <c r="B148" s="1"/>
      <c r="C148" s="1"/>
    </row>
    <row r="149" ht="15.75" customHeight="1">
      <c r="A149" s="1"/>
      <c r="B149" s="1"/>
      <c r="C149" s="1"/>
    </row>
    <row r="150" ht="15.75" customHeight="1">
      <c r="A150" s="1"/>
      <c r="B150" s="1"/>
      <c r="C150" s="1"/>
    </row>
    <row r="151" ht="15.75" customHeight="1">
      <c r="A151" s="1"/>
      <c r="B151" s="1"/>
      <c r="C151" s="1"/>
    </row>
    <row r="152" ht="15.75" customHeight="1">
      <c r="A152" s="1"/>
      <c r="B152" s="1"/>
      <c r="C152" s="1"/>
    </row>
    <row r="153" ht="15.75" customHeight="1">
      <c r="A153" s="1"/>
      <c r="B153" s="1"/>
      <c r="C153" s="1"/>
    </row>
    <row r="154" ht="15.75" customHeight="1">
      <c r="A154" s="1"/>
      <c r="B154" s="1"/>
      <c r="C154" s="1"/>
    </row>
    <row r="155" ht="15.75" customHeight="1">
      <c r="A155" s="1"/>
      <c r="B155" s="1"/>
      <c r="C155" s="1"/>
    </row>
    <row r="156" ht="15.75" customHeight="1">
      <c r="A156" s="1"/>
      <c r="B156" s="1"/>
      <c r="C156" s="1"/>
    </row>
    <row r="157" ht="15.75" customHeight="1">
      <c r="A157" s="1"/>
      <c r="B157" s="1"/>
      <c r="C157" s="1"/>
    </row>
    <row r="158" ht="15.75" customHeight="1">
      <c r="A158" s="1"/>
      <c r="B158" s="1"/>
      <c r="C158" s="1"/>
    </row>
    <row r="159" ht="15.75" customHeight="1">
      <c r="A159" s="1"/>
      <c r="B159" s="1"/>
      <c r="C159" s="1"/>
    </row>
    <row r="160" ht="15.75" customHeight="1">
      <c r="A160" s="1"/>
      <c r="B160" s="1"/>
      <c r="C160" s="1"/>
    </row>
    <row r="161" ht="15.75" customHeight="1">
      <c r="A161" s="1"/>
      <c r="B161" s="1"/>
      <c r="C161" s="1"/>
    </row>
    <row r="162" ht="15.75" customHeight="1">
      <c r="A162" s="1"/>
      <c r="B162" s="1"/>
      <c r="C162" s="1"/>
    </row>
    <row r="163" ht="15.75" customHeight="1">
      <c r="A163" s="1"/>
      <c r="B163" s="1"/>
      <c r="C163" s="1"/>
    </row>
    <row r="164" ht="15.75" customHeight="1">
      <c r="A164" s="1"/>
      <c r="B164" s="1"/>
      <c r="C164" s="1"/>
    </row>
    <row r="165" ht="15.75" customHeight="1">
      <c r="A165" s="1"/>
      <c r="B165" s="1"/>
      <c r="C165" s="1"/>
    </row>
    <row r="166" ht="15.75" customHeight="1">
      <c r="A166" s="1"/>
      <c r="B166" s="1"/>
      <c r="C166" s="1"/>
    </row>
    <row r="167" ht="15.75" customHeight="1">
      <c r="A167" s="1"/>
      <c r="B167" s="1"/>
      <c r="C167" s="1"/>
    </row>
    <row r="168" ht="15.75" customHeight="1">
      <c r="A168" s="1"/>
      <c r="B168" s="1"/>
      <c r="C168" s="1"/>
    </row>
    <row r="169" ht="15.75" customHeight="1">
      <c r="A169" s="1"/>
      <c r="B169" s="1"/>
      <c r="C169" s="1"/>
    </row>
    <row r="170" ht="15.75" customHeight="1">
      <c r="A170" s="1"/>
      <c r="B170" s="1"/>
      <c r="C170" s="1"/>
    </row>
    <row r="171" ht="15.75" customHeight="1">
      <c r="A171" s="1"/>
      <c r="B171" s="1"/>
      <c r="C171" s="1"/>
    </row>
    <row r="172" ht="15.75" customHeight="1">
      <c r="A172" s="1"/>
      <c r="B172" s="1"/>
      <c r="C172" s="1"/>
    </row>
    <row r="173" ht="15.75" customHeight="1">
      <c r="A173" s="1"/>
      <c r="B173" s="1"/>
      <c r="C173" s="1"/>
    </row>
    <row r="174" ht="15.75" customHeight="1">
      <c r="A174" s="1"/>
      <c r="B174" s="1"/>
      <c r="C174" s="1"/>
    </row>
    <row r="175" ht="15.75" customHeight="1">
      <c r="A175" s="1"/>
      <c r="B175" s="1"/>
      <c r="C175" s="1"/>
    </row>
    <row r="176" ht="15.75" customHeight="1">
      <c r="A176" s="1"/>
      <c r="B176" s="1"/>
      <c r="C176" s="1"/>
    </row>
    <row r="177" ht="15.75" customHeight="1">
      <c r="A177" s="1"/>
      <c r="B177" s="1"/>
      <c r="C177" s="1"/>
    </row>
    <row r="178" ht="15.75" customHeight="1">
      <c r="A178" s="1"/>
      <c r="B178" s="1"/>
      <c r="C178" s="1"/>
    </row>
    <row r="179" ht="15.75" customHeight="1">
      <c r="A179" s="1"/>
      <c r="B179" s="1"/>
      <c r="C179" s="1"/>
    </row>
    <row r="180" ht="15.75" customHeight="1">
      <c r="A180" s="1"/>
      <c r="B180" s="1"/>
      <c r="C180" s="1"/>
    </row>
    <row r="181" ht="15.75" customHeight="1">
      <c r="A181" s="1"/>
      <c r="B181" s="1"/>
      <c r="C181" s="1"/>
    </row>
    <row r="182" ht="15.75" customHeight="1">
      <c r="A182" s="1"/>
      <c r="B182" s="1"/>
      <c r="C182" s="1"/>
    </row>
    <row r="183" ht="15.75" customHeight="1">
      <c r="A183" s="1"/>
      <c r="B183" s="1"/>
      <c r="C183" s="1"/>
    </row>
    <row r="184" ht="15.75" customHeight="1">
      <c r="A184" s="1"/>
      <c r="B184" s="1"/>
      <c r="C184" s="1"/>
    </row>
    <row r="185" ht="15.75" customHeight="1">
      <c r="A185" s="1"/>
      <c r="B185" s="1"/>
      <c r="C185" s="1"/>
    </row>
    <row r="186" ht="15.75" customHeight="1">
      <c r="A186" s="1"/>
      <c r="B186" s="1"/>
      <c r="C186" s="1"/>
    </row>
    <row r="187" ht="15.75" customHeight="1">
      <c r="A187" s="1"/>
      <c r="B187" s="1"/>
      <c r="C187" s="1"/>
    </row>
    <row r="188" ht="15.75" customHeight="1">
      <c r="A188" s="1"/>
      <c r="B188" s="1"/>
      <c r="C188" s="1"/>
    </row>
    <row r="189" ht="15.75" customHeight="1">
      <c r="A189" s="1"/>
      <c r="B189" s="1"/>
      <c r="C189" s="1"/>
    </row>
    <row r="190" ht="15.75" customHeight="1">
      <c r="A190" s="1"/>
      <c r="B190" s="1"/>
      <c r="C190" s="1"/>
    </row>
    <row r="191" ht="15.75" customHeight="1">
      <c r="A191" s="1"/>
      <c r="B191" s="1"/>
      <c r="C191" s="1"/>
    </row>
    <row r="192" ht="15.75" customHeight="1">
      <c r="A192" s="1"/>
      <c r="B192" s="1"/>
      <c r="C192" s="1"/>
    </row>
    <row r="193" ht="15.75" customHeight="1">
      <c r="A193" s="1"/>
      <c r="B193" s="1"/>
      <c r="C193" s="1"/>
    </row>
    <row r="194" ht="15.75" customHeight="1">
      <c r="A194" s="1"/>
      <c r="B194" s="1"/>
      <c r="C194" s="1"/>
    </row>
    <row r="195" ht="15.75" customHeight="1">
      <c r="A195" s="1"/>
      <c r="B195" s="1"/>
      <c r="C195" s="1"/>
    </row>
    <row r="196" ht="15.75" customHeight="1">
      <c r="A196" s="1"/>
      <c r="B196" s="1"/>
      <c r="C196" s="1"/>
    </row>
    <row r="197" ht="15.75" customHeight="1">
      <c r="A197" s="1"/>
      <c r="B197" s="1"/>
      <c r="C197" s="1"/>
    </row>
    <row r="198" ht="15.75" customHeight="1">
      <c r="A198" s="1"/>
      <c r="B198" s="1"/>
      <c r="C198" s="1"/>
    </row>
    <row r="199" ht="15.75" customHeight="1">
      <c r="A199" s="1"/>
      <c r="B199" s="1"/>
      <c r="C199" s="1"/>
    </row>
    <row r="200" ht="15.75" customHeight="1">
      <c r="A200" s="1"/>
      <c r="B200" s="1"/>
      <c r="C200" s="1"/>
    </row>
    <row r="201" ht="15.75" customHeight="1">
      <c r="A201" s="1"/>
      <c r="B201" s="1"/>
      <c r="C201" s="1"/>
    </row>
    <row r="202" ht="15.75" customHeight="1">
      <c r="A202" s="1"/>
      <c r="B202" s="1"/>
      <c r="C202" s="1"/>
    </row>
    <row r="203" ht="15.75" customHeight="1">
      <c r="A203" s="1"/>
      <c r="B203" s="1"/>
      <c r="C203" s="1"/>
    </row>
    <row r="204" ht="15.75" customHeight="1">
      <c r="A204" s="1"/>
      <c r="B204" s="1"/>
      <c r="C204" s="1"/>
    </row>
    <row r="205" ht="15.75" customHeight="1">
      <c r="A205" s="1"/>
      <c r="B205" s="1"/>
      <c r="C205" s="1"/>
    </row>
    <row r="206" ht="15.75" customHeight="1">
      <c r="A206" s="1"/>
      <c r="B206" s="1"/>
      <c r="C206" s="1"/>
    </row>
    <row r="207" ht="15.75" customHeight="1">
      <c r="A207" s="1"/>
      <c r="B207" s="1"/>
      <c r="C207" s="1"/>
    </row>
    <row r="208" ht="15.75" customHeight="1">
      <c r="A208" s="1"/>
      <c r="B208" s="1"/>
      <c r="C208" s="1"/>
    </row>
    <row r="209" ht="15.75" customHeight="1">
      <c r="A209" s="1"/>
      <c r="B209" s="1"/>
      <c r="C209" s="1"/>
    </row>
    <row r="210" ht="15.75" customHeight="1">
      <c r="A210" s="1"/>
      <c r="B210" s="1"/>
      <c r="C210" s="1"/>
    </row>
    <row r="211" ht="15.75" customHeight="1">
      <c r="A211" s="1"/>
      <c r="B211" s="1"/>
      <c r="C211" s="1"/>
    </row>
    <row r="212" ht="15.75" customHeight="1">
      <c r="A212" s="1"/>
      <c r="B212" s="1"/>
      <c r="C212" s="1"/>
    </row>
    <row r="213" ht="15.75" customHeight="1">
      <c r="A213" s="1"/>
      <c r="B213" s="1"/>
      <c r="C213" s="1"/>
    </row>
    <row r="214" ht="15.75" customHeight="1">
      <c r="A214" s="1"/>
      <c r="B214" s="1"/>
      <c r="C214" s="1"/>
    </row>
    <row r="215" ht="15.75" customHeight="1">
      <c r="A215" s="1"/>
      <c r="B215" s="1"/>
      <c r="C215" s="1"/>
    </row>
    <row r="216" ht="15.75" customHeight="1">
      <c r="A216" s="1"/>
      <c r="B216" s="1"/>
      <c r="C216" s="1"/>
    </row>
    <row r="217" ht="15.75" customHeight="1">
      <c r="A217" s="1"/>
      <c r="B217" s="1"/>
      <c r="C217" s="1"/>
    </row>
    <row r="218" ht="15.75" customHeight="1">
      <c r="A218" s="1"/>
      <c r="B218" s="1"/>
      <c r="C218" s="1"/>
    </row>
    <row r="219" ht="15.75" customHeight="1">
      <c r="A219" s="1"/>
      <c r="B219" s="1"/>
      <c r="C219" s="1"/>
    </row>
    <row r="220" ht="15.75" customHeight="1">
      <c r="A220" s="1"/>
      <c r="B220" s="1"/>
      <c r="C220" s="1"/>
    </row>
    <row r="221" ht="15.75" customHeight="1">
      <c r="A221" s="1"/>
      <c r="B221" s="1"/>
      <c r="C221" s="1"/>
    </row>
    <row r="222" ht="15.75" customHeight="1">
      <c r="A222" s="1"/>
      <c r="B222" s="1"/>
      <c r="C222" s="1"/>
    </row>
    <row r="223" ht="15.75" customHeight="1">
      <c r="A223" s="1"/>
      <c r="B223" s="1"/>
      <c r="C223" s="1"/>
    </row>
    <row r="224" ht="15.75" customHeight="1">
      <c r="A224" s="1"/>
      <c r="B224" s="1"/>
      <c r="C224" s="1"/>
    </row>
    <row r="225" ht="15.75" customHeight="1">
      <c r="A225" s="1"/>
      <c r="B225" s="1"/>
      <c r="C225" s="1"/>
    </row>
    <row r="226" ht="15.75" customHeight="1">
      <c r="A226" s="1"/>
      <c r="B226" s="1"/>
      <c r="C226" s="1"/>
    </row>
    <row r="227" ht="15.75" customHeight="1">
      <c r="A227" s="1"/>
      <c r="B227" s="1"/>
      <c r="C227" s="1"/>
    </row>
    <row r="228" ht="15.75" customHeight="1">
      <c r="A228" s="1"/>
      <c r="B228" s="1"/>
      <c r="C228" s="1"/>
    </row>
    <row r="229" ht="15.75" customHeight="1">
      <c r="A229" s="1"/>
      <c r="B229" s="1"/>
      <c r="C229" s="1"/>
    </row>
    <row r="230" ht="15.75" customHeight="1">
      <c r="A230" s="1"/>
      <c r="B230" s="1"/>
      <c r="C230" s="1"/>
    </row>
    <row r="231" ht="15.75" customHeight="1">
      <c r="A231" s="1"/>
      <c r="B231" s="1"/>
      <c r="C231" s="1"/>
    </row>
    <row r="232" ht="15.75" customHeight="1">
      <c r="A232" s="1"/>
      <c r="B232" s="1"/>
      <c r="C232" s="1"/>
    </row>
    <row r="233" ht="15.75" customHeight="1">
      <c r="A233" s="1"/>
      <c r="B233" s="1"/>
      <c r="C233" s="1"/>
    </row>
    <row r="234" ht="15.75" customHeight="1">
      <c r="A234" s="1"/>
      <c r="B234" s="1"/>
      <c r="C234" s="1"/>
    </row>
    <row r="235" ht="15.75" customHeight="1">
      <c r="A235" s="1"/>
      <c r="B235" s="1"/>
      <c r="C235" s="1"/>
    </row>
    <row r="236" ht="15.75" customHeight="1">
      <c r="A236" s="1"/>
      <c r="B236" s="1"/>
      <c r="C236" s="1"/>
    </row>
    <row r="237" ht="15.75" customHeight="1">
      <c r="A237" s="1"/>
      <c r="B237" s="1"/>
      <c r="C237" s="1"/>
    </row>
    <row r="238" ht="15.75" customHeight="1">
      <c r="A238" s="1"/>
      <c r="B238" s="1"/>
      <c r="C238" s="1"/>
    </row>
    <row r="239" ht="15.75" customHeight="1">
      <c r="A239" s="1"/>
      <c r="B239" s="1"/>
      <c r="C239" s="1"/>
    </row>
    <row r="240" ht="15.75" customHeight="1">
      <c r="A240" s="1"/>
      <c r="B240" s="1"/>
      <c r="C240" s="1"/>
    </row>
    <row r="241" ht="15.75" customHeight="1">
      <c r="A241" s="1"/>
      <c r="B241" s="1"/>
      <c r="C241" s="1"/>
    </row>
    <row r="242" ht="15.75" customHeight="1">
      <c r="A242" s="1"/>
      <c r="B242" s="1"/>
      <c r="C242" s="1"/>
    </row>
    <row r="243" ht="15.75" customHeight="1">
      <c r="A243" s="1"/>
      <c r="B243" s="1"/>
      <c r="C243" s="1"/>
    </row>
    <row r="244" ht="15.75" customHeight="1">
      <c r="A244" s="1"/>
      <c r="B244" s="1"/>
      <c r="C244" s="1"/>
    </row>
    <row r="245" ht="15.75" customHeight="1">
      <c r="A245" s="1"/>
      <c r="B245" s="1"/>
      <c r="C245" s="1"/>
    </row>
    <row r="246" ht="15.75" customHeight="1">
      <c r="A246" s="1"/>
      <c r="B246" s="1"/>
      <c r="C246" s="1"/>
    </row>
    <row r="247" ht="15.75" customHeight="1">
      <c r="A247" s="1"/>
      <c r="B247" s="1"/>
      <c r="C247" s="1"/>
    </row>
    <row r="248" ht="15.75" customHeight="1">
      <c r="A248" s="1"/>
      <c r="B248" s="1"/>
      <c r="C248" s="1"/>
    </row>
    <row r="249" ht="15.75" customHeight="1">
      <c r="A249" s="1"/>
      <c r="B249" s="1"/>
      <c r="C249" s="1"/>
    </row>
    <row r="250" ht="15.75" customHeight="1">
      <c r="A250" s="1"/>
      <c r="B250" s="1"/>
      <c r="C250" s="1"/>
    </row>
    <row r="251" ht="15.75" customHeight="1">
      <c r="A251" s="1"/>
      <c r="B251" s="1"/>
      <c r="C251" s="1"/>
    </row>
    <row r="252" ht="15.75" customHeight="1">
      <c r="A252" s="1"/>
      <c r="B252" s="1"/>
      <c r="C252" s="1"/>
    </row>
    <row r="253" ht="15.75" customHeight="1">
      <c r="A253" s="1"/>
      <c r="B253" s="1"/>
      <c r="C253" s="1"/>
    </row>
    <row r="254" ht="15.75" customHeight="1">
      <c r="A254" s="1"/>
      <c r="B254" s="1"/>
      <c r="C254" s="1"/>
    </row>
    <row r="255" ht="15.75" customHeight="1">
      <c r="A255" s="1"/>
      <c r="B255" s="1"/>
      <c r="C255" s="1"/>
    </row>
    <row r="256" ht="15.75" customHeight="1">
      <c r="A256" s="1"/>
      <c r="B256" s="1"/>
      <c r="C256" s="1"/>
    </row>
    <row r="257" ht="15.75" customHeight="1">
      <c r="A257" s="1"/>
      <c r="B257" s="1"/>
      <c r="C257" s="1"/>
    </row>
    <row r="258" ht="15.75" customHeight="1">
      <c r="A258" s="1"/>
      <c r="B258" s="1"/>
      <c r="C258" s="1"/>
    </row>
    <row r="259" ht="15.75" customHeight="1">
      <c r="A259" s="1"/>
      <c r="B259" s="1"/>
      <c r="C259" s="1"/>
    </row>
    <row r="260" ht="15.75" customHeight="1">
      <c r="A260" s="1"/>
      <c r="B260" s="1"/>
      <c r="C260" s="1"/>
    </row>
    <row r="261" ht="15.75" customHeight="1">
      <c r="A261" s="1"/>
      <c r="B261" s="1"/>
      <c r="C261" s="1"/>
    </row>
    <row r="262" ht="15.75" customHeight="1">
      <c r="A262" s="1"/>
      <c r="B262" s="1"/>
      <c r="C262" s="1"/>
    </row>
    <row r="263" ht="15.75" customHeight="1">
      <c r="A263" s="1"/>
      <c r="B263" s="1"/>
      <c r="C263" s="1"/>
    </row>
    <row r="264" ht="15.75" customHeight="1">
      <c r="A264" s="1"/>
      <c r="B264" s="1"/>
      <c r="C264" s="1"/>
    </row>
    <row r="265" ht="15.75" customHeight="1">
      <c r="A265" s="1"/>
      <c r="B265" s="1"/>
      <c r="C265" s="1"/>
    </row>
    <row r="266" ht="15.75" customHeight="1">
      <c r="A266" s="1"/>
      <c r="B266" s="1"/>
      <c r="C266" s="1"/>
    </row>
    <row r="267" ht="15.75" customHeight="1">
      <c r="A267" s="1"/>
      <c r="B267" s="1"/>
      <c r="C267" s="1"/>
    </row>
    <row r="268" ht="15.75" customHeight="1">
      <c r="A268" s="1"/>
      <c r="B268" s="1"/>
      <c r="C268" s="1"/>
    </row>
    <row r="269" ht="15.75" customHeight="1">
      <c r="A269" s="1"/>
      <c r="B269" s="1"/>
      <c r="C269" s="1"/>
    </row>
    <row r="270" ht="15.75" customHeight="1">
      <c r="A270" s="1"/>
      <c r="B270" s="1"/>
      <c r="C270" s="1"/>
    </row>
    <row r="271" ht="15.75" customHeight="1">
      <c r="A271" s="1"/>
      <c r="B271" s="1"/>
      <c r="C271" s="1"/>
    </row>
    <row r="272" ht="15.75" customHeight="1">
      <c r="A272" s="1"/>
      <c r="B272" s="1"/>
      <c r="C272" s="1"/>
    </row>
    <row r="273" ht="15.75" customHeight="1">
      <c r="A273" s="1"/>
      <c r="B273" s="1"/>
      <c r="C273" s="1"/>
    </row>
    <row r="274" ht="15.75" customHeight="1">
      <c r="A274" s="1"/>
      <c r="B274" s="1"/>
      <c r="C274" s="1"/>
    </row>
    <row r="275" ht="15.75" customHeight="1">
      <c r="A275" s="1"/>
      <c r="B275" s="1"/>
      <c r="C275" s="1"/>
    </row>
    <row r="276" ht="15.75" customHeight="1">
      <c r="A276" s="1"/>
      <c r="B276" s="1"/>
      <c r="C276" s="1"/>
    </row>
    <row r="277" ht="15.75" customHeight="1">
      <c r="A277" s="1"/>
      <c r="B277" s="1"/>
      <c r="C277" s="1"/>
    </row>
    <row r="278" ht="15.75" customHeight="1">
      <c r="A278" s="1"/>
      <c r="B278" s="1"/>
      <c r="C278" s="1"/>
    </row>
    <row r="279" ht="15.75" customHeight="1">
      <c r="A279" s="1"/>
      <c r="B279" s="1"/>
      <c r="C279" s="1"/>
    </row>
    <row r="280" ht="15.75" customHeight="1">
      <c r="A280" s="1"/>
      <c r="B280" s="1"/>
      <c r="C280" s="1"/>
    </row>
    <row r="281" ht="15.75" customHeight="1">
      <c r="A281" s="1"/>
      <c r="B281" s="1"/>
      <c r="C281" s="1"/>
    </row>
    <row r="282" ht="15.75" customHeight="1">
      <c r="A282" s="1"/>
      <c r="B282" s="1"/>
      <c r="C282" s="1"/>
    </row>
    <row r="283" ht="15.75" customHeight="1">
      <c r="A283" s="1"/>
      <c r="B283" s="1"/>
      <c r="C283" s="1"/>
    </row>
    <row r="284" ht="15.75" customHeight="1">
      <c r="A284" s="1"/>
      <c r="B284" s="1"/>
      <c r="C284" s="1"/>
    </row>
    <row r="285" ht="15.75" customHeight="1">
      <c r="A285" s="1"/>
      <c r="B285" s="1"/>
      <c r="C285" s="1"/>
    </row>
    <row r="286" ht="15.75" customHeight="1">
      <c r="A286" s="1"/>
      <c r="B286" s="1"/>
      <c r="C286" s="1"/>
    </row>
    <row r="287" ht="15.75" customHeight="1">
      <c r="A287" s="1"/>
      <c r="B287" s="1"/>
      <c r="C287" s="1"/>
    </row>
    <row r="288" ht="15.75" customHeight="1">
      <c r="A288" s="1"/>
      <c r="B288" s="1"/>
      <c r="C288" s="1"/>
    </row>
    <row r="289" ht="15.75" customHeight="1">
      <c r="A289" s="1"/>
      <c r="B289" s="1"/>
      <c r="C289" s="1"/>
    </row>
    <row r="290" ht="15.75" customHeight="1">
      <c r="A290" s="1"/>
      <c r="B290" s="1"/>
      <c r="C290" s="1"/>
    </row>
    <row r="291" ht="15.75" customHeight="1">
      <c r="A291" s="1"/>
      <c r="B291" s="1"/>
      <c r="C291" s="1"/>
    </row>
    <row r="292" ht="15.75" customHeight="1">
      <c r="A292" s="1"/>
      <c r="B292" s="1"/>
      <c r="C292" s="1"/>
    </row>
    <row r="293" ht="15.75" customHeight="1">
      <c r="A293" s="1"/>
      <c r="B293" s="1"/>
      <c r="C293" s="1"/>
    </row>
    <row r="294" ht="15.75" customHeight="1">
      <c r="A294" s="1"/>
      <c r="B294" s="1"/>
      <c r="C294" s="1"/>
    </row>
    <row r="295" ht="15.75" customHeight="1">
      <c r="A295" s="1"/>
      <c r="B295" s="1"/>
      <c r="C295" s="1"/>
    </row>
    <row r="296" ht="15.75" customHeight="1">
      <c r="A296" s="1"/>
      <c r="B296" s="1"/>
      <c r="C296" s="1"/>
    </row>
    <row r="297" ht="15.75" customHeight="1">
      <c r="A297" s="1"/>
      <c r="B297" s="1"/>
      <c r="C297" s="1"/>
    </row>
    <row r="298" ht="15.75" customHeight="1">
      <c r="A298" s="1"/>
      <c r="B298" s="1"/>
      <c r="C298" s="1"/>
    </row>
    <row r="299" ht="15.75" customHeight="1">
      <c r="A299" s="1"/>
      <c r="B299" s="1"/>
      <c r="C299" s="1"/>
    </row>
    <row r="300" ht="15.75" customHeight="1">
      <c r="A300" s="1"/>
      <c r="B300" s="1"/>
      <c r="C300" s="1"/>
    </row>
    <row r="301" ht="15.75" customHeight="1">
      <c r="A301" s="1"/>
      <c r="B301" s="1"/>
      <c r="C301" s="1"/>
    </row>
    <row r="302" ht="15.75" customHeight="1">
      <c r="A302" s="1"/>
      <c r="B302" s="1"/>
      <c r="C302" s="1"/>
    </row>
    <row r="303" ht="15.75" customHeight="1">
      <c r="A303" s="1"/>
      <c r="B303" s="1"/>
      <c r="C303" s="1"/>
    </row>
    <row r="304" ht="15.75" customHeight="1">
      <c r="A304" s="1"/>
      <c r="B304" s="1"/>
      <c r="C304" s="1"/>
    </row>
    <row r="305" ht="15.75" customHeight="1">
      <c r="A305" s="1"/>
      <c r="B305" s="1"/>
      <c r="C305" s="1"/>
    </row>
    <row r="306" ht="15.75" customHeight="1">
      <c r="A306" s="1"/>
      <c r="B306" s="1"/>
      <c r="C306" s="1"/>
    </row>
    <row r="307" ht="15.75" customHeight="1">
      <c r="A307" s="1"/>
      <c r="B307" s="1"/>
      <c r="C307" s="1"/>
    </row>
    <row r="308" ht="15.75" customHeight="1">
      <c r="A308" s="1"/>
      <c r="B308" s="1"/>
      <c r="C308" s="1"/>
    </row>
    <row r="309" ht="15.75" customHeight="1">
      <c r="A309" s="1"/>
      <c r="B309" s="1"/>
      <c r="C309" s="1"/>
    </row>
    <row r="310" ht="15.75" customHeight="1">
      <c r="A310" s="1"/>
      <c r="B310" s="1"/>
      <c r="C310" s="1"/>
    </row>
    <row r="311" ht="15.75" customHeight="1">
      <c r="A311" s="1"/>
      <c r="B311" s="1"/>
      <c r="C311" s="1"/>
    </row>
    <row r="312" ht="15.75" customHeight="1">
      <c r="A312" s="1"/>
      <c r="B312" s="1"/>
      <c r="C312" s="1"/>
    </row>
    <row r="313" ht="15.75" customHeight="1">
      <c r="A313" s="1"/>
      <c r="B313" s="1"/>
      <c r="C313" s="1"/>
    </row>
    <row r="314" ht="15.75" customHeight="1">
      <c r="A314" s="1"/>
      <c r="B314" s="1"/>
      <c r="C314" s="1"/>
    </row>
    <row r="315" ht="15.75" customHeight="1">
      <c r="A315" s="1"/>
      <c r="B315" s="1"/>
      <c r="C315" s="1"/>
    </row>
    <row r="316" ht="15.75" customHeight="1">
      <c r="A316" s="1"/>
      <c r="B316" s="1"/>
      <c r="C316" s="1"/>
    </row>
    <row r="317" ht="15.75" customHeight="1">
      <c r="A317" s="1"/>
      <c r="B317" s="1"/>
      <c r="C317" s="1"/>
    </row>
    <row r="318" ht="15.75" customHeight="1">
      <c r="A318" s="1"/>
      <c r="B318" s="1"/>
      <c r="C318" s="1"/>
    </row>
    <row r="319" ht="15.75" customHeight="1">
      <c r="A319" s="1"/>
      <c r="B319" s="1"/>
      <c r="C319" s="1"/>
    </row>
    <row r="320" ht="15.75" customHeight="1">
      <c r="A320" s="1"/>
      <c r="B320" s="1"/>
      <c r="C320" s="1"/>
    </row>
    <row r="321" ht="15.75" customHeight="1">
      <c r="A321" s="1"/>
      <c r="B321" s="1"/>
      <c r="C321" s="1"/>
    </row>
    <row r="322" ht="15.75" customHeight="1">
      <c r="A322" s="1"/>
      <c r="B322" s="1"/>
      <c r="C322" s="1"/>
    </row>
    <row r="323" ht="15.75" customHeight="1">
      <c r="A323" s="1"/>
      <c r="B323" s="1"/>
      <c r="C323" s="1"/>
    </row>
    <row r="324" ht="15.75" customHeight="1">
      <c r="A324" s="1"/>
      <c r="B324" s="1"/>
      <c r="C324" s="1"/>
    </row>
    <row r="325" ht="15.75" customHeight="1">
      <c r="A325" s="1"/>
      <c r="B325" s="1"/>
      <c r="C325" s="1"/>
    </row>
    <row r="326" ht="15.75" customHeight="1">
      <c r="A326" s="1"/>
      <c r="B326" s="1"/>
      <c r="C326" s="1"/>
    </row>
    <row r="327" ht="15.75" customHeight="1">
      <c r="A327" s="1"/>
      <c r="B327" s="1"/>
      <c r="C327" s="1"/>
    </row>
    <row r="328" ht="15.75" customHeight="1">
      <c r="A328" s="1"/>
      <c r="B328" s="1"/>
      <c r="C328" s="1"/>
    </row>
    <row r="329" ht="15.75" customHeight="1">
      <c r="A329" s="1"/>
      <c r="B329" s="1"/>
      <c r="C329" s="1"/>
    </row>
    <row r="330" ht="15.75" customHeight="1">
      <c r="A330" s="1"/>
      <c r="B330" s="1"/>
      <c r="C330" s="1"/>
    </row>
    <row r="331" ht="15.75" customHeight="1">
      <c r="A331" s="1"/>
      <c r="B331" s="1"/>
      <c r="C331" s="1"/>
    </row>
    <row r="332" ht="15.75" customHeight="1">
      <c r="A332" s="1"/>
      <c r="B332" s="1"/>
      <c r="C332" s="1"/>
    </row>
    <row r="333" ht="15.75" customHeight="1">
      <c r="A333" s="1"/>
      <c r="B333" s="1"/>
      <c r="C333" s="1"/>
    </row>
    <row r="334" ht="15.75" customHeight="1">
      <c r="A334" s="1"/>
      <c r="B334" s="1"/>
      <c r="C334" s="1"/>
    </row>
    <row r="335" ht="15.75" customHeight="1">
      <c r="A335" s="1"/>
      <c r="B335" s="1"/>
      <c r="C335" s="1"/>
    </row>
    <row r="336" ht="15.75" customHeight="1">
      <c r="A336" s="1"/>
      <c r="B336" s="1"/>
      <c r="C336" s="1"/>
    </row>
    <row r="337" ht="15.75" customHeight="1">
      <c r="A337" s="1"/>
      <c r="B337" s="1"/>
      <c r="C337" s="1"/>
    </row>
    <row r="338" ht="15.75" customHeight="1">
      <c r="A338" s="1"/>
      <c r="B338" s="1"/>
      <c r="C338" s="1"/>
    </row>
    <row r="339" ht="15.75" customHeight="1">
      <c r="A339" s="1"/>
      <c r="B339" s="1"/>
      <c r="C339" s="1"/>
    </row>
    <row r="340" ht="15.75" customHeight="1">
      <c r="A340" s="1"/>
      <c r="B340" s="1"/>
      <c r="C340" s="1"/>
    </row>
    <row r="341" ht="15.75" customHeight="1">
      <c r="A341" s="1"/>
      <c r="B341" s="1"/>
      <c r="C341" s="1"/>
    </row>
    <row r="342" ht="15.75" customHeight="1">
      <c r="A342" s="1"/>
      <c r="B342" s="1"/>
      <c r="C342" s="1"/>
    </row>
    <row r="343" ht="15.75" customHeight="1">
      <c r="A343" s="1"/>
      <c r="B343" s="1"/>
      <c r="C343" s="1"/>
    </row>
    <row r="344" ht="15.75" customHeight="1">
      <c r="A344" s="1"/>
      <c r="B344" s="1"/>
      <c r="C344" s="1"/>
    </row>
    <row r="345" ht="15.75" customHeight="1">
      <c r="A345" s="1"/>
      <c r="B345" s="1"/>
      <c r="C345" s="1"/>
    </row>
    <row r="346" ht="15.75" customHeight="1">
      <c r="A346" s="1"/>
      <c r="B346" s="1"/>
      <c r="C346" s="1"/>
    </row>
    <row r="347" ht="15.75" customHeight="1">
      <c r="A347" s="1"/>
      <c r="B347" s="1"/>
      <c r="C347" s="1"/>
    </row>
    <row r="348" ht="15.75" customHeight="1">
      <c r="A348" s="1"/>
      <c r="B348" s="1"/>
      <c r="C348" s="1"/>
    </row>
    <row r="349" ht="15.75" customHeight="1">
      <c r="A349" s="1"/>
      <c r="B349" s="1"/>
      <c r="C349" s="1"/>
    </row>
    <row r="350" ht="15.75" customHeight="1">
      <c r="A350" s="1"/>
      <c r="B350" s="1"/>
      <c r="C350" s="1"/>
    </row>
    <row r="351" ht="15.75" customHeight="1">
      <c r="A351" s="1"/>
      <c r="B351" s="1"/>
      <c r="C351" s="1"/>
    </row>
    <row r="352" ht="15.75" customHeight="1">
      <c r="A352" s="1"/>
      <c r="B352" s="1"/>
      <c r="C352" s="1"/>
    </row>
    <row r="353" ht="15.75" customHeight="1">
      <c r="A353" s="1"/>
      <c r="B353" s="1"/>
      <c r="C353" s="1"/>
    </row>
    <row r="354" ht="15.75" customHeight="1">
      <c r="A354" s="1"/>
      <c r="B354" s="1"/>
      <c r="C354" s="1"/>
    </row>
    <row r="355" ht="15.75" customHeight="1">
      <c r="A355" s="1"/>
      <c r="B355" s="1"/>
      <c r="C355" s="1"/>
    </row>
    <row r="356" ht="15.75" customHeight="1">
      <c r="A356" s="1"/>
      <c r="B356" s="1"/>
      <c r="C356" s="1"/>
    </row>
    <row r="357" ht="15.75" customHeight="1">
      <c r="A357" s="1"/>
      <c r="B357" s="1"/>
      <c r="C357" s="1"/>
    </row>
    <row r="358" ht="15.75" customHeight="1">
      <c r="A358" s="1"/>
      <c r="B358" s="1"/>
      <c r="C358" s="1"/>
    </row>
    <row r="359" ht="15.75" customHeight="1">
      <c r="A359" s="1"/>
      <c r="B359" s="1"/>
      <c r="C359" s="1"/>
    </row>
    <row r="360" ht="15.75" customHeight="1">
      <c r="A360" s="1"/>
      <c r="B360" s="1"/>
      <c r="C360" s="1"/>
    </row>
    <row r="361" ht="15.75" customHeight="1">
      <c r="A361" s="1"/>
      <c r="B361" s="1"/>
      <c r="C361" s="1"/>
    </row>
    <row r="362" ht="15.75" customHeight="1">
      <c r="A362" s="1"/>
      <c r="B362" s="1"/>
      <c r="C362" s="1"/>
    </row>
    <row r="363" ht="15.75" customHeight="1">
      <c r="A363" s="1"/>
      <c r="B363" s="1"/>
      <c r="C363" s="1"/>
    </row>
    <row r="364" ht="15.75" customHeight="1">
      <c r="A364" s="1"/>
      <c r="B364" s="1"/>
      <c r="C364" s="1"/>
    </row>
    <row r="365" ht="15.75" customHeight="1">
      <c r="A365" s="1"/>
      <c r="B365" s="1"/>
      <c r="C365" s="1"/>
    </row>
    <row r="366" ht="15.75" customHeight="1">
      <c r="A366" s="1"/>
      <c r="B366" s="1"/>
      <c r="C366" s="1"/>
    </row>
    <row r="367" ht="15.75" customHeight="1">
      <c r="A367" s="1"/>
      <c r="B367" s="1"/>
      <c r="C367" s="1"/>
    </row>
    <row r="368" ht="15.75" customHeight="1">
      <c r="A368" s="1"/>
      <c r="B368" s="1"/>
      <c r="C368" s="1"/>
    </row>
    <row r="369" ht="15.75" customHeight="1">
      <c r="A369" s="1"/>
      <c r="B369" s="1"/>
      <c r="C369" s="1"/>
    </row>
    <row r="370" ht="15.75" customHeight="1">
      <c r="A370" s="1"/>
      <c r="B370" s="1"/>
      <c r="C370" s="1"/>
    </row>
    <row r="371" ht="15.75" customHeight="1">
      <c r="A371" s="1"/>
      <c r="B371" s="1"/>
      <c r="C371" s="1"/>
    </row>
    <row r="372" ht="15.75" customHeight="1">
      <c r="A372" s="1"/>
      <c r="B372" s="1"/>
      <c r="C372" s="1"/>
    </row>
    <row r="373" ht="15.75" customHeight="1">
      <c r="A373" s="1"/>
      <c r="B373" s="1"/>
      <c r="C373" s="1"/>
    </row>
    <row r="374" ht="15.75" customHeight="1">
      <c r="A374" s="1"/>
      <c r="B374" s="1"/>
      <c r="C374" s="1"/>
    </row>
    <row r="375" ht="15.75" customHeight="1">
      <c r="A375" s="1"/>
      <c r="B375" s="1"/>
      <c r="C375" s="1"/>
    </row>
    <row r="376" ht="15.75" customHeight="1">
      <c r="A376" s="1"/>
      <c r="B376" s="1"/>
      <c r="C376" s="1"/>
    </row>
    <row r="377" ht="15.75" customHeight="1">
      <c r="A377" s="1"/>
      <c r="B377" s="1"/>
      <c r="C377" s="1"/>
    </row>
    <row r="378" ht="15.75" customHeight="1">
      <c r="A378" s="1"/>
      <c r="B378" s="1"/>
      <c r="C378" s="1"/>
    </row>
    <row r="379" ht="15.75" customHeight="1">
      <c r="A379" s="1"/>
      <c r="B379" s="1"/>
      <c r="C379" s="1"/>
    </row>
    <row r="380" ht="15.75" customHeight="1">
      <c r="A380" s="1"/>
      <c r="B380" s="1"/>
      <c r="C380" s="1"/>
    </row>
    <row r="381" ht="15.75" customHeight="1">
      <c r="A381" s="1"/>
      <c r="B381" s="1"/>
      <c r="C381" s="1"/>
    </row>
    <row r="382" ht="15.75" customHeight="1">
      <c r="A382" s="1"/>
      <c r="B382" s="1"/>
      <c r="C382" s="1"/>
    </row>
    <row r="383" ht="15.75" customHeight="1">
      <c r="A383" s="1"/>
      <c r="B383" s="1"/>
      <c r="C383" s="1"/>
    </row>
    <row r="384" ht="15.75" customHeight="1">
      <c r="A384" s="1"/>
      <c r="B384" s="1"/>
      <c r="C384" s="1"/>
    </row>
    <row r="385" ht="15.75" customHeight="1">
      <c r="A385" s="1"/>
      <c r="B385" s="1"/>
      <c r="C385" s="1"/>
    </row>
    <row r="386" ht="15.75" customHeight="1">
      <c r="A386" s="1"/>
      <c r="B386" s="1"/>
      <c r="C386" s="1"/>
    </row>
    <row r="387" ht="15.75" customHeight="1">
      <c r="A387" s="1"/>
      <c r="B387" s="1"/>
      <c r="C387" s="1"/>
    </row>
    <row r="388" ht="15.75" customHeight="1">
      <c r="A388" s="1"/>
      <c r="B388" s="1"/>
      <c r="C388" s="1"/>
    </row>
    <row r="389" ht="15.75" customHeight="1">
      <c r="A389" s="1"/>
      <c r="B389" s="1"/>
      <c r="C389" s="1"/>
    </row>
    <row r="390" ht="15.75" customHeight="1">
      <c r="A390" s="1"/>
      <c r="B390" s="1"/>
      <c r="C390" s="1"/>
    </row>
    <row r="391" ht="15.75" customHeight="1">
      <c r="A391" s="1"/>
      <c r="B391" s="1"/>
      <c r="C391" s="1"/>
    </row>
    <row r="392" ht="15.75" customHeight="1">
      <c r="A392" s="1"/>
      <c r="B392" s="1"/>
      <c r="C392" s="1"/>
    </row>
    <row r="393" ht="15.75" customHeight="1">
      <c r="A393" s="1"/>
      <c r="B393" s="1"/>
      <c r="C393" s="1"/>
    </row>
    <row r="394" ht="15.75" customHeight="1">
      <c r="A394" s="1"/>
      <c r="B394" s="1"/>
      <c r="C394" s="1"/>
    </row>
    <row r="395" ht="15.75" customHeight="1">
      <c r="A395" s="1"/>
      <c r="B395" s="1"/>
      <c r="C395" s="1"/>
    </row>
    <row r="396" ht="15.75" customHeight="1">
      <c r="A396" s="1"/>
      <c r="B396" s="1"/>
      <c r="C396" s="1"/>
    </row>
    <row r="397" ht="15.75" customHeight="1">
      <c r="A397" s="1"/>
      <c r="B397" s="1"/>
      <c r="C397" s="1"/>
    </row>
    <row r="398" ht="15.75" customHeight="1">
      <c r="A398" s="1"/>
      <c r="B398" s="1"/>
      <c r="C398" s="1"/>
    </row>
    <row r="399" ht="15.75" customHeight="1">
      <c r="A399" s="1"/>
      <c r="B399" s="1"/>
      <c r="C399" s="1"/>
    </row>
    <row r="400" ht="15.75" customHeight="1">
      <c r="A400" s="1"/>
      <c r="B400" s="1"/>
      <c r="C400" s="1"/>
    </row>
    <row r="401" ht="15.75" customHeight="1">
      <c r="A401" s="1"/>
      <c r="B401" s="1"/>
      <c r="C401" s="1"/>
    </row>
    <row r="402" ht="15.75" customHeight="1">
      <c r="A402" s="1"/>
      <c r="B402" s="1"/>
      <c r="C402" s="1"/>
    </row>
    <row r="403" ht="15.75" customHeight="1">
      <c r="A403" s="1"/>
      <c r="B403" s="1"/>
      <c r="C403" s="1"/>
    </row>
    <row r="404" ht="15.75" customHeight="1">
      <c r="A404" s="1"/>
      <c r="B404" s="1"/>
      <c r="C404" s="1"/>
    </row>
    <row r="405" ht="15.75" customHeight="1">
      <c r="A405" s="1"/>
      <c r="B405" s="1"/>
      <c r="C405" s="1"/>
    </row>
    <row r="406" ht="15.75" customHeight="1">
      <c r="A406" s="1"/>
      <c r="B406" s="1"/>
      <c r="C406" s="1"/>
    </row>
    <row r="407" ht="15.75" customHeight="1">
      <c r="A407" s="1"/>
      <c r="B407" s="1"/>
      <c r="C407" s="1"/>
    </row>
    <row r="408" ht="15.75" customHeight="1">
      <c r="A408" s="1"/>
      <c r="B408" s="1"/>
      <c r="C408" s="1"/>
    </row>
    <row r="409" ht="15.75" customHeight="1">
      <c r="A409" s="1"/>
      <c r="B409" s="1"/>
      <c r="C409" s="1"/>
    </row>
    <row r="410" ht="15.75" customHeight="1">
      <c r="A410" s="1"/>
      <c r="B410" s="1"/>
      <c r="C410" s="1"/>
    </row>
    <row r="411" ht="15.75" customHeight="1">
      <c r="A411" s="1"/>
      <c r="B411" s="1"/>
      <c r="C411" s="1"/>
    </row>
    <row r="412" ht="15.75" customHeight="1">
      <c r="A412" s="1"/>
      <c r="B412" s="1"/>
      <c r="C412" s="1"/>
    </row>
    <row r="413" ht="15.75" customHeight="1">
      <c r="A413" s="1"/>
      <c r="B413" s="1"/>
      <c r="C413" s="1"/>
    </row>
    <row r="414" ht="15.75" customHeight="1">
      <c r="A414" s="1"/>
      <c r="B414" s="1"/>
      <c r="C414" s="1"/>
    </row>
    <row r="415" ht="15.75" customHeight="1">
      <c r="A415" s="1"/>
      <c r="B415" s="1"/>
      <c r="C415" s="1"/>
    </row>
    <row r="416" ht="15.75" customHeight="1">
      <c r="A416" s="1"/>
      <c r="B416" s="1"/>
      <c r="C416" s="1"/>
    </row>
    <row r="417" ht="15.75" customHeight="1">
      <c r="A417" s="1"/>
      <c r="B417" s="1"/>
      <c r="C417" s="1"/>
    </row>
    <row r="418" ht="15.75" customHeight="1">
      <c r="A418" s="1"/>
      <c r="B418" s="1"/>
      <c r="C418" s="1"/>
    </row>
    <row r="419" ht="15.75" customHeight="1">
      <c r="A419" s="1"/>
      <c r="B419" s="1"/>
      <c r="C419" s="1"/>
    </row>
    <row r="420" ht="15.75" customHeight="1">
      <c r="A420" s="1"/>
      <c r="B420" s="1"/>
      <c r="C420" s="1"/>
    </row>
    <row r="421" ht="15.75" customHeight="1">
      <c r="A421" s="1"/>
      <c r="B421" s="1"/>
      <c r="C421" s="1"/>
    </row>
    <row r="422" ht="15.75" customHeight="1">
      <c r="A422" s="1"/>
      <c r="B422" s="1"/>
      <c r="C422" s="1"/>
    </row>
    <row r="423" ht="15.75" customHeight="1">
      <c r="A423" s="1"/>
      <c r="B423" s="1"/>
      <c r="C423" s="1"/>
    </row>
    <row r="424" ht="15.75" customHeight="1">
      <c r="A424" s="1"/>
      <c r="B424" s="1"/>
      <c r="C424" s="1"/>
    </row>
    <row r="425" ht="15.75" customHeight="1">
      <c r="A425" s="1"/>
      <c r="B425" s="1"/>
      <c r="C425" s="1"/>
    </row>
    <row r="426" ht="15.75" customHeight="1">
      <c r="A426" s="1"/>
      <c r="B426" s="1"/>
      <c r="C426" s="1"/>
    </row>
    <row r="427" ht="15.75" customHeight="1">
      <c r="A427" s="1"/>
      <c r="B427" s="1"/>
      <c r="C427" s="1"/>
    </row>
    <row r="428" ht="15.75" customHeight="1">
      <c r="A428" s="1"/>
      <c r="B428" s="1"/>
      <c r="C428" s="1"/>
    </row>
    <row r="429" ht="15.75" customHeight="1">
      <c r="A429" s="1"/>
      <c r="B429" s="1"/>
      <c r="C429" s="1"/>
    </row>
    <row r="430" ht="15.75" customHeight="1">
      <c r="A430" s="1"/>
      <c r="B430" s="1"/>
      <c r="C430" s="1"/>
    </row>
    <row r="431" ht="15.75" customHeight="1">
      <c r="A431" s="1"/>
      <c r="B431" s="1"/>
      <c r="C431" s="1"/>
    </row>
    <row r="432" ht="15.75" customHeight="1">
      <c r="A432" s="1"/>
      <c r="B432" s="1"/>
      <c r="C432" s="1"/>
    </row>
    <row r="433" ht="15.75" customHeight="1">
      <c r="A433" s="1"/>
      <c r="B433" s="1"/>
      <c r="C433" s="1"/>
    </row>
    <row r="434" ht="15.75" customHeight="1">
      <c r="A434" s="1"/>
      <c r="B434" s="1"/>
      <c r="C434" s="1"/>
    </row>
    <row r="435" ht="15.75" customHeight="1">
      <c r="A435" s="1"/>
      <c r="B435" s="1"/>
      <c r="C435" s="1"/>
    </row>
    <row r="436" ht="15.75" customHeight="1">
      <c r="A436" s="1"/>
      <c r="B436" s="1"/>
      <c r="C436" s="1"/>
    </row>
    <row r="437" ht="15.75" customHeight="1">
      <c r="A437" s="1"/>
      <c r="B437" s="1"/>
      <c r="C437" s="1"/>
    </row>
    <row r="438" ht="15.75" customHeight="1">
      <c r="A438" s="1"/>
      <c r="B438" s="1"/>
      <c r="C438" s="1"/>
    </row>
    <row r="439" ht="15.75" customHeight="1">
      <c r="A439" s="1"/>
      <c r="B439" s="1"/>
      <c r="C439" s="1"/>
    </row>
    <row r="440" ht="15.75" customHeight="1">
      <c r="A440" s="1"/>
      <c r="B440" s="1"/>
      <c r="C440" s="1"/>
    </row>
    <row r="441" ht="15.75" customHeight="1">
      <c r="A441" s="1"/>
      <c r="B441" s="1"/>
      <c r="C441" s="1"/>
    </row>
    <row r="442" ht="15.75" customHeight="1">
      <c r="A442" s="1"/>
      <c r="B442" s="1"/>
      <c r="C442" s="1"/>
    </row>
    <row r="443" ht="15.75" customHeight="1">
      <c r="A443" s="1"/>
      <c r="B443" s="1"/>
      <c r="C443" s="1"/>
    </row>
    <row r="444" ht="15.75" customHeight="1">
      <c r="A444" s="1"/>
      <c r="B444" s="1"/>
      <c r="C444" s="1"/>
    </row>
    <row r="445" ht="15.75" customHeight="1">
      <c r="A445" s="1"/>
      <c r="B445" s="1"/>
      <c r="C445" s="1"/>
    </row>
    <row r="446" ht="15.75" customHeight="1">
      <c r="A446" s="1"/>
      <c r="B446" s="1"/>
      <c r="C446" s="1"/>
    </row>
    <row r="447" ht="15.75" customHeight="1">
      <c r="A447" s="1"/>
      <c r="B447" s="1"/>
      <c r="C447" s="1"/>
    </row>
    <row r="448" ht="15.75" customHeight="1">
      <c r="A448" s="1"/>
      <c r="B448" s="1"/>
      <c r="C448" s="1"/>
    </row>
    <row r="449" ht="15.75" customHeight="1">
      <c r="A449" s="1"/>
      <c r="B449" s="1"/>
      <c r="C449" s="1"/>
    </row>
    <row r="450" ht="15.75" customHeight="1">
      <c r="A450" s="1"/>
      <c r="B450" s="1"/>
      <c r="C450" s="1"/>
    </row>
    <row r="451" ht="15.75" customHeight="1">
      <c r="A451" s="1"/>
      <c r="B451" s="1"/>
      <c r="C451" s="1"/>
    </row>
    <row r="452" ht="15.75" customHeight="1">
      <c r="A452" s="1"/>
      <c r="B452" s="1"/>
      <c r="C452" s="1"/>
    </row>
    <row r="453" ht="15.75" customHeight="1">
      <c r="A453" s="1"/>
      <c r="B453" s="1"/>
      <c r="C453" s="1"/>
    </row>
    <row r="454" ht="15.75" customHeight="1">
      <c r="A454" s="1"/>
      <c r="B454" s="1"/>
      <c r="C454" s="1"/>
    </row>
    <row r="455" ht="15.75" customHeight="1">
      <c r="A455" s="1"/>
      <c r="B455" s="1"/>
      <c r="C455" s="1"/>
    </row>
    <row r="456" ht="15.75" customHeight="1">
      <c r="A456" s="1"/>
      <c r="B456" s="1"/>
      <c r="C456" s="1"/>
    </row>
    <row r="457" ht="15.75" customHeight="1">
      <c r="A457" s="1"/>
      <c r="B457" s="1"/>
      <c r="C457" s="1"/>
    </row>
    <row r="458" ht="15.75" customHeight="1">
      <c r="A458" s="1"/>
      <c r="B458" s="1"/>
      <c r="C458" s="1"/>
    </row>
    <row r="459" ht="15.75" customHeight="1">
      <c r="A459" s="1"/>
      <c r="B459" s="1"/>
      <c r="C459" s="1"/>
    </row>
    <row r="460" ht="15.75" customHeight="1">
      <c r="A460" s="1"/>
      <c r="B460" s="1"/>
      <c r="C460" s="1"/>
    </row>
    <row r="461" ht="15.75" customHeight="1">
      <c r="A461" s="1"/>
      <c r="B461" s="1"/>
      <c r="C461" s="1"/>
    </row>
    <row r="462" ht="15.75" customHeight="1">
      <c r="A462" s="1"/>
      <c r="B462" s="1"/>
      <c r="C462" s="1"/>
    </row>
    <row r="463" ht="15.75" customHeight="1">
      <c r="A463" s="1"/>
      <c r="B463" s="1"/>
      <c r="C463" s="1"/>
    </row>
    <row r="464" ht="15.75" customHeight="1">
      <c r="A464" s="1"/>
      <c r="B464" s="1"/>
      <c r="C464" s="1"/>
    </row>
    <row r="465" ht="15.75" customHeight="1">
      <c r="A465" s="1"/>
      <c r="B465" s="1"/>
      <c r="C465" s="1"/>
    </row>
    <row r="466" ht="15.75" customHeight="1">
      <c r="A466" s="1"/>
      <c r="B466" s="1"/>
      <c r="C466" s="1"/>
    </row>
    <row r="467" ht="15.75" customHeight="1">
      <c r="A467" s="1"/>
      <c r="B467" s="1"/>
      <c r="C467" s="1"/>
    </row>
    <row r="468" ht="15.75" customHeight="1">
      <c r="A468" s="1"/>
      <c r="B468" s="1"/>
      <c r="C468" s="1"/>
    </row>
    <row r="469" ht="15.75" customHeight="1">
      <c r="A469" s="1"/>
      <c r="B469" s="1"/>
      <c r="C469" s="1"/>
    </row>
    <row r="470" ht="15.75" customHeight="1">
      <c r="A470" s="1"/>
      <c r="B470" s="1"/>
      <c r="C470" s="1"/>
    </row>
    <row r="471" ht="15.75" customHeight="1">
      <c r="A471" s="1"/>
      <c r="B471" s="1"/>
      <c r="C471" s="1"/>
    </row>
    <row r="472" ht="15.75" customHeight="1">
      <c r="A472" s="1"/>
      <c r="B472" s="1"/>
      <c r="C472" s="1"/>
    </row>
    <row r="473" ht="15.75" customHeight="1">
      <c r="A473" s="1"/>
      <c r="B473" s="1"/>
      <c r="C473" s="1"/>
    </row>
    <row r="474" ht="15.75" customHeight="1">
      <c r="A474" s="1"/>
      <c r="B474" s="1"/>
      <c r="C474" s="1"/>
    </row>
    <row r="475" ht="15.75" customHeight="1">
      <c r="A475" s="1"/>
      <c r="B475" s="1"/>
      <c r="C475" s="1"/>
    </row>
    <row r="476" ht="15.75" customHeight="1">
      <c r="A476" s="1"/>
      <c r="B476" s="1"/>
      <c r="C476" s="1"/>
    </row>
    <row r="477" ht="15.75" customHeight="1">
      <c r="A477" s="1"/>
      <c r="B477" s="1"/>
      <c r="C477" s="1"/>
    </row>
    <row r="478" ht="15.75" customHeight="1">
      <c r="A478" s="1"/>
      <c r="B478" s="1"/>
      <c r="C478" s="1"/>
    </row>
    <row r="479" ht="15.75" customHeight="1">
      <c r="A479" s="1"/>
      <c r="B479" s="1"/>
      <c r="C479" s="1"/>
    </row>
    <row r="480" ht="15.75" customHeight="1">
      <c r="A480" s="1"/>
      <c r="B480" s="1"/>
      <c r="C480" s="1"/>
    </row>
    <row r="481" ht="15.75" customHeight="1">
      <c r="A481" s="1"/>
      <c r="B481" s="1"/>
      <c r="C481" s="1"/>
    </row>
    <row r="482" ht="15.75" customHeight="1">
      <c r="A482" s="1"/>
      <c r="B482" s="1"/>
      <c r="C482" s="1"/>
    </row>
    <row r="483" ht="15.75" customHeight="1">
      <c r="A483" s="1"/>
      <c r="B483" s="1"/>
      <c r="C483" s="1"/>
    </row>
    <row r="484" ht="15.75" customHeight="1">
      <c r="A484" s="1"/>
      <c r="B484" s="1"/>
      <c r="C484" s="1"/>
    </row>
    <row r="485" ht="15.75" customHeight="1">
      <c r="A485" s="1"/>
      <c r="B485" s="1"/>
      <c r="C485" s="1"/>
    </row>
    <row r="486" ht="15.75" customHeight="1">
      <c r="A486" s="1"/>
      <c r="B486" s="1"/>
      <c r="C486" s="1"/>
    </row>
    <row r="487" ht="15.75" customHeight="1">
      <c r="A487" s="1"/>
      <c r="B487" s="1"/>
      <c r="C487" s="1"/>
    </row>
    <row r="488" ht="15.75" customHeight="1">
      <c r="A488" s="1"/>
      <c r="B488" s="1"/>
      <c r="C488" s="1"/>
    </row>
    <row r="489" ht="15.75" customHeight="1">
      <c r="A489" s="1"/>
      <c r="B489" s="1"/>
      <c r="C489" s="1"/>
    </row>
    <row r="490" ht="15.75" customHeight="1">
      <c r="A490" s="1"/>
      <c r="B490" s="1"/>
      <c r="C490" s="1"/>
    </row>
    <row r="491" ht="15.75" customHeight="1">
      <c r="A491" s="1"/>
      <c r="B491" s="1"/>
      <c r="C491" s="1"/>
    </row>
    <row r="492" ht="15.75" customHeight="1">
      <c r="A492" s="1"/>
      <c r="B492" s="1"/>
      <c r="C492" s="1"/>
    </row>
    <row r="493" ht="15.75" customHeight="1">
      <c r="A493" s="1"/>
      <c r="B493" s="1"/>
      <c r="C493" s="1"/>
    </row>
    <row r="494" ht="15.75" customHeight="1">
      <c r="A494" s="1"/>
      <c r="B494" s="1"/>
      <c r="C494" s="1"/>
    </row>
    <row r="495" ht="15.75" customHeight="1">
      <c r="A495" s="1"/>
      <c r="B495" s="1"/>
      <c r="C495" s="1"/>
    </row>
    <row r="496" ht="15.75" customHeight="1">
      <c r="A496" s="1"/>
      <c r="B496" s="1"/>
      <c r="C496" s="1"/>
    </row>
    <row r="497" ht="15.75" customHeight="1">
      <c r="A497" s="1"/>
      <c r="B497" s="1"/>
      <c r="C497" s="1"/>
    </row>
    <row r="498" ht="15.75" customHeight="1">
      <c r="A498" s="1"/>
      <c r="B498" s="1"/>
      <c r="C498" s="1"/>
    </row>
    <row r="499" ht="15.75" customHeight="1">
      <c r="A499" s="1"/>
      <c r="B499" s="1"/>
      <c r="C499" s="1"/>
    </row>
    <row r="500" ht="15.75" customHeight="1">
      <c r="A500" s="1"/>
      <c r="B500" s="1"/>
      <c r="C500" s="1"/>
    </row>
    <row r="501" ht="15.75" customHeight="1">
      <c r="A501" s="1"/>
      <c r="B501" s="1"/>
      <c r="C501" s="1"/>
    </row>
    <row r="502" ht="15.75" customHeight="1">
      <c r="A502" s="1"/>
      <c r="B502" s="1"/>
      <c r="C502" s="1"/>
    </row>
    <row r="503" ht="15.75" customHeight="1">
      <c r="A503" s="1"/>
      <c r="B503" s="1"/>
      <c r="C503" s="1"/>
    </row>
    <row r="504" ht="15.75" customHeight="1">
      <c r="A504" s="1"/>
      <c r="B504" s="1"/>
      <c r="C504" s="1"/>
    </row>
    <row r="505" ht="15.75" customHeight="1">
      <c r="A505" s="1"/>
      <c r="B505" s="1"/>
      <c r="C505" s="1"/>
    </row>
    <row r="506" ht="15.75" customHeight="1">
      <c r="A506" s="1"/>
      <c r="B506" s="1"/>
      <c r="C506" s="1"/>
    </row>
    <row r="507" ht="15.75" customHeight="1">
      <c r="A507" s="1"/>
      <c r="B507" s="1"/>
      <c r="C507" s="1"/>
    </row>
    <row r="508" ht="15.75" customHeight="1">
      <c r="A508" s="1"/>
      <c r="B508" s="1"/>
      <c r="C508" s="1"/>
    </row>
    <row r="509" ht="15.75" customHeight="1">
      <c r="A509" s="1"/>
      <c r="B509" s="1"/>
      <c r="C509" s="1"/>
    </row>
    <row r="510" ht="15.75" customHeight="1">
      <c r="A510" s="1"/>
      <c r="B510" s="1"/>
      <c r="C510" s="1"/>
    </row>
    <row r="511" ht="15.75" customHeight="1">
      <c r="A511" s="1"/>
      <c r="B511" s="1"/>
      <c r="C511" s="1"/>
    </row>
    <row r="512" ht="15.75" customHeight="1">
      <c r="A512" s="1"/>
      <c r="B512" s="1"/>
      <c r="C512" s="1"/>
    </row>
    <row r="513" ht="15.75" customHeight="1">
      <c r="A513" s="1"/>
      <c r="B513" s="1"/>
      <c r="C513" s="1"/>
    </row>
    <row r="514" ht="15.75" customHeight="1">
      <c r="A514" s="1"/>
      <c r="B514" s="1"/>
      <c r="C514" s="1"/>
    </row>
    <row r="515" ht="15.75" customHeight="1">
      <c r="A515" s="1"/>
      <c r="B515" s="1"/>
      <c r="C515" s="1"/>
    </row>
    <row r="516" ht="15.75" customHeight="1">
      <c r="A516" s="1"/>
      <c r="B516" s="1"/>
      <c r="C516" s="1"/>
    </row>
    <row r="517" ht="15.75" customHeight="1">
      <c r="A517" s="1"/>
      <c r="B517" s="1"/>
      <c r="C517" s="1"/>
    </row>
    <row r="518" ht="15.75" customHeight="1">
      <c r="A518" s="1"/>
      <c r="B518" s="1"/>
      <c r="C518" s="1"/>
    </row>
    <row r="519" ht="15.75" customHeight="1">
      <c r="A519" s="1"/>
      <c r="B519" s="1"/>
      <c r="C519" s="1"/>
    </row>
    <row r="520" ht="15.75" customHeight="1">
      <c r="A520" s="1"/>
      <c r="B520" s="1"/>
      <c r="C520" s="1"/>
    </row>
    <row r="521" ht="15.75" customHeight="1">
      <c r="A521" s="1"/>
      <c r="B521" s="1"/>
      <c r="C521" s="1"/>
    </row>
    <row r="522" ht="15.75" customHeight="1">
      <c r="A522" s="1"/>
      <c r="B522" s="1"/>
      <c r="C522" s="1"/>
    </row>
    <row r="523" ht="15.75" customHeight="1">
      <c r="A523" s="1"/>
      <c r="B523" s="1"/>
      <c r="C523" s="1"/>
    </row>
    <row r="524" ht="15.75" customHeight="1">
      <c r="A524" s="1"/>
      <c r="B524" s="1"/>
      <c r="C524" s="1"/>
    </row>
    <row r="525" ht="15.75" customHeight="1">
      <c r="A525" s="1"/>
      <c r="B525" s="1"/>
      <c r="C525" s="1"/>
    </row>
    <row r="526" ht="15.75" customHeight="1">
      <c r="A526" s="1"/>
      <c r="B526" s="1"/>
      <c r="C526" s="1"/>
    </row>
    <row r="527" ht="15.75" customHeight="1">
      <c r="A527" s="1"/>
      <c r="B527" s="1"/>
      <c r="C527" s="1"/>
    </row>
    <row r="528" ht="15.75" customHeight="1">
      <c r="A528" s="1"/>
      <c r="B528" s="1"/>
      <c r="C528" s="1"/>
    </row>
    <row r="529" ht="15.75" customHeight="1">
      <c r="A529" s="1"/>
      <c r="B529" s="1"/>
      <c r="C529" s="1"/>
    </row>
    <row r="530" ht="15.75" customHeight="1">
      <c r="A530" s="1"/>
      <c r="B530" s="1"/>
      <c r="C530" s="1"/>
    </row>
    <row r="531" ht="15.75" customHeight="1">
      <c r="A531" s="1"/>
      <c r="B531" s="1"/>
      <c r="C531" s="1"/>
    </row>
    <row r="532" ht="15.75" customHeight="1">
      <c r="A532" s="1"/>
      <c r="B532" s="1"/>
      <c r="C532" s="1"/>
    </row>
    <row r="533" ht="15.75" customHeight="1">
      <c r="A533" s="1"/>
      <c r="B533" s="1"/>
      <c r="C533" s="1"/>
    </row>
    <row r="534" ht="15.75" customHeight="1">
      <c r="A534" s="1"/>
      <c r="B534" s="1"/>
      <c r="C534" s="1"/>
    </row>
    <row r="535" ht="15.75" customHeight="1">
      <c r="A535" s="1"/>
      <c r="B535" s="1"/>
      <c r="C535" s="1"/>
    </row>
    <row r="536" ht="15.75" customHeight="1">
      <c r="A536" s="1"/>
      <c r="B536" s="1"/>
      <c r="C536" s="1"/>
    </row>
    <row r="537" ht="15.75" customHeight="1">
      <c r="A537" s="1"/>
      <c r="B537" s="1"/>
      <c r="C537" s="1"/>
    </row>
    <row r="538" ht="15.75" customHeight="1">
      <c r="A538" s="1"/>
      <c r="B538" s="1"/>
      <c r="C538" s="1"/>
    </row>
    <row r="539" ht="15.75" customHeight="1">
      <c r="A539" s="1"/>
      <c r="B539" s="1"/>
      <c r="C539" s="1"/>
    </row>
    <row r="540" ht="15.75" customHeight="1">
      <c r="A540" s="1"/>
      <c r="B540" s="1"/>
      <c r="C540" s="1"/>
    </row>
    <row r="541" ht="15.75" customHeight="1">
      <c r="A541" s="1"/>
      <c r="B541" s="1"/>
      <c r="C541" s="1"/>
    </row>
    <row r="542" ht="15.75" customHeight="1">
      <c r="A542" s="1"/>
      <c r="B542" s="1"/>
      <c r="C542" s="1"/>
    </row>
    <row r="543" ht="15.75" customHeight="1">
      <c r="A543" s="1"/>
      <c r="B543" s="1"/>
      <c r="C543" s="1"/>
    </row>
    <row r="544" ht="15.75" customHeight="1">
      <c r="A544" s="1"/>
      <c r="B544" s="1"/>
      <c r="C544" s="1"/>
    </row>
    <row r="545" ht="15.75" customHeight="1">
      <c r="A545" s="1"/>
      <c r="B545" s="1"/>
      <c r="C545" s="1"/>
    </row>
    <row r="546" ht="15.75" customHeight="1">
      <c r="A546" s="1"/>
      <c r="B546" s="1"/>
      <c r="C546" s="1"/>
    </row>
    <row r="547" ht="15.75" customHeight="1">
      <c r="A547" s="1"/>
      <c r="B547" s="1"/>
      <c r="C547" s="1"/>
    </row>
    <row r="548" ht="15.75" customHeight="1">
      <c r="A548" s="1"/>
      <c r="B548" s="1"/>
      <c r="C548" s="1"/>
    </row>
    <row r="549" ht="15.75" customHeight="1">
      <c r="A549" s="1"/>
      <c r="B549" s="1"/>
      <c r="C549" s="1"/>
    </row>
    <row r="550" ht="15.75" customHeight="1">
      <c r="A550" s="1"/>
      <c r="B550" s="1"/>
      <c r="C550" s="1"/>
    </row>
    <row r="551" ht="15.75" customHeight="1">
      <c r="A551" s="1"/>
      <c r="B551" s="1"/>
      <c r="C551" s="1"/>
    </row>
    <row r="552" ht="15.75" customHeight="1">
      <c r="A552" s="1"/>
      <c r="B552" s="1"/>
      <c r="C552" s="1"/>
    </row>
    <row r="553" ht="15.75" customHeight="1">
      <c r="A553" s="1"/>
      <c r="B553" s="1"/>
      <c r="C553" s="1"/>
    </row>
    <row r="554" ht="15.75" customHeight="1">
      <c r="A554" s="1"/>
      <c r="B554" s="1"/>
      <c r="C554" s="1"/>
    </row>
    <row r="555" ht="15.75" customHeight="1">
      <c r="A555" s="1"/>
      <c r="B555" s="1"/>
      <c r="C555" s="1"/>
    </row>
    <row r="556" ht="15.75" customHeight="1">
      <c r="A556" s="1"/>
      <c r="B556" s="1"/>
      <c r="C556" s="1"/>
    </row>
    <row r="557" ht="15.75" customHeight="1">
      <c r="A557" s="1"/>
      <c r="B557" s="1"/>
      <c r="C557" s="1"/>
    </row>
    <row r="558" ht="15.75" customHeight="1">
      <c r="A558" s="1"/>
      <c r="B558" s="1"/>
      <c r="C558" s="1"/>
    </row>
    <row r="559" ht="15.75" customHeight="1">
      <c r="A559" s="1"/>
      <c r="B559" s="1"/>
      <c r="C559" s="1"/>
    </row>
    <row r="560" ht="15.75" customHeight="1">
      <c r="A560" s="1"/>
      <c r="B560" s="1"/>
      <c r="C560" s="1"/>
    </row>
    <row r="561" ht="15.75" customHeight="1">
      <c r="A561" s="1"/>
      <c r="B561" s="1"/>
      <c r="C561" s="1"/>
    </row>
    <row r="562" ht="15.75" customHeight="1">
      <c r="A562" s="1"/>
      <c r="B562" s="1"/>
      <c r="C562" s="1"/>
    </row>
    <row r="563" ht="15.75" customHeight="1">
      <c r="A563" s="1"/>
      <c r="B563" s="1"/>
      <c r="C563" s="1"/>
    </row>
    <row r="564" ht="15.75" customHeight="1">
      <c r="A564" s="1"/>
      <c r="B564" s="1"/>
      <c r="C564" s="1"/>
    </row>
    <row r="565" ht="15.75" customHeight="1">
      <c r="A565" s="1"/>
      <c r="B565" s="1"/>
      <c r="C565" s="1"/>
    </row>
    <row r="566" ht="15.75" customHeight="1">
      <c r="A566" s="1"/>
      <c r="B566" s="1"/>
      <c r="C566" s="1"/>
    </row>
    <row r="567" ht="15.75" customHeight="1">
      <c r="A567" s="1"/>
      <c r="B567" s="1"/>
      <c r="C567" s="1"/>
    </row>
    <row r="568" ht="15.75" customHeight="1">
      <c r="A568" s="1"/>
      <c r="B568" s="1"/>
      <c r="C568" s="1"/>
    </row>
    <row r="569" ht="15.75" customHeight="1">
      <c r="A569" s="1"/>
      <c r="B569" s="1"/>
      <c r="C569" s="1"/>
    </row>
    <row r="570" ht="15.75" customHeight="1">
      <c r="A570" s="1"/>
      <c r="B570" s="1"/>
      <c r="C570" s="1"/>
    </row>
    <row r="571" ht="15.75" customHeight="1">
      <c r="A571" s="1"/>
      <c r="B571" s="1"/>
      <c r="C571" s="1"/>
    </row>
    <row r="572" ht="15.75" customHeight="1">
      <c r="A572" s="1"/>
      <c r="B572" s="1"/>
      <c r="C572" s="1"/>
    </row>
    <row r="573" ht="15.75" customHeight="1">
      <c r="A573" s="1"/>
      <c r="B573" s="1"/>
      <c r="C573" s="1"/>
    </row>
    <row r="574" ht="15.75" customHeight="1">
      <c r="A574" s="1"/>
      <c r="B574" s="1"/>
      <c r="C574" s="1"/>
    </row>
    <row r="575" ht="15.75" customHeight="1">
      <c r="A575" s="1"/>
      <c r="B575" s="1"/>
      <c r="C575" s="1"/>
    </row>
    <row r="576" ht="15.75" customHeight="1">
      <c r="A576" s="1"/>
      <c r="B576" s="1"/>
      <c r="C576" s="1"/>
    </row>
    <row r="577" ht="15.75" customHeight="1">
      <c r="A577" s="1"/>
      <c r="B577" s="1"/>
      <c r="C577" s="1"/>
    </row>
    <row r="578" ht="15.75" customHeight="1">
      <c r="A578" s="1"/>
      <c r="B578" s="1"/>
      <c r="C578" s="1"/>
    </row>
    <row r="579" ht="15.75" customHeight="1">
      <c r="A579" s="1"/>
      <c r="B579" s="1"/>
      <c r="C579" s="1"/>
    </row>
    <row r="580" ht="15.75" customHeight="1">
      <c r="A580" s="1"/>
      <c r="B580" s="1"/>
      <c r="C580" s="1"/>
    </row>
    <row r="581" ht="15.75" customHeight="1">
      <c r="A581" s="1"/>
      <c r="B581" s="1"/>
      <c r="C581" s="1"/>
    </row>
    <row r="582" ht="15.75" customHeight="1">
      <c r="A582" s="1"/>
      <c r="B582" s="1"/>
      <c r="C582" s="1"/>
    </row>
    <row r="583" ht="15.75" customHeight="1">
      <c r="A583" s="1"/>
      <c r="B583" s="1"/>
      <c r="C583" s="1"/>
    </row>
    <row r="584" ht="15.75" customHeight="1">
      <c r="A584" s="1"/>
      <c r="B584" s="1"/>
      <c r="C584" s="1"/>
    </row>
    <row r="585" ht="15.75" customHeight="1">
      <c r="A585" s="1"/>
      <c r="B585" s="1"/>
      <c r="C585" s="1"/>
    </row>
    <row r="586" ht="15.75" customHeight="1">
      <c r="A586" s="1"/>
      <c r="B586" s="1"/>
      <c r="C586" s="1"/>
    </row>
    <row r="587" ht="15.75" customHeight="1">
      <c r="A587" s="1"/>
      <c r="B587" s="1"/>
      <c r="C587" s="1"/>
    </row>
    <row r="588" ht="15.75" customHeight="1">
      <c r="A588" s="1"/>
      <c r="B588" s="1"/>
      <c r="C588" s="1"/>
    </row>
    <row r="589" ht="15.75" customHeight="1">
      <c r="A589" s="1"/>
      <c r="B589" s="1"/>
      <c r="C589" s="1"/>
    </row>
    <row r="590" ht="15.75" customHeight="1">
      <c r="A590" s="1"/>
      <c r="B590" s="1"/>
      <c r="C590" s="1"/>
    </row>
    <row r="591" ht="15.75" customHeight="1">
      <c r="A591" s="1"/>
      <c r="B591" s="1"/>
      <c r="C591" s="1"/>
    </row>
    <row r="592" ht="15.75" customHeight="1">
      <c r="A592" s="1"/>
      <c r="B592" s="1"/>
      <c r="C592" s="1"/>
    </row>
    <row r="593" ht="15.75" customHeight="1">
      <c r="A593" s="1"/>
      <c r="B593" s="1"/>
      <c r="C593" s="1"/>
    </row>
    <row r="594" ht="15.75" customHeight="1">
      <c r="A594" s="1"/>
      <c r="B594" s="1"/>
      <c r="C594" s="1"/>
    </row>
    <row r="595" ht="15.75" customHeight="1">
      <c r="A595" s="1"/>
      <c r="B595" s="1"/>
      <c r="C595" s="1"/>
    </row>
    <row r="596" ht="15.75" customHeight="1">
      <c r="A596" s="1"/>
      <c r="B596" s="1"/>
      <c r="C596" s="1"/>
    </row>
    <row r="597" ht="15.75" customHeight="1">
      <c r="A597" s="1"/>
      <c r="B597" s="1"/>
      <c r="C597" s="1"/>
    </row>
    <row r="598" ht="15.75" customHeight="1">
      <c r="A598" s="1"/>
      <c r="B598" s="1"/>
      <c r="C598" s="1"/>
    </row>
    <row r="599" ht="15.75" customHeight="1">
      <c r="A599" s="1"/>
      <c r="B599" s="1"/>
      <c r="C599" s="1"/>
    </row>
    <row r="600" ht="15.75" customHeight="1">
      <c r="A600" s="1"/>
      <c r="B600" s="1"/>
      <c r="C600" s="1"/>
    </row>
    <row r="601" ht="15.75" customHeight="1">
      <c r="A601" s="1"/>
      <c r="B601" s="1"/>
      <c r="C601" s="1"/>
    </row>
    <row r="602" ht="15.75" customHeight="1">
      <c r="A602" s="1"/>
      <c r="B602" s="1"/>
      <c r="C602" s="1"/>
    </row>
    <row r="603" ht="15.75" customHeight="1">
      <c r="A603" s="1"/>
      <c r="B603" s="1"/>
      <c r="C603" s="1"/>
    </row>
    <row r="604" ht="15.75" customHeight="1">
      <c r="A604" s="1"/>
      <c r="B604" s="1"/>
      <c r="C604" s="1"/>
    </row>
    <row r="605" ht="15.75" customHeight="1">
      <c r="A605" s="1"/>
      <c r="B605" s="1"/>
      <c r="C605" s="1"/>
    </row>
    <row r="606" ht="15.75" customHeight="1">
      <c r="A606" s="1"/>
      <c r="B606" s="1"/>
      <c r="C606" s="1"/>
    </row>
    <row r="607" ht="15.75" customHeight="1">
      <c r="A607" s="1"/>
      <c r="B607" s="1"/>
      <c r="C607" s="1"/>
    </row>
    <row r="608" ht="15.75" customHeight="1">
      <c r="A608" s="1"/>
      <c r="B608" s="1"/>
      <c r="C608" s="1"/>
    </row>
    <row r="609" ht="15.75" customHeight="1">
      <c r="A609" s="1"/>
      <c r="B609" s="1"/>
      <c r="C609" s="1"/>
    </row>
    <row r="610" ht="15.75" customHeight="1">
      <c r="A610" s="1"/>
      <c r="B610" s="1"/>
      <c r="C610" s="1"/>
    </row>
    <row r="611" ht="15.75" customHeight="1">
      <c r="A611" s="1"/>
      <c r="B611" s="1"/>
      <c r="C611" s="1"/>
    </row>
    <row r="612" ht="15.75" customHeight="1">
      <c r="A612" s="1"/>
      <c r="B612" s="1"/>
      <c r="C612" s="1"/>
    </row>
    <row r="613" ht="15.75" customHeight="1">
      <c r="A613" s="1"/>
      <c r="B613" s="1"/>
      <c r="C613" s="1"/>
    </row>
    <row r="614" ht="15.75" customHeight="1">
      <c r="A614" s="1"/>
      <c r="B614" s="1"/>
      <c r="C614" s="1"/>
    </row>
    <row r="615" ht="15.75" customHeight="1">
      <c r="A615" s="1"/>
      <c r="B615" s="1"/>
      <c r="C615" s="1"/>
    </row>
    <row r="616" ht="15.75" customHeight="1">
      <c r="A616" s="1"/>
      <c r="B616" s="1"/>
      <c r="C616" s="1"/>
    </row>
    <row r="617" ht="15.75" customHeight="1">
      <c r="A617" s="1"/>
      <c r="B617" s="1"/>
      <c r="C617" s="1"/>
    </row>
    <row r="618" ht="15.75" customHeight="1">
      <c r="A618" s="1"/>
      <c r="B618" s="1"/>
      <c r="C618" s="1"/>
    </row>
    <row r="619" ht="15.75" customHeight="1">
      <c r="A619" s="1"/>
      <c r="B619" s="1"/>
      <c r="C619" s="1"/>
    </row>
    <row r="620" ht="15.75" customHeight="1">
      <c r="A620" s="1"/>
      <c r="B620" s="1"/>
      <c r="C620" s="1"/>
    </row>
    <row r="621" ht="15.75" customHeight="1">
      <c r="A621" s="1"/>
      <c r="B621" s="1"/>
      <c r="C621" s="1"/>
    </row>
    <row r="622" ht="15.75" customHeight="1">
      <c r="A622" s="1"/>
      <c r="B622" s="1"/>
      <c r="C622" s="1"/>
    </row>
    <row r="623" ht="15.75" customHeight="1">
      <c r="A623" s="1"/>
      <c r="B623" s="1"/>
      <c r="C623" s="1"/>
    </row>
    <row r="624" ht="15.75" customHeight="1">
      <c r="A624" s="1"/>
      <c r="B624" s="1"/>
      <c r="C624" s="1"/>
    </row>
    <row r="625" ht="15.75" customHeight="1">
      <c r="A625" s="1"/>
      <c r="B625" s="1"/>
      <c r="C625" s="1"/>
    </row>
    <row r="626" ht="15.75" customHeight="1">
      <c r="A626" s="1"/>
      <c r="B626" s="1"/>
      <c r="C626" s="1"/>
    </row>
    <row r="627" ht="15.75" customHeight="1">
      <c r="A627" s="1"/>
      <c r="B627" s="1"/>
      <c r="C627" s="1"/>
    </row>
    <row r="628" ht="15.75" customHeight="1">
      <c r="A628" s="1"/>
      <c r="B628" s="1"/>
      <c r="C628" s="1"/>
    </row>
    <row r="629" ht="15.75" customHeight="1">
      <c r="A629" s="1"/>
      <c r="B629" s="1"/>
      <c r="C629" s="1"/>
    </row>
    <row r="630" ht="15.75" customHeight="1">
      <c r="A630" s="1"/>
      <c r="B630" s="1"/>
      <c r="C630" s="1"/>
    </row>
    <row r="631" ht="15.75" customHeight="1">
      <c r="A631" s="1"/>
      <c r="B631" s="1"/>
      <c r="C631" s="1"/>
    </row>
    <row r="632" ht="15.75" customHeight="1">
      <c r="A632" s="1"/>
      <c r="B632" s="1"/>
      <c r="C632" s="1"/>
    </row>
    <row r="633" ht="15.75" customHeight="1">
      <c r="A633" s="1"/>
      <c r="B633" s="1"/>
      <c r="C633" s="1"/>
    </row>
    <row r="634" ht="15.75" customHeight="1">
      <c r="A634" s="1"/>
      <c r="B634" s="1"/>
      <c r="C634" s="1"/>
    </row>
    <row r="635" ht="15.75" customHeight="1">
      <c r="A635" s="1"/>
      <c r="B635" s="1"/>
      <c r="C635" s="1"/>
    </row>
    <row r="636" ht="15.75" customHeight="1">
      <c r="A636" s="1"/>
      <c r="B636" s="1"/>
      <c r="C636" s="1"/>
    </row>
    <row r="637" ht="15.75" customHeight="1">
      <c r="A637" s="1"/>
      <c r="B637" s="1"/>
      <c r="C637" s="1"/>
    </row>
    <row r="638" ht="15.75" customHeight="1">
      <c r="A638" s="1"/>
      <c r="B638" s="1"/>
      <c r="C638" s="1"/>
    </row>
    <row r="639" ht="15.75" customHeight="1">
      <c r="A639" s="1"/>
      <c r="B639" s="1"/>
      <c r="C639" s="1"/>
    </row>
    <row r="640" ht="15.75" customHeight="1">
      <c r="A640" s="1"/>
      <c r="B640" s="1"/>
      <c r="C640" s="1"/>
    </row>
    <row r="641" ht="15.75" customHeight="1">
      <c r="A641" s="1"/>
      <c r="B641" s="1"/>
      <c r="C641" s="1"/>
    </row>
    <row r="642" ht="15.75" customHeight="1">
      <c r="A642" s="1"/>
      <c r="B642" s="1"/>
      <c r="C642" s="1"/>
    </row>
    <row r="643" ht="15.75" customHeight="1">
      <c r="A643" s="1"/>
      <c r="B643" s="1"/>
      <c r="C643" s="1"/>
    </row>
    <row r="644" ht="15.75" customHeight="1">
      <c r="A644" s="1"/>
      <c r="B644" s="1"/>
      <c r="C644" s="1"/>
    </row>
    <row r="645" ht="15.75" customHeight="1">
      <c r="A645" s="1"/>
      <c r="B645" s="1"/>
      <c r="C645" s="1"/>
    </row>
    <row r="646" ht="15.75" customHeight="1">
      <c r="A646" s="1"/>
      <c r="B646" s="1"/>
      <c r="C646" s="1"/>
    </row>
    <row r="647" ht="15.75" customHeight="1">
      <c r="A647" s="1"/>
      <c r="B647" s="1"/>
      <c r="C647" s="1"/>
    </row>
    <row r="648" ht="15.75" customHeight="1">
      <c r="A648" s="1"/>
      <c r="B648" s="1"/>
      <c r="C648" s="1"/>
    </row>
    <row r="649" ht="15.75" customHeight="1">
      <c r="A649" s="1"/>
      <c r="B649" s="1"/>
      <c r="C649" s="1"/>
    </row>
    <row r="650" ht="15.75" customHeight="1">
      <c r="A650" s="1"/>
      <c r="B650" s="1"/>
      <c r="C650" s="1"/>
    </row>
    <row r="651" ht="15.75" customHeight="1">
      <c r="A651" s="1"/>
      <c r="B651" s="1"/>
      <c r="C651" s="1"/>
    </row>
    <row r="652" ht="15.75" customHeight="1">
      <c r="A652" s="1"/>
      <c r="B652" s="1"/>
      <c r="C652" s="1"/>
    </row>
    <row r="653" ht="15.75" customHeight="1">
      <c r="A653" s="1"/>
      <c r="B653" s="1"/>
      <c r="C653" s="1"/>
    </row>
    <row r="654" ht="15.75" customHeight="1">
      <c r="A654" s="1"/>
      <c r="B654" s="1"/>
      <c r="C654" s="1"/>
    </row>
    <row r="655" ht="15.75" customHeight="1">
      <c r="A655" s="1"/>
      <c r="B655" s="1"/>
      <c r="C655" s="1"/>
    </row>
    <row r="656" ht="15.75" customHeight="1">
      <c r="A656" s="1"/>
      <c r="B656" s="1"/>
      <c r="C656" s="1"/>
    </row>
    <row r="657" ht="15.75" customHeight="1">
      <c r="A657" s="1"/>
      <c r="B657" s="1"/>
      <c r="C657" s="1"/>
    </row>
    <row r="658" ht="15.75" customHeight="1">
      <c r="A658" s="1"/>
      <c r="B658" s="1"/>
      <c r="C658" s="1"/>
    </row>
    <row r="659" ht="15.75" customHeight="1">
      <c r="A659" s="1"/>
      <c r="B659" s="1"/>
      <c r="C659" s="1"/>
    </row>
    <row r="660" ht="15.75" customHeight="1">
      <c r="A660" s="1"/>
      <c r="B660" s="1"/>
      <c r="C660" s="1"/>
    </row>
    <row r="661" ht="15.75" customHeight="1">
      <c r="A661" s="1"/>
      <c r="B661" s="1"/>
      <c r="C661" s="1"/>
    </row>
    <row r="662" ht="15.75" customHeight="1">
      <c r="A662" s="1"/>
      <c r="B662" s="1"/>
      <c r="C662" s="1"/>
    </row>
    <row r="663" ht="15.75" customHeight="1">
      <c r="A663" s="1"/>
      <c r="B663" s="1"/>
      <c r="C663" s="1"/>
    </row>
    <row r="664" ht="15.75" customHeight="1">
      <c r="A664" s="1"/>
      <c r="B664" s="1"/>
      <c r="C664" s="1"/>
    </row>
    <row r="665" ht="15.75" customHeight="1">
      <c r="A665" s="1"/>
      <c r="B665" s="1"/>
      <c r="C665" s="1"/>
    </row>
    <row r="666" ht="15.75" customHeight="1">
      <c r="A666" s="1"/>
      <c r="B666" s="1"/>
      <c r="C666" s="1"/>
    </row>
    <row r="667" ht="15.75" customHeight="1">
      <c r="A667" s="1"/>
      <c r="B667" s="1"/>
      <c r="C667" s="1"/>
    </row>
    <row r="668" ht="15.75" customHeight="1">
      <c r="A668" s="1"/>
      <c r="B668" s="1"/>
      <c r="C668" s="1"/>
    </row>
    <row r="669" ht="15.75" customHeight="1">
      <c r="A669" s="1"/>
      <c r="B669" s="1"/>
      <c r="C669" s="1"/>
    </row>
    <row r="670" ht="15.75" customHeight="1">
      <c r="A670" s="1"/>
      <c r="B670" s="1"/>
      <c r="C670" s="1"/>
    </row>
    <row r="671" ht="15.75" customHeight="1">
      <c r="A671" s="1"/>
      <c r="B671" s="1"/>
      <c r="C671" s="1"/>
    </row>
    <row r="672" ht="15.75" customHeight="1">
      <c r="A672" s="1"/>
      <c r="B672" s="1"/>
      <c r="C672" s="1"/>
    </row>
    <row r="673" ht="15.75" customHeight="1">
      <c r="A673" s="1"/>
      <c r="B673" s="1"/>
      <c r="C673" s="1"/>
    </row>
    <row r="674" ht="15.75" customHeight="1">
      <c r="A674" s="1"/>
      <c r="B674" s="1"/>
      <c r="C674" s="1"/>
    </row>
    <row r="675" ht="15.75" customHeight="1">
      <c r="A675" s="1"/>
      <c r="B675" s="1"/>
      <c r="C675" s="1"/>
    </row>
    <row r="676" ht="15.75" customHeight="1">
      <c r="A676" s="1"/>
      <c r="B676" s="1"/>
      <c r="C676" s="1"/>
    </row>
    <row r="677" ht="15.75" customHeight="1">
      <c r="A677" s="1"/>
      <c r="B677" s="1"/>
      <c r="C677" s="1"/>
    </row>
    <row r="678" ht="15.75" customHeight="1">
      <c r="A678" s="1"/>
      <c r="B678" s="1"/>
      <c r="C678" s="1"/>
    </row>
    <row r="679" ht="15.75" customHeight="1">
      <c r="A679" s="1"/>
      <c r="B679" s="1"/>
      <c r="C679" s="1"/>
    </row>
    <row r="680" ht="15.75" customHeight="1">
      <c r="A680" s="1"/>
      <c r="B680" s="1"/>
      <c r="C680" s="1"/>
    </row>
    <row r="681" ht="15.75" customHeight="1">
      <c r="A681" s="1"/>
      <c r="B681" s="1"/>
      <c r="C681" s="1"/>
    </row>
    <row r="682" ht="15.75" customHeight="1">
      <c r="A682" s="1"/>
      <c r="B682" s="1"/>
      <c r="C682" s="1"/>
    </row>
    <row r="683" ht="15.75" customHeight="1">
      <c r="A683" s="1"/>
      <c r="B683" s="1"/>
      <c r="C683" s="1"/>
    </row>
    <row r="684" ht="15.75" customHeight="1">
      <c r="A684" s="1"/>
      <c r="B684" s="1"/>
      <c r="C684" s="1"/>
    </row>
    <row r="685" ht="15.75" customHeight="1">
      <c r="A685" s="1"/>
      <c r="B685" s="1"/>
      <c r="C685" s="1"/>
    </row>
    <row r="686" ht="15.75" customHeight="1">
      <c r="A686" s="1"/>
      <c r="B686" s="1"/>
      <c r="C686" s="1"/>
    </row>
    <row r="687" ht="15.75" customHeight="1">
      <c r="A687" s="1"/>
      <c r="B687" s="1"/>
      <c r="C687" s="1"/>
    </row>
    <row r="688" ht="15.75" customHeight="1">
      <c r="A688" s="1"/>
      <c r="B688" s="1"/>
      <c r="C688" s="1"/>
    </row>
    <row r="689" ht="15.75" customHeight="1">
      <c r="A689" s="1"/>
      <c r="B689" s="1"/>
      <c r="C689" s="1"/>
    </row>
    <row r="690" ht="15.75" customHeight="1">
      <c r="A690" s="1"/>
      <c r="B690" s="1"/>
      <c r="C690" s="1"/>
    </row>
    <row r="691" ht="15.75" customHeight="1">
      <c r="A691" s="1"/>
      <c r="B691" s="1"/>
      <c r="C691" s="1"/>
    </row>
    <row r="692" ht="15.75" customHeight="1">
      <c r="A692" s="1"/>
      <c r="B692" s="1"/>
      <c r="C692" s="1"/>
    </row>
    <row r="693" ht="15.75" customHeight="1">
      <c r="A693" s="1"/>
      <c r="B693" s="1"/>
      <c r="C693" s="1"/>
    </row>
    <row r="694" ht="15.75" customHeight="1">
      <c r="A694" s="1"/>
      <c r="B694" s="1"/>
      <c r="C694" s="1"/>
    </row>
    <row r="695" ht="15.75" customHeight="1">
      <c r="A695" s="1"/>
      <c r="B695" s="1"/>
      <c r="C695" s="1"/>
    </row>
    <row r="696" ht="15.75" customHeight="1">
      <c r="A696" s="1"/>
      <c r="B696" s="1"/>
      <c r="C696" s="1"/>
    </row>
    <row r="697" ht="15.75" customHeight="1">
      <c r="A697" s="1"/>
      <c r="B697" s="1"/>
      <c r="C697" s="1"/>
    </row>
    <row r="698" ht="15.75" customHeight="1">
      <c r="A698" s="1"/>
      <c r="B698" s="1"/>
      <c r="C698" s="1"/>
    </row>
    <row r="699" ht="15.75" customHeight="1">
      <c r="A699" s="1"/>
      <c r="B699" s="1"/>
      <c r="C699" s="1"/>
    </row>
    <row r="700" ht="15.75" customHeight="1">
      <c r="A700" s="1"/>
      <c r="B700" s="1"/>
      <c r="C700" s="1"/>
    </row>
    <row r="701" ht="15.75" customHeight="1">
      <c r="A701" s="1"/>
      <c r="B701" s="1"/>
      <c r="C701" s="1"/>
    </row>
    <row r="702" ht="15.75" customHeight="1">
      <c r="A702" s="1"/>
      <c r="B702" s="1"/>
      <c r="C702" s="1"/>
    </row>
    <row r="703" ht="15.75" customHeight="1">
      <c r="A703" s="1"/>
      <c r="B703" s="1"/>
      <c r="C703" s="1"/>
    </row>
    <row r="704" ht="15.75" customHeight="1">
      <c r="A704" s="1"/>
      <c r="B704" s="1"/>
      <c r="C704" s="1"/>
    </row>
    <row r="705" ht="15.75" customHeight="1">
      <c r="A705" s="1"/>
      <c r="B705" s="1"/>
      <c r="C705" s="1"/>
    </row>
    <row r="706" ht="15.75" customHeight="1">
      <c r="A706" s="1"/>
      <c r="B706" s="1"/>
      <c r="C706" s="1"/>
    </row>
    <row r="707" ht="15.75" customHeight="1">
      <c r="A707" s="1"/>
      <c r="B707" s="1"/>
      <c r="C707" s="1"/>
    </row>
    <row r="708" ht="15.75" customHeight="1">
      <c r="A708" s="1"/>
      <c r="B708" s="1"/>
      <c r="C708" s="1"/>
    </row>
    <row r="709" ht="15.75" customHeight="1">
      <c r="A709" s="1"/>
      <c r="B709" s="1"/>
      <c r="C709" s="1"/>
    </row>
    <row r="710" ht="15.75" customHeight="1">
      <c r="A710" s="1"/>
      <c r="B710" s="1"/>
      <c r="C710" s="1"/>
    </row>
    <row r="711" ht="15.75" customHeight="1">
      <c r="A711" s="1"/>
      <c r="B711" s="1"/>
      <c r="C711" s="1"/>
    </row>
    <row r="712" ht="15.75" customHeight="1">
      <c r="A712" s="1"/>
      <c r="B712" s="1"/>
      <c r="C712" s="1"/>
    </row>
    <row r="713" ht="15.75" customHeight="1">
      <c r="A713" s="1"/>
      <c r="B713" s="1"/>
      <c r="C713" s="1"/>
    </row>
    <row r="714" ht="15.75" customHeight="1">
      <c r="A714" s="1"/>
      <c r="B714" s="1"/>
      <c r="C714" s="1"/>
    </row>
    <row r="715" ht="15.75" customHeight="1">
      <c r="A715" s="1"/>
      <c r="B715" s="1"/>
      <c r="C715" s="1"/>
    </row>
    <row r="716" ht="15.75" customHeight="1">
      <c r="A716" s="1"/>
      <c r="B716" s="1"/>
      <c r="C716" s="1"/>
    </row>
    <row r="717" ht="15.75" customHeight="1">
      <c r="A717" s="1"/>
      <c r="B717" s="1"/>
      <c r="C717" s="1"/>
    </row>
    <row r="718" ht="15.75" customHeight="1">
      <c r="A718" s="1"/>
      <c r="B718" s="1"/>
      <c r="C718" s="1"/>
    </row>
    <row r="719" ht="15.75" customHeight="1">
      <c r="A719" s="1"/>
      <c r="B719" s="1"/>
      <c r="C719" s="1"/>
    </row>
    <row r="720" ht="15.75" customHeight="1">
      <c r="A720" s="1"/>
      <c r="B720" s="1"/>
      <c r="C720" s="1"/>
    </row>
    <row r="721" ht="15.75" customHeight="1">
      <c r="A721" s="1"/>
      <c r="B721" s="1"/>
      <c r="C721" s="1"/>
    </row>
    <row r="722" ht="15.75" customHeight="1">
      <c r="A722" s="1"/>
      <c r="B722" s="1"/>
      <c r="C722" s="1"/>
    </row>
    <row r="723" ht="15.75" customHeight="1">
      <c r="A723" s="1"/>
      <c r="B723" s="1"/>
      <c r="C723" s="1"/>
    </row>
    <row r="724" ht="15.75" customHeight="1">
      <c r="A724" s="1"/>
      <c r="B724" s="1"/>
      <c r="C724" s="1"/>
    </row>
    <row r="725" ht="15.75" customHeight="1">
      <c r="A725" s="1"/>
      <c r="B725" s="1"/>
      <c r="C725" s="1"/>
    </row>
    <row r="726" ht="15.75" customHeight="1">
      <c r="A726" s="1"/>
      <c r="B726" s="1"/>
      <c r="C726" s="1"/>
    </row>
    <row r="727" ht="15.75" customHeight="1">
      <c r="A727" s="1"/>
      <c r="B727" s="1"/>
      <c r="C727" s="1"/>
    </row>
    <row r="728" ht="15.75" customHeight="1">
      <c r="A728" s="1"/>
      <c r="B728" s="1"/>
      <c r="C728" s="1"/>
    </row>
    <row r="729" ht="15.75" customHeight="1">
      <c r="A729" s="1"/>
      <c r="B729" s="1"/>
      <c r="C729" s="1"/>
    </row>
    <row r="730" ht="15.75" customHeight="1">
      <c r="A730" s="1"/>
      <c r="B730" s="1"/>
      <c r="C730" s="1"/>
    </row>
    <row r="731" ht="15.75" customHeight="1">
      <c r="A731" s="1"/>
      <c r="B731" s="1"/>
      <c r="C731" s="1"/>
    </row>
    <row r="732" ht="15.75" customHeight="1">
      <c r="A732" s="1"/>
      <c r="B732" s="1"/>
      <c r="C732" s="1"/>
    </row>
    <row r="733" ht="15.75" customHeight="1">
      <c r="A733" s="1"/>
      <c r="B733" s="1"/>
      <c r="C733" s="1"/>
    </row>
    <row r="734" ht="15.75" customHeight="1">
      <c r="A734" s="1"/>
      <c r="B734" s="1"/>
      <c r="C734" s="1"/>
    </row>
    <row r="735" ht="15.75" customHeight="1">
      <c r="A735" s="1"/>
      <c r="B735" s="1"/>
      <c r="C735" s="1"/>
    </row>
    <row r="736" ht="15.75" customHeight="1">
      <c r="A736" s="1"/>
      <c r="B736" s="1"/>
      <c r="C736" s="1"/>
    </row>
    <row r="737" ht="15.75" customHeight="1">
      <c r="A737" s="1"/>
      <c r="B737" s="1"/>
      <c r="C737" s="1"/>
    </row>
    <row r="738" ht="15.75" customHeight="1">
      <c r="A738" s="1"/>
      <c r="B738" s="1"/>
      <c r="C738" s="1"/>
    </row>
    <row r="739" ht="15.75" customHeight="1">
      <c r="A739" s="1"/>
      <c r="B739" s="1"/>
      <c r="C739" s="1"/>
    </row>
    <row r="740" ht="15.75" customHeight="1">
      <c r="A740" s="1"/>
      <c r="B740" s="1"/>
      <c r="C740" s="1"/>
    </row>
    <row r="741" ht="15.75" customHeight="1">
      <c r="A741" s="1"/>
      <c r="B741" s="1"/>
      <c r="C741" s="1"/>
    </row>
    <row r="742" ht="15.75" customHeight="1">
      <c r="A742" s="1"/>
      <c r="B742" s="1"/>
      <c r="C742" s="1"/>
    </row>
    <row r="743" ht="15.75" customHeight="1">
      <c r="A743" s="1"/>
      <c r="B743" s="1"/>
      <c r="C743" s="1"/>
    </row>
    <row r="744" ht="15.75" customHeight="1">
      <c r="A744" s="1"/>
      <c r="B744" s="1"/>
      <c r="C744" s="1"/>
    </row>
    <row r="745" ht="15.75" customHeight="1">
      <c r="A745" s="1"/>
      <c r="B745" s="1"/>
      <c r="C745" s="1"/>
    </row>
    <row r="746" ht="15.75" customHeight="1">
      <c r="A746" s="1"/>
      <c r="B746" s="1"/>
      <c r="C746" s="1"/>
    </row>
    <row r="747" ht="15.75" customHeight="1">
      <c r="A747" s="1"/>
      <c r="B747" s="1"/>
      <c r="C747" s="1"/>
    </row>
    <row r="748" ht="15.75" customHeight="1">
      <c r="A748" s="1"/>
      <c r="B748" s="1"/>
      <c r="C748" s="1"/>
    </row>
    <row r="749" ht="15.75" customHeight="1">
      <c r="A749" s="1"/>
      <c r="B749" s="1"/>
      <c r="C749" s="1"/>
    </row>
    <row r="750" ht="15.75" customHeight="1">
      <c r="A750" s="1"/>
      <c r="B750" s="1"/>
      <c r="C750" s="1"/>
    </row>
    <row r="751" ht="15.75" customHeight="1">
      <c r="A751" s="1"/>
      <c r="B751" s="1"/>
      <c r="C751" s="1"/>
    </row>
    <row r="752" ht="15.75" customHeight="1">
      <c r="A752" s="1"/>
      <c r="B752" s="1"/>
      <c r="C752" s="1"/>
    </row>
    <row r="753" ht="15.75" customHeight="1">
      <c r="A753" s="1"/>
      <c r="B753" s="1"/>
      <c r="C753" s="1"/>
    </row>
    <row r="754" ht="15.75" customHeight="1">
      <c r="A754" s="1"/>
      <c r="B754" s="1"/>
      <c r="C754" s="1"/>
    </row>
    <row r="755" ht="15.75" customHeight="1">
      <c r="A755" s="1"/>
      <c r="B755" s="1"/>
      <c r="C755" s="1"/>
    </row>
    <row r="756" ht="15.75" customHeight="1">
      <c r="A756" s="1"/>
      <c r="B756" s="1"/>
      <c r="C756" s="1"/>
    </row>
    <row r="757" ht="15.75" customHeight="1">
      <c r="A757" s="1"/>
      <c r="B757" s="1"/>
      <c r="C757" s="1"/>
    </row>
    <row r="758" ht="15.75" customHeight="1">
      <c r="A758" s="1"/>
      <c r="B758" s="1"/>
      <c r="C758" s="1"/>
    </row>
    <row r="759" ht="15.75" customHeight="1">
      <c r="A759" s="1"/>
      <c r="B759" s="1"/>
      <c r="C759" s="1"/>
    </row>
    <row r="760" ht="15.75" customHeight="1">
      <c r="A760" s="1"/>
      <c r="B760" s="1"/>
      <c r="C760" s="1"/>
    </row>
    <row r="761" ht="15.75" customHeight="1">
      <c r="A761" s="1"/>
      <c r="B761" s="1"/>
      <c r="C761" s="1"/>
    </row>
    <row r="762" ht="15.75" customHeight="1">
      <c r="A762" s="1"/>
      <c r="B762" s="1"/>
      <c r="C762" s="1"/>
    </row>
    <row r="763" ht="15.75" customHeight="1">
      <c r="A763" s="1"/>
      <c r="B763" s="1"/>
      <c r="C763" s="1"/>
    </row>
    <row r="764" ht="15.75" customHeight="1">
      <c r="A764" s="1"/>
      <c r="B764" s="1"/>
      <c r="C764" s="1"/>
    </row>
    <row r="765" ht="15.75" customHeight="1">
      <c r="A765" s="1"/>
      <c r="B765" s="1"/>
      <c r="C765" s="1"/>
    </row>
    <row r="766" ht="15.75" customHeight="1">
      <c r="A766" s="1"/>
      <c r="B766" s="1"/>
      <c r="C766" s="1"/>
    </row>
    <row r="767" ht="15.75" customHeight="1">
      <c r="A767" s="1"/>
      <c r="B767" s="1"/>
      <c r="C767" s="1"/>
    </row>
    <row r="768" ht="15.75" customHeight="1">
      <c r="A768" s="1"/>
      <c r="B768" s="1"/>
      <c r="C768" s="1"/>
    </row>
    <row r="769" ht="15.75" customHeight="1">
      <c r="A769" s="1"/>
      <c r="B769" s="1"/>
      <c r="C769" s="1"/>
    </row>
    <row r="770" ht="15.75" customHeight="1">
      <c r="A770" s="1"/>
      <c r="B770" s="1"/>
      <c r="C770" s="1"/>
    </row>
    <row r="771" ht="15.75" customHeight="1">
      <c r="A771" s="1"/>
      <c r="B771" s="1"/>
      <c r="C771" s="1"/>
    </row>
    <row r="772" ht="15.75" customHeight="1">
      <c r="A772" s="1"/>
      <c r="B772" s="1"/>
      <c r="C772" s="1"/>
    </row>
    <row r="773" ht="15.75" customHeight="1">
      <c r="A773" s="1"/>
      <c r="B773" s="1"/>
      <c r="C773" s="1"/>
    </row>
    <row r="774" ht="15.75" customHeight="1">
      <c r="A774" s="1"/>
      <c r="B774" s="1"/>
      <c r="C774" s="1"/>
    </row>
    <row r="775" ht="15.75" customHeight="1">
      <c r="A775" s="1"/>
      <c r="B775" s="1"/>
      <c r="C775" s="1"/>
    </row>
    <row r="776" ht="15.75" customHeight="1">
      <c r="A776" s="1"/>
      <c r="B776" s="1"/>
      <c r="C776" s="1"/>
    </row>
    <row r="777" ht="15.75" customHeight="1">
      <c r="A777" s="1"/>
      <c r="B777" s="1"/>
      <c r="C777" s="1"/>
    </row>
    <row r="778" ht="15.75" customHeight="1">
      <c r="A778" s="1"/>
      <c r="B778" s="1"/>
      <c r="C778" s="1"/>
    </row>
    <row r="779" ht="15.75" customHeight="1">
      <c r="A779" s="1"/>
      <c r="B779" s="1"/>
      <c r="C779" s="1"/>
    </row>
    <row r="780" ht="15.75" customHeight="1">
      <c r="A780" s="1"/>
      <c r="B780" s="1"/>
      <c r="C780" s="1"/>
    </row>
    <row r="781" ht="15.75" customHeight="1">
      <c r="A781" s="1"/>
      <c r="B781" s="1"/>
      <c r="C781" s="1"/>
    </row>
    <row r="782" ht="15.75" customHeight="1">
      <c r="A782" s="1"/>
      <c r="B782" s="1"/>
      <c r="C782" s="1"/>
    </row>
    <row r="783" ht="15.75" customHeight="1">
      <c r="A783" s="1"/>
      <c r="B783" s="1"/>
      <c r="C783" s="1"/>
    </row>
    <row r="784" ht="15.75" customHeight="1">
      <c r="A784" s="1"/>
      <c r="B784" s="1"/>
      <c r="C784" s="1"/>
    </row>
    <row r="785" ht="15.75" customHeight="1">
      <c r="A785" s="1"/>
      <c r="B785" s="1"/>
      <c r="C785" s="1"/>
    </row>
    <row r="786" ht="15.75" customHeight="1">
      <c r="A786" s="1"/>
      <c r="B786" s="1"/>
      <c r="C786" s="1"/>
    </row>
    <row r="787" ht="15.75" customHeight="1">
      <c r="A787" s="1"/>
      <c r="B787" s="1"/>
      <c r="C787" s="1"/>
    </row>
    <row r="788" ht="15.75" customHeight="1">
      <c r="A788" s="1"/>
      <c r="B788" s="1"/>
      <c r="C788" s="1"/>
    </row>
    <row r="789" ht="15.75" customHeight="1">
      <c r="A789" s="1"/>
      <c r="B789" s="1"/>
      <c r="C789" s="1"/>
    </row>
    <row r="790" ht="15.75" customHeight="1">
      <c r="A790" s="1"/>
      <c r="B790" s="1"/>
      <c r="C790" s="1"/>
    </row>
    <row r="791" ht="15.75" customHeight="1">
      <c r="A791" s="1"/>
      <c r="B791" s="1"/>
      <c r="C791" s="1"/>
    </row>
    <row r="792" ht="15.75" customHeight="1">
      <c r="A792" s="1"/>
      <c r="B792" s="1"/>
      <c r="C792" s="1"/>
    </row>
    <row r="793" ht="15.75" customHeight="1">
      <c r="A793" s="1"/>
      <c r="B793" s="1"/>
      <c r="C793" s="1"/>
    </row>
    <row r="794" ht="15.75" customHeight="1">
      <c r="A794" s="1"/>
      <c r="B794" s="1"/>
      <c r="C794" s="1"/>
    </row>
    <row r="795" ht="15.75" customHeight="1">
      <c r="A795" s="1"/>
      <c r="B795" s="1"/>
      <c r="C795" s="1"/>
    </row>
    <row r="796" ht="15.75" customHeight="1">
      <c r="A796" s="1"/>
      <c r="B796" s="1"/>
      <c r="C796" s="1"/>
    </row>
    <row r="797" ht="15.75" customHeight="1">
      <c r="A797" s="1"/>
      <c r="B797" s="1"/>
      <c r="C797" s="1"/>
    </row>
    <row r="798" ht="15.75" customHeight="1">
      <c r="A798" s="1"/>
      <c r="B798" s="1"/>
      <c r="C798" s="1"/>
    </row>
    <row r="799" ht="15.75" customHeight="1">
      <c r="A799" s="1"/>
      <c r="B799" s="1"/>
      <c r="C799" s="1"/>
    </row>
    <row r="800" ht="15.75" customHeight="1">
      <c r="A800" s="1"/>
      <c r="B800" s="1"/>
      <c r="C800" s="1"/>
    </row>
    <row r="801" ht="15.75" customHeight="1">
      <c r="A801" s="1"/>
      <c r="B801" s="1"/>
      <c r="C801" s="1"/>
    </row>
    <row r="802" ht="15.75" customHeight="1">
      <c r="A802" s="1"/>
      <c r="B802" s="1"/>
      <c r="C802" s="1"/>
    </row>
    <row r="803" ht="15.75" customHeight="1">
      <c r="A803" s="1"/>
      <c r="B803" s="1"/>
      <c r="C803" s="1"/>
    </row>
    <row r="804" ht="15.75" customHeight="1">
      <c r="A804" s="1"/>
      <c r="B804" s="1"/>
      <c r="C804" s="1"/>
    </row>
    <row r="805" ht="15.75" customHeight="1">
      <c r="A805" s="1"/>
      <c r="B805" s="1"/>
      <c r="C805" s="1"/>
    </row>
    <row r="806" ht="15.75" customHeight="1">
      <c r="A806" s="1"/>
      <c r="B806" s="1"/>
      <c r="C806" s="1"/>
    </row>
    <row r="807" ht="15.75" customHeight="1">
      <c r="A807" s="1"/>
      <c r="B807" s="1"/>
      <c r="C807" s="1"/>
    </row>
    <row r="808" ht="15.75" customHeight="1">
      <c r="A808" s="1"/>
      <c r="B808" s="1"/>
      <c r="C808" s="1"/>
    </row>
    <row r="809" ht="15.75" customHeight="1">
      <c r="A809" s="1"/>
      <c r="B809" s="1"/>
      <c r="C809" s="1"/>
    </row>
    <row r="810" ht="15.75" customHeight="1">
      <c r="A810" s="1"/>
      <c r="B810" s="1"/>
      <c r="C810" s="1"/>
    </row>
    <row r="811" ht="15.75" customHeight="1">
      <c r="A811" s="1"/>
      <c r="B811" s="1"/>
      <c r="C811" s="1"/>
    </row>
    <row r="812" ht="15.75" customHeight="1">
      <c r="A812" s="1"/>
      <c r="B812" s="1"/>
      <c r="C812" s="1"/>
    </row>
    <row r="813" ht="15.75" customHeight="1">
      <c r="A813" s="1"/>
      <c r="B813" s="1"/>
      <c r="C813" s="1"/>
    </row>
    <row r="814" ht="15.75" customHeight="1">
      <c r="A814" s="1"/>
      <c r="B814" s="1"/>
      <c r="C814" s="1"/>
    </row>
    <row r="815" ht="15.75" customHeight="1">
      <c r="A815" s="1"/>
      <c r="B815" s="1"/>
      <c r="C815" s="1"/>
    </row>
    <row r="816" ht="15.75" customHeight="1">
      <c r="A816" s="1"/>
      <c r="B816" s="1"/>
      <c r="C816" s="1"/>
    </row>
    <row r="817" ht="15.75" customHeight="1">
      <c r="A817" s="1"/>
      <c r="B817" s="1"/>
      <c r="C817" s="1"/>
    </row>
    <row r="818" ht="15.75" customHeight="1">
      <c r="A818" s="1"/>
      <c r="B818" s="1"/>
      <c r="C818" s="1"/>
    </row>
    <row r="819" ht="15.75" customHeight="1">
      <c r="A819" s="1"/>
      <c r="B819" s="1"/>
      <c r="C819" s="1"/>
    </row>
    <row r="820" ht="15.75" customHeight="1">
      <c r="A820" s="1"/>
      <c r="B820" s="1"/>
      <c r="C820" s="1"/>
    </row>
    <row r="821" ht="15.75" customHeight="1">
      <c r="A821" s="1"/>
      <c r="B821" s="1"/>
      <c r="C821" s="1"/>
    </row>
    <row r="822" ht="15.75" customHeight="1">
      <c r="A822" s="1"/>
      <c r="B822" s="1"/>
      <c r="C822" s="1"/>
    </row>
    <row r="823" ht="15.75" customHeight="1">
      <c r="A823" s="1"/>
      <c r="B823" s="1"/>
      <c r="C823" s="1"/>
    </row>
    <row r="824" ht="15.75" customHeight="1">
      <c r="A824" s="1"/>
      <c r="B824" s="1"/>
      <c r="C824" s="1"/>
    </row>
    <row r="825" ht="15.75" customHeight="1">
      <c r="A825" s="1"/>
      <c r="B825" s="1"/>
      <c r="C825" s="1"/>
    </row>
    <row r="826" ht="15.75" customHeight="1">
      <c r="A826" s="1"/>
      <c r="B826" s="1"/>
      <c r="C826" s="1"/>
    </row>
    <row r="827" ht="15.75" customHeight="1">
      <c r="A827" s="1"/>
      <c r="B827" s="1"/>
      <c r="C827" s="1"/>
    </row>
    <row r="828" ht="15.75" customHeight="1">
      <c r="A828" s="1"/>
      <c r="B828" s="1"/>
      <c r="C828" s="1"/>
    </row>
    <row r="829" ht="15.75" customHeight="1">
      <c r="A829" s="1"/>
      <c r="B829" s="1"/>
      <c r="C829" s="1"/>
    </row>
    <row r="830" ht="15.75" customHeight="1">
      <c r="A830" s="1"/>
      <c r="B830" s="1"/>
      <c r="C830" s="1"/>
    </row>
    <row r="831" ht="15.75" customHeight="1">
      <c r="A831" s="1"/>
      <c r="B831" s="1"/>
      <c r="C831" s="1"/>
    </row>
    <row r="832" ht="15.75" customHeight="1">
      <c r="A832" s="1"/>
      <c r="B832" s="1"/>
      <c r="C832" s="1"/>
    </row>
    <row r="833" ht="15.75" customHeight="1">
      <c r="A833" s="1"/>
      <c r="B833" s="1"/>
      <c r="C833" s="1"/>
    </row>
    <row r="834" ht="15.75" customHeight="1">
      <c r="A834" s="1"/>
      <c r="B834" s="1"/>
      <c r="C834" s="1"/>
    </row>
    <row r="835" ht="15.75" customHeight="1">
      <c r="A835" s="1"/>
      <c r="B835" s="1"/>
      <c r="C835" s="1"/>
    </row>
    <row r="836" ht="15.75" customHeight="1">
      <c r="A836" s="1"/>
      <c r="B836" s="1"/>
      <c r="C836" s="1"/>
    </row>
    <row r="837" ht="15.75" customHeight="1">
      <c r="A837" s="1"/>
      <c r="B837" s="1"/>
      <c r="C837" s="1"/>
    </row>
    <row r="838" ht="15.75" customHeight="1">
      <c r="A838" s="1"/>
      <c r="B838" s="1"/>
      <c r="C838" s="1"/>
    </row>
    <row r="839" ht="15.75" customHeight="1">
      <c r="A839" s="1"/>
      <c r="B839" s="1"/>
      <c r="C839" s="1"/>
    </row>
    <row r="840" ht="15.75" customHeight="1">
      <c r="A840" s="1"/>
      <c r="B840" s="1"/>
      <c r="C840" s="1"/>
    </row>
    <row r="841" ht="15.75" customHeight="1">
      <c r="A841" s="1"/>
      <c r="B841" s="1"/>
      <c r="C841" s="1"/>
    </row>
    <row r="842" ht="15.75" customHeight="1">
      <c r="A842" s="1"/>
      <c r="B842" s="1"/>
      <c r="C842" s="1"/>
    </row>
    <row r="843" ht="15.75" customHeight="1">
      <c r="A843" s="1"/>
      <c r="B843" s="1"/>
      <c r="C843" s="1"/>
    </row>
    <row r="844" ht="15.75" customHeight="1">
      <c r="A844" s="1"/>
      <c r="B844" s="1"/>
      <c r="C844" s="1"/>
    </row>
    <row r="845" ht="15.75" customHeight="1">
      <c r="A845" s="1"/>
      <c r="B845" s="1"/>
      <c r="C845" s="1"/>
    </row>
    <row r="846" ht="15.75" customHeight="1">
      <c r="A846" s="1"/>
      <c r="B846" s="1"/>
      <c r="C846" s="1"/>
    </row>
    <row r="847" ht="15.75" customHeight="1">
      <c r="A847" s="1"/>
      <c r="B847" s="1"/>
      <c r="C847" s="1"/>
    </row>
    <row r="848" ht="15.75" customHeight="1">
      <c r="A848" s="1"/>
      <c r="B848" s="1"/>
      <c r="C848" s="1"/>
    </row>
    <row r="849" ht="15.75" customHeight="1">
      <c r="A849" s="1"/>
      <c r="B849" s="1"/>
      <c r="C849" s="1"/>
    </row>
    <row r="850" ht="15.75" customHeight="1">
      <c r="A850" s="1"/>
      <c r="B850" s="1"/>
      <c r="C850" s="1"/>
    </row>
    <row r="851" ht="15.75" customHeight="1">
      <c r="A851" s="1"/>
      <c r="B851" s="1"/>
      <c r="C851" s="1"/>
    </row>
    <row r="852" ht="15.75" customHeight="1">
      <c r="A852" s="1"/>
      <c r="B852" s="1"/>
      <c r="C852" s="1"/>
    </row>
    <row r="853" ht="15.75" customHeight="1">
      <c r="A853" s="1"/>
      <c r="B853" s="1"/>
      <c r="C853" s="1"/>
    </row>
    <row r="854" ht="15.75" customHeight="1">
      <c r="A854" s="1"/>
      <c r="B854" s="1"/>
      <c r="C854" s="1"/>
    </row>
    <row r="855" ht="15.75" customHeight="1">
      <c r="A855" s="1"/>
      <c r="B855" s="1"/>
      <c r="C855" s="1"/>
    </row>
    <row r="856" ht="15.75" customHeight="1">
      <c r="A856" s="1"/>
      <c r="B856" s="1"/>
      <c r="C856" s="1"/>
    </row>
    <row r="857" ht="15.75" customHeight="1">
      <c r="A857" s="1"/>
      <c r="B857" s="1"/>
      <c r="C857" s="1"/>
    </row>
    <row r="858" ht="15.75" customHeight="1">
      <c r="A858" s="1"/>
      <c r="B858" s="1"/>
      <c r="C858" s="1"/>
    </row>
    <row r="859" ht="15.75" customHeight="1">
      <c r="A859" s="1"/>
      <c r="B859" s="1"/>
      <c r="C859" s="1"/>
    </row>
    <row r="860" ht="15.75" customHeight="1">
      <c r="A860" s="1"/>
      <c r="B860" s="1"/>
      <c r="C860" s="1"/>
    </row>
    <row r="861" ht="15.75" customHeight="1">
      <c r="A861" s="1"/>
      <c r="B861" s="1"/>
      <c r="C861" s="1"/>
    </row>
    <row r="862" ht="15.75" customHeight="1">
      <c r="A862" s="1"/>
      <c r="B862" s="1"/>
      <c r="C862" s="1"/>
    </row>
    <row r="863" ht="15.75" customHeight="1">
      <c r="A863" s="1"/>
      <c r="B863" s="1"/>
      <c r="C863" s="1"/>
    </row>
    <row r="864" ht="15.75" customHeight="1">
      <c r="A864" s="1"/>
      <c r="B864" s="1"/>
      <c r="C864" s="1"/>
    </row>
    <row r="865" ht="15.75" customHeight="1">
      <c r="A865" s="1"/>
      <c r="B865" s="1"/>
      <c r="C865" s="1"/>
    </row>
    <row r="866" ht="15.75" customHeight="1">
      <c r="A866" s="1"/>
      <c r="B866" s="1"/>
      <c r="C866" s="1"/>
    </row>
    <row r="867" ht="15.75" customHeight="1">
      <c r="A867" s="1"/>
      <c r="B867" s="1"/>
      <c r="C867" s="1"/>
    </row>
    <row r="868" ht="15.75" customHeight="1">
      <c r="A868" s="1"/>
      <c r="B868" s="1"/>
      <c r="C868" s="1"/>
    </row>
    <row r="869" ht="15.75" customHeight="1">
      <c r="A869" s="1"/>
      <c r="B869" s="1"/>
      <c r="C869" s="1"/>
    </row>
    <row r="870" ht="15.75" customHeight="1">
      <c r="A870" s="1"/>
      <c r="B870" s="1"/>
      <c r="C870" s="1"/>
    </row>
    <row r="871" ht="15.75" customHeight="1">
      <c r="A871" s="1"/>
      <c r="B871" s="1"/>
      <c r="C871" s="1"/>
    </row>
    <row r="872" ht="15.75" customHeight="1">
      <c r="A872" s="1"/>
      <c r="B872" s="1"/>
      <c r="C872" s="1"/>
    </row>
    <row r="873" ht="15.75" customHeight="1">
      <c r="A873" s="1"/>
      <c r="B873" s="1"/>
      <c r="C873" s="1"/>
    </row>
    <row r="874" ht="15.75" customHeight="1">
      <c r="A874" s="1"/>
      <c r="B874" s="1"/>
      <c r="C874" s="1"/>
    </row>
    <row r="875" ht="15.75" customHeight="1">
      <c r="A875" s="1"/>
      <c r="B875" s="1"/>
      <c r="C875" s="1"/>
    </row>
    <row r="876" ht="15.75" customHeight="1">
      <c r="A876" s="1"/>
      <c r="B876" s="1"/>
      <c r="C876" s="1"/>
    </row>
    <row r="877" ht="15.75" customHeight="1">
      <c r="A877" s="1"/>
      <c r="B877" s="1"/>
      <c r="C877" s="1"/>
    </row>
    <row r="878" ht="15.75" customHeight="1">
      <c r="A878" s="1"/>
      <c r="B878" s="1"/>
      <c r="C878" s="1"/>
    </row>
    <row r="879" ht="15.75" customHeight="1">
      <c r="A879" s="1"/>
      <c r="B879" s="1"/>
      <c r="C879" s="1"/>
    </row>
    <row r="880" ht="15.75" customHeight="1">
      <c r="A880" s="1"/>
      <c r="B880" s="1"/>
      <c r="C880" s="1"/>
    </row>
    <row r="881" ht="15.75" customHeight="1">
      <c r="A881" s="1"/>
      <c r="B881" s="1"/>
      <c r="C881" s="1"/>
    </row>
    <row r="882" ht="15.75" customHeight="1">
      <c r="A882" s="1"/>
      <c r="B882" s="1"/>
      <c r="C882" s="1"/>
    </row>
    <row r="883" ht="15.75" customHeight="1">
      <c r="A883" s="1"/>
      <c r="B883" s="1"/>
      <c r="C883" s="1"/>
    </row>
    <row r="884" ht="15.75" customHeight="1">
      <c r="A884" s="1"/>
      <c r="B884" s="1"/>
      <c r="C884" s="1"/>
    </row>
    <row r="885" ht="15.75" customHeight="1">
      <c r="A885" s="1"/>
      <c r="B885" s="1"/>
      <c r="C885" s="1"/>
    </row>
    <row r="886" ht="15.75" customHeight="1">
      <c r="A886" s="1"/>
      <c r="B886" s="1"/>
      <c r="C886" s="1"/>
    </row>
    <row r="887" ht="15.75" customHeight="1">
      <c r="A887" s="1"/>
      <c r="B887" s="1"/>
      <c r="C887" s="1"/>
    </row>
    <row r="888" ht="15.75" customHeight="1">
      <c r="A888" s="1"/>
      <c r="B888" s="1"/>
      <c r="C888" s="1"/>
    </row>
    <row r="889" ht="15.75" customHeight="1">
      <c r="A889" s="1"/>
      <c r="B889" s="1"/>
      <c r="C889" s="1"/>
    </row>
    <row r="890" ht="15.75" customHeight="1">
      <c r="A890" s="1"/>
      <c r="B890" s="1"/>
      <c r="C890" s="1"/>
    </row>
    <row r="891" ht="15.75" customHeight="1">
      <c r="A891" s="1"/>
      <c r="B891" s="1"/>
      <c r="C891" s="1"/>
    </row>
    <row r="892" ht="15.75" customHeight="1">
      <c r="A892" s="1"/>
      <c r="B892" s="1"/>
      <c r="C892" s="1"/>
    </row>
    <row r="893" ht="15.75" customHeight="1">
      <c r="A893" s="1"/>
      <c r="B893" s="1"/>
      <c r="C893" s="1"/>
    </row>
    <row r="894" ht="15.75" customHeight="1">
      <c r="A894" s="1"/>
      <c r="B894" s="1"/>
      <c r="C894" s="1"/>
    </row>
    <row r="895" ht="15.75" customHeight="1">
      <c r="A895" s="1"/>
      <c r="B895" s="1"/>
      <c r="C895" s="1"/>
    </row>
    <row r="896" ht="15.75" customHeight="1">
      <c r="A896" s="1"/>
      <c r="B896" s="1"/>
      <c r="C896" s="1"/>
    </row>
    <row r="897" ht="15.75" customHeight="1">
      <c r="A897" s="1"/>
      <c r="B897" s="1"/>
      <c r="C897" s="1"/>
    </row>
    <row r="898" ht="15.75" customHeight="1">
      <c r="A898" s="1"/>
      <c r="B898" s="1"/>
      <c r="C898" s="1"/>
    </row>
    <row r="899" ht="15.75" customHeight="1">
      <c r="A899" s="1"/>
      <c r="B899" s="1"/>
      <c r="C899" s="1"/>
    </row>
    <row r="900" ht="15.75" customHeight="1">
      <c r="A900" s="1"/>
      <c r="B900" s="1"/>
      <c r="C900" s="1"/>
    </row>
    <row r="901" ht="15.75" customHeight="1">
      <c r="A901" s="1"/>
      <c r="B901" s="1"/>
      <c r="C901" s="1"/>
    </row>
    <row r="902" ht="15.75" customHeight="1">
      <c r="A902" s="1"/>
      <c r="B902" s="1"/>
      <c r="C902" s="1"/>
    </row>
    <row r="903" ht="15.75" customHeight="1">
      <c r="A903" s="1"/>
      <c r="B903" s="1"/>
      <c r="C903" s="1"/>
    </row>
    <row r="904" ht="15.75" customHeight="1">
      <c r="A904" s="1"/>
      <c r="B904" s="1"/>
      <c r="C904" s="1"/>
    </row>
    <row r="905" ht="15.75" customHeight="1">
      <c r="A905" s="1"/>
      <c r="B905" s="1"/>
      <c r="C905" s="1"/>
    </row>
    <row r="906" ht="15.75" customHeight="1">
      <c r="A906" s="1"/>
      <c r="B906" s="1"/>
      <c r="C906" s="1"/>
    </row>
    <row r="907" ht="15.75" customHeight="1">
      <c r="A907" s="1"/>
      <c r="B907" s="1"/>
      <c r="C907" s="1"/>
    </row>
    <row r="908" ht="15.75" customHeight="1">
      <c r="A908" s="1"/>
      <c r="B908" s="1"/>
      <c r="C908" s="1"/>
    </row>
    <row r="909" ht="15.75" customHeight="1">
      <c r="A909" s="1"/>
      <c r="B909" s="1"/>
      <c r="C909" s="1"/>
    </row>
    <row r="910" ht="15.75" customHeight="1">
      <c r="A910" s="1"/>
      <c r="B910" s="1"/>
      <c r="C910" s="1"/>
    </row>
    <row r="911" ht="15.75" customHeight="1">
      <c r="A911" s="1"/>
      <c r="B911" s="1"/>
      <c r="C911" s="1"/>
    </row>
    <row r="912" ht="15.75" customHeight="1">
      <c r="A912" s="1"/>
      <c r="B912" s="1"/>
      <c r="C912" s="1"/>
    </row>
    <row r="913" ht="15.75" customHeight="1">
      <c r="A913" s="1"/>
      <c r="B913" s="1"/>
      <c r="C913" s="1"/>
    </row>
    <row r="914" ht="15.75" customHeight="1">
      <c r="A914" s="1"/>
      <c r="B914" s="1"/>
      <c r="C914" s="1"/>
    </row>
    <row r="915" ht="15.75" customHeight="1">
      <c r="A915" s="1"/>
      <c r="B915" s="1"/>
      <c r="C915" s="1"/>
    </row>
    <row r="916" ht="15.75" customHeight="1">
      <c r="A916" s="1"/>
      <c r="B916" s="1"/>
      <c r="C916" s="1"/>
    </row>
    <row r="917" ht="15.75" customHeight="1">
      <c r="A917" s="1"/>
      <c r="B917" s="1"/>
      <c r="C917" s="1"/>
    </row>
    <row r="918" ht="15.75" customHeight="1">
      <c r="A918" s="1"/>
      <c r="B918" s="1"/>
      <c r="C918" s="1"/>
    </row>
    <row r="919" ht="15.75" customHeight="1">
      <c r="A919" s="1"/>
      <c r="B919" s="1"/>
      <c r="C919" s="1"/>
    </row>
    <row r="920" ht="15.75" customHeight="1">
      <c r="A920" s="1"/>
      <c r="B920" s="1"/>
      <c r="C920" s="1"/>
    </row>
    <row r="921" ht="15.75" customHeight="1">
      <c r="A921" s="1"/>
      <c r="B921" s="1"/>
      <c r="C921" s="1"/>
    </row>
    <row r="922" ht="15.75" customHeight="1">
      <c r="A922" s="1"/>
      <c r="B922" s="1"/>
      <c r="C922" s="1"/>
    </row>
    <row r="923" ht="15.75" customHeight="1">
      <c r="A923" s="1"/>
      <c r="B923" s="1"/>
      <c r="C923" s="1"/>
    </row>
    <row r="924" ht="15.75" customHeight="1">
      <c r="A924" s="1"/>
      <c r="B924" s="1"/>
      <c r="C924" s="1"/>
    </row>
    <row r="925" ht="15.75" customHeight="1">
      <c r="A925" s="1"/>
      <c r="B925" s="1"/>
      <c r="C925" s="1"/>
    </row>
    <row r="926" ht="15.75" customHeight="1">
      <c r="A926" s="1"/>
      <c r="B926" s="1"/>
      <c r="C926" s="1"/>
    </row>
    <row r="927" ht="15.75" customHeight="1">
      <c r="A927" s="1"/>
      <c r="B927" s="1"/>
      <c r="C927" s="1"/>
    </row>
    <row r="928" ht="15.75" customHeight="1">
      <c r="A928" s="1"/>
      <c r="B928" s="1"/>
      <c r="C928" s="1"/>
    </row>
    <row r="929" ht="15.75" customHeight="1">
      <c r="A929" s="1"/>
      <c r="B929" s="1"/>
      <c r="C929" s="1"/>
    </row>
    <row r="930" ht="15.75" customHeight="1">
      <c r="A930" s="1"/>
      <c r="B930" s="1"/>
      <c r="C930" s="1"/>
    </row>
    <row r="931" ht="15.75" customHeight="1">
      <c r="A931" s="1"/>
      <c r="B931" s="1"/>
      <c r="C931" s="1"/>
    </row>
    <row r="932" ht="15.75" customHeight="1">
      <c r="A932" s="1"/>
      <c r="B932" s="1"/>
      <c r="C932" s="1"/>
    </row>
    <row r="933" ht="15.75" customHeight="1">
      <c r="A933" s="1"/>
      <c r="B933" s="1"/>
      <c r="C933" s="1"/>
    </row>
    <row r="934" ht="15.75" customHeight="1">
      <c r="A934" s="1"/>
      <c r="B934" s="1"/>
      <c r="C934" s="1"/>
    </row>
    <row r="935" ht="15.75" customHeight="1">
      <c r="A935" s="1"/>
      <c r="B935" s="1"/>
      <c r="C935" s="1"/>
    </row>
    <row r="936" ht="15.75" customHeight="1">
      <c r="A936" s="1"/>
      <c r="B936" s="1"/>
      <c r="C936" s="1"/>
    </row>
    <row r="937" ht="15.75" customHeight="1">
      <c r="A937" s="1"/>
      <c r="B937" s="1"/>
      <c r="C937" s="1"/>
    </row>
    <row r="938" ht="15.75" customHeight="1">
      <c r="A938" s="1"/>
      <c r="B938" s="1"/>
      <c r="C938" s="1"/>
    </row>
    <row r="939" ht="15.75" customHeight="1">
      <c r="A939" s="1"/>
      <c r="B939" s="1"/>
      <c r="C939" s="1"/>
    </row>
    <row r="940" ht="15.75" customHeight="1">
      <c r="A940" s="1"/>
      <c r="B940" s="1"/>
      <c r="C940" s="1"/>
    </row>
    <row r="941" ht="15.75" customHeight="1">
      <c r="A941" s="1"/>
      <c r="B941" s="1"/>
      <c r="C941" s="1"/>
    </row>
    <row r="942" ht="15.75" customHeight="1">
      <c r="A942" s="1"/>
      <c r="B942" s="1"/>
      <c r="C942" s="1"/>
    </row>
    <row r="943" ht="15.75" customHeight="1">
      <c r="A943" s="1"/>
      <c r="B943" s="1"/>
      <c r="C943" s="1"/>
    </row>
    <row r="944" ht="15.75" customHeight="1">
      <c r="A944" s="1"/>
      <c r="B944" s="1"/>
      <c r="C944" s="1"/>
    </row>
    <row r="945" ht="15.75" customHeight="1">
      <c r="A945" s="1"/>
      <c r="B945" s="1"/>
      <c r="C945" s="1"/>
    </row>
    <row r="946" ht="15.75" customHeight="1">
      <c r="A946" s="1"/>
      <c r="B946" s="1"/>
      <c r="C946" s="1"/>
    </row>
    <row r="947" ht="15.75" customHeight="1">
      <c r="A947" s="1"/>
      <c r="B947" s="1"/>
      <c r="C947" s="1"/>
    </row>
    <row r="948" ht="15.75" customHeight="1">
      <c r="A948" s="1"/>
      <c r="B948" s="1"/>
      <c r="C948" s="1"/>
    </row>
    <row r="949" ht="15.75" customHeight="1">
      <c r="A949" s="1"/>
      <c r="B949" s="1"/>
      <c r="C949" s="1"/>
    </row>
    <row r="950" ht="15.75" customHeight="1">
      <c r="A950" s="1"/>
      <c r="B950" s="1"/>
      <c r="C950" s="1"/>
    </row>
    <row r="951" ht="15.75" customHeight="1">
      <c r="A951" s="1"/>
      <c r="B951" s="1"/>
      <c r="C951" s="1"/>
    </row>
    <row r="952" ht="15.75" customHeight="1">
      <c r="A952" s="1"/>
      <c r="B952" s="1"/>
      <c r="C952" s="1"/>
    </row>
    <row r="953" ht="15.75" customHeight="1">
      <c r="A953" s="1"/>
      <c r="B953" s="1"/>
      <c r="C953" s="1"/>
    </row>
    <row r="954" ht="15.75" customHeight="1">
      <c r="A954" s="1"/>
      <c r="B954" s="1"/>
      <c r="C954" s="1"/>
    </row>
    <row r="955" ht="15.75" customHeight="1">
      <c r="A955" s="1"/>
      <c r="B955" s="1"/>
      <c r="C955" s="1"/>
    </row>
    <row r="956" ht="15.75" customHeight="1">
      <c r="A956" s="1"/>
      <c r="B956" s="1"/>
      <c r="C956" s="1"/>
    </row>
    <row r="957" ht="15.75" customHeight="1">
      <c r="A957" s="1"/>
      <c r="B957" s="1"/>
      <c r="C957" s="1"/>
    </row>
    <row r="958" ht="15.75" customHeight="1">
      <c r="A958" s="1"/>
      <c r="B958" s="1"/>
      <c r="C958" s="1"/>
    </row>
    <row r="959" ht="15.75" customHeight="1">
      <c r="A959" s="1"/>
      <c r="B959" s="1"/>
      <c r="C959" s="1"/>
    </row>
    <row r="960" ht="15.75" customHeight="1">
      <c r="A960" s="1"/>
      <c r="B960" s="1"/>
      <c r="C960" s="1"/>
    </row>
    <row r="961" ht="15.75" customHeight="1">
      <c r="A961" s="1"/>
      <c r="B961" s="1"/>
      <c r="C961" s="1"/>
    </row>
    <row r="962" ht="15.75" customHeight="1">
      <c r="A962" s="1"/>
      <c r="B962" s="1"/>
      <c r="C962" s="1"/>
    </row>
    <row r="963" ht="15.75" customHeight="1">
      <c r="A963" s="1"/>
      <c r="B963" s="1"/>
      <c r="C963" s="1"/>
    </row>
    <row r="964" ht="15.75" customHeight="1">
      <c r="A964" s="1"/>
      <c r="B964" s="1"/>
      <c r="C964" s="1"/>
    </row>
    <row r="965" ht="15.75" customHeight="1">
      <c r="A965" s="1"/>
      <c r="B965" s="1"/>
      <c r="C965" s="1"/>
    </row>
    <row r="966" ht="15.75" customHeight="1">
      <c r="A966" s="1"/>
      <c r="B966" s="1"/>
      <c r="C966" s="1"/>
    </row>
    <row r="967" ht="15.75" customHeight="1">
      <c r="A967" s="1"/>
      <c r="B967" s="1"/>
      <c r="C967" s="1"/>
    </row>
    <row r="968" ht="15.75" customHeight="1">
      <c r="A968" s="1"/>
      <c r="B968" s="1"/>
      <c r="C968" s="1"/>
    </row>
    <row r="969" ht="15.75" customHeight="1">
      <c r="A969" s="1"/>
      <c r="B969" s="1"/>
      <c r="C969" s="1"/>
    </row>
    <row r="970" ht="15.75" customHeight="1">
      <c r="A970" s="1"/>
      <c r="B970" s="1"/>
      <c r="C970" s="1"/>
    </row>
    <row r="971" ht="15.75" customHeight="1">
      <c r="A971" s="1"/>
      <c r="B971" s="1"/>
      <c r="C971" s="1"/>
    </row>
    <row r="972" ht="15.75" customHeight="1">
      <c r="A972" s="1"/>
      <c r="B972" s="1"/>
      <c r="C972" s="1"/>
    </row>
    <row r="973" ht="15.75" customHeight="1">
      <c r="A973" s="1"/>
      <c r="B973" s="1"/>
      <c r="C973" s="1"/>
    </row>
    <row r="974" ht="15.75" customHeight="1">
      <c r="A974" s="1"/>
      <c r="B974" s="1"/>
      <c r="C974" s="1"/>
    </row>
    <row r="975" ht="15.75" customHeight="1">
      <c r="A975" s="1"/>
      <c r="B975" s="1"/>
      <c r="C975" s="1"/>
    </row>
    <row r="976" ht="15.75" customHeight="1">
      <c r="A976" s="1"/>
      <c r="B976" s="1"/>
      <c r="C976" s="1"/>
    </row>
    <row r="977" ht="15.75" customHeight="1">
      <c r="A977" s="1"/>
      <c r="B977" s="1"/>
      <c r="C977" s="1"/>
    </row>
    <row r="978" ht="15.75" customHeight="1">
      <c r="A978" s="1"/>
      <c r="B978" s="1"/>
      <c r="C978" s="1"/>
    </row>
    <row r="979" ht="15.75" customHeight="1">
      <c r="A979" s="1"/>
      <c r="B979" s="1"/>
      <c r="C979" s="1"/>
    </row>
    <row r="980" ht="15.75" customHeight="1">
      <c r="A980" s="1"/>
      <c r="B980" s="1"/>
      <c r="C980" s="1"/>
    </row>
    <row r="981" ht="15.75" customHeight="1">
      <c r="A981" s="1"/>
      <c r="B981" s="1"/>
      <c r="C981" s="1"/>
    </row>
    <row r="982" ht="15.75" customHeight="1">
      <c r="A982" s="1"/>
      <c r="B982" s="1"/>
      <c r="C982" s="1"/>
    </row>
    <row r="983" ht="15.75" customHeight="1">
      <c r="A983" s="1"/>
      <c r="B983" s="1"/>
      <c r="C983" s="1"/>
    </row>
    <row r="984" ht="15.75" customHeight="1">
      <c r="A984" s="1"/>
      <c r="B984" s="1"/>
      <c r="C984" s="1"/>
    </row>
    <row r="985" ht="15.75" customHeight="1">
      <c r="A985" s="1"/>
      <c r="B985" s="1"/>
      <c r="C985" s="1"/>
    </row>
    <row r="986" ht="15.75" customHeight="1">
      <c r="A986" s="1"/>
      <c r="B986" s="1"/>
      <c r="C986" s="1"/>
    </row>
    <row r="987" ht="15.75" customHeight="1">
      <c r="A987" s="1"/>
      <c r="B987" s="1"/>
      <c r="C987" s="1"/>
    </row>
    <row r="988" ht="15.75" customHeight="1">
      <c r="A988" s="1"/>
      <c r="B988" s="1"/>
      <c r="C988" s="1"/>
    </row>
    <row r="989" ht="15.75" customHeight="1">
      <c r="A989" s="1"/>
      <c r="B989" s="1"/>
      <c r="C989" s="1"/>
    </row>
    <row r="990" ht="15.75" customHeight="1">
      <c r="A990" s="1"/>
      <c r="B990" s="1"/>
      <c r="C990" s="1"/>
    </row>
    <row r="991" ht="15.75" customHeight="1">
      <c r="A991" s="1"/>
      <c r="B991" s="1"/>
      <c r="C991" s="1"/>
    </row>
    <row r="992" ht="15.75" customHeight="1">
      <c r="A992" s="1"/>
      <c r="B992" s="1"/>
      <c r="C992" s="1"/>
    </row>
    <row r="993" ht="15.75" customHeight="1">
      <c r="A993" s="1"/>
      <c r="B993" s="1"/>
      <c r="C993" s="1"/>
    </row>
    <row r="994" ht="15.75" customHeight="1">
      <c r="A994" s="1"/>
      <c r="B994" s="1"/>
      <c r="C994" s="1"/>
    </row>
    <row r="995" ht="15.75" customHeight="1">
      <c r="A995" s="1"/>
      <c r="B995" s="1"/>
      <c r="C995" s="1"/>
    </row>
    <row r="996" ht="15.75" customHeight="1">
      <c r="A996" s="1"/>
      <c r="B996" s="1"/>
      <c r="C996" s="1"/>
    </row>
    <row r="997" ht="15.75" customHeight="1">
      <c r="A997" s="1"/>
      <c r="B997" s="1"/>
      <c r="C997" s="1"/>
    </row>
    <row r="998" ht="15.75" customHeight="1">
      <c r="A998" s="1"/>
      <c r="B998" s="1"/>
      <c r="C998" s="1"/>
    </row>
    <row r="999" ht="15.75" customHeight="1">
      <c r="A999" s="1"/>
      <c r="B999" s="1"/>
      <c r="C999" s="1"/>
    </row>
    <row r="1000" ht="15.75" customHeight="1">
      <c r="A1000" s="1"/>
      <c r="B1000" s="1"/>
      <c r="C1000" s="1"/>
    </row>
  </sheetData>
  <printOptions/>
  <pageMargins bottom="1.0" footer="0.0" header="0.0" left="0.75" right="0.75" top="1.0"/>
  <pageSetup fitToHeight="0"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B6574"/>
    <pageSetUpPr fitToPage="1"/>
  </sheetPr>
  <sheetViews>
    <sheetView showGridLines="0"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4.43" defaultRowHeight="15.0"/>
  <cols>
    <col customWidth="1" min="1" max="1" width="3.0"/>
    <col customWidth="1" min="2" max="2" width="28.0"/>
    <col customWidth="1" min="3" max="3" width="62.0"/>
    <col customWidth="1" min="4" max="4" width="8.0"/>
    <col customWidth="1" min="5" max="5" width="44.0"/>
    <col customWidth="1" min="6" max="6" width="40.0"/>
    <col customWidth="1" min="7" max="7" width="22.0"/>
    <col customWidth="1" min="8" max="8" width="40.0"/>
    <col customWidth="1" min="9" max="26" width="8.71"/>
  </cols>
  <sheetData>
    <row r="1">
      <c r="A1" s="1"/>
      <c r="B1" s="1"/>
      <c r="C1" s="1"/>
      <c r="D1" s="1"/>
      <c r="E1" s="1"/>
      <c r="F1" s="1"/>
      <c r="G1" s="1"/>
      <c r="H1" s="1"/>
    </row>
    <row r="2" ht="20.25" customHeight="1">
      <c r="A2" s="1"/>
      <c r="B2" s="182" t="s">
        <v>2282</v>
      </c>
      <c r="C2" s="1"/>
      <c r="D2" s="1"/>
      <c r="E2" s="1"/>
      <c r="F2" s="1"/>
      <c r="G2" s="1"/>
      <c r="H2" s="1"/>
    </row>
    <row r="3" ht="15.0" customHeight="1">
      <c r="A3" s="1"/>
      <c r="B3" s="16" t="s">
        <v>2283</v>
      </c>
      <c r="C3" s="1"/>
      <c r="D3" s="1"/>
      <c r="E3" s="1"/>
      <c r="F3" s="1"/>
      <c r="G3" s="1"/>
      <c r="H3" s="1"/>
    </row>
    <row r="4">
      <c r="A4" s="1"/>
      <c r="B4" s="1"/>
      <c r="C4" s="1"/>
      <c r="D4" s="1"/>
      <c r="E4" s="1"/>
      <c r="F4" s="1"/>
      <c r="G4" s="1"/>
      <c r="H4" s="1"/>
    </row>
    <row r="5" ht="25.5" customHeight="1">
      <c r="A5" s="1"/>
      <c r="B5" s="39" t="s">
        <v>110</v>
      </c>
      <c r="C5" s="39" t="s">
        <v>2284</v>
      </c>
      <c r="D5" s="39" t="s">
        <v>2285</v>
      </c>
      <c r="E5" s="39" t="s">
        <v>2286</v>
      </c>
      <c r="F5" s="39" t="s">
        <v>2287</v>
      </c>
      <c r="G5" s="39" t="s">
        <v>2288</v>
      </c>
      <c r="H5" s="39" t="s">
        <v>2289</v>
      </c>
    </row>
    <row r="6" ht="45.0" customHeight="1">
      <c r="A6" s="1"/>
      <c r="B6" s="193" t="s">
        <v>2290</v>
      </c>
      <c r="C6" s="45" t="s">
        <v>2291</v>
      </c>
      <c r="D6" s="194" t="s">
        <v>2292</v>
      </c>
      <c r="E6" s="195" t="s">
        <v>2293</v>
      </c>
      <c r="F6" s="45" t="s">
        <v>2294</v>
      </c>
      <c r="G6" s="68" t="str">
        <f t="array" ref="G6">IFERROR("Row #"&amp;INDEX('Threat Atlas'!$A$6:$A$300,MATCH(B6,'Threat Atlas'!$M$6:$M$300,0)),"")</f>
        <v/>
      </c>
      <c r="H6" s="68" t="s">
        <v>2295</v>
      </c>
    </row>
    <row r="7" ht="45.0" customHeight="1">
      <c r="A7" s="1"/>
      <c r="B7" s="193" t="s">
        <v>1968</v>
      </c>
      <c r="C7" s="45" t="s">
        <v>1961</v>
      </c>
      <c r="D7" s="194" t="s">
        <v>2296</v>
      </c>
      <c r="E7" s="195" t="s">
        <v>2293</v>
      </c>
      <c r="F7" s="45" t="s">
        <v>2297</v>
      </c>
      <c r="G7" s="68" t="str">
        <f t="array" ref="G7">IFERROR("Row #"&amp;INDEX('Threat Atlas'!$A$6:$A$300,MATCH(B7,'Threat Atlas'!$M$6:$M$300,0)),"")</f>
        <v>Row #72</v>
      </c>
      <c r="H7" s="68"/>
    </row>
    <row r="8" ht="31.5" customHeight="1">
      <c r="A8" s="1"/>
      <c r="B8" s="193" t="s">
        <v>1782</v>
      </c>
      <c r="C8" s="45" t="s">
        <v>1772</v>
      </c>
      <c r="D8" s="194" t="s">
        <v>2298</v>
      </c>
      <c r="E8" s="195" t="s">
        <v>2293</v>
      </c>
      <c r="F8" s="45" t="s">
        <v>2299</v>
      </c>
      <c r="G8" s="68" t="str">
        <f t="array" ref="G8">IFERROR("Row #"&amp;INDEX('Threat Atlas'!$A$6:$A$300,MATCH(B8,'Threat Atlas'!$M$6:$M$300,0)),"")</f>
        <v>Row #59</v>
      </c>
      <c r="H8" s="68"/>
    </row>
    <row r="9" ht="31.5" customHeight="1">
      <c r="A9" s="1"/>
      <c r="B9" s="193" t="s">
        <v>2300</v>
      </c>
      <c r="C9" s="45" t="s">
        <v>2301</v>
      </c>
      <c r="D9" s="194" t="s">
        <v>2296</v>
      </c>
      <c r="E9" s="195" t="s">
        <v>2293</v>
      </c>
      <c r="F9" s="45" t="s">
        <v>2302</v>
      </c>
      <c r="G9" s="68" t="str">
        <f t="array" ref="G9">IFERROR("Row #"&amp;INDEX('Threat Atlas'!$A$6:$A$300,MATCH(B9,'Threat Atlas'!$M$6:$M$300,0)),"")</f>
        <v/>
      </c>
      <c r="H9" s="68" t="s">
        <v>2303</v>
      </c>
    </row>
    <row r="10" ht="31.5" customHeight="1">
      <c r="A10" s="1"/>
      <c r="B10" s="193" t="s">
        <v>1829</v>
      </c>
      <c r="C10" s="45" t="s">
        <v>1821</v>
      </c>
      <c r="D10" s="194" t="s">
        <v>2304</v>
      </c>
      <c r="E10" s="195" t="s">
        <v>2293</v>
      </c>
      <c r="F10" s="45" t="s">
        <v>2305</v>
      </c>
      <c r="G10" s="68" t="str">
        <f t="array" ref="G10">IFERROR("Row #"&amp;INDEX('Threat Atlas'!$A$6:$A$300,MATCH(B10,'Threat Atlas'!$M$6:$M$300,0)),"")</f>
        <v>Row #62</v>
      </c>
      <c r="H10" s="68"/>
    </row>
    <row r="11" ht="31.5" customHeight="1">
      <c r="A11" s="1"/>
      <c r="B11" s="193" t="s">
        <v>1856</v>
      </c>
      <c r="C11" s="45" t="s">
        <v>1848</v>
      </c>
      <c r="D11" s="194" t="s">
        <v>939</v>
      </c>
      <c r="E11" s="195" t="s">
        <v>2293</v>
      </c>
      <c r="F11" s="45" t="s">
        <v>2306</v>
      </c>
      <c r="G11" s="68" t="str">
        <f t="array" ref="G11">IFERROR("Row #"&amp;INDEX('Threat Atlas'!$A$6:$A$300,MATCH(B11,'Threat Atlas'!$M$6:$M$300,0)),"")</f>
        <v>Row #64</v>
      </c>
      <c r="H11" s="68"/>
    </row>
    <row r="12" ht="18.0" customHeight="1">
      <c r="A12" s="1"/>
      <c r="B12" s="196" t="s">
        <v>1905</v>
      </c>
      <c r="C12" s="197" t="s">
        <v>2307</v>
      </c>
      <c r="D12" s="198" t="s">
        <v>2308</v>
      </c>
      <c r="E12" s="199" t="s">
        <v>2309</v>
      </c>
      <c r="F12" s="197"/>
      <c r="G12" s="200" t="str">
        <f t="array" ref="G12">IFERROR("Row #"&amp;INDEX('Threat Atlas'!$A$6:$A$300,MATCH(B12,'Threat Atlas'!$M$6:$M$300,0)),"")</f>
        <v>Row #67</v>
      </c>
      <c r="H12" s="200"/>
    </row>
    <row r="13" ht="31.5" customHeight="1">
      <c r="A13" s="1"/>
      <c r="B13" s="196" t="s">
        <v>2310</v>
      </c>
      <c r="C13" s="197" t="s">
        <v>2311</v>
      </c>
      <c r="D13" s="198" t="s">
        <v>2304</v>
      </c>
      <c r="E13" s="199" t="s">
        <v>2309</v>
      </c>
      <c r="F13" s="197"/>
      <c r="G13" s="200" t="str">
        <f t="array" ref="G13">IFERROR("Row #"&amp;INDEX('Threat Atlas'!$A$6:$A$300,MATCH(B13,'Threat Atlas'!$M$6:$M$300,0)),"")</f>
        <v/>
      </c>
      <c r="H13" s="200"/>
    </row>
    <row r="14" ht="31.5" customHeight="1">
      <c r="A14" s="1"/>
      <c r="B14" s="196" t="s">
        <v>1767</v>
      </c>
      <c r="C14" s="197" t="s">
        <v>1760</v>
      </c>
      <c r="D14" s="198" t="s">
        <v>2292</v>
      </c>
      <c r="E14" s="199" t="s">
        <v>2309</v>
      </c>
      <c r="F14" s="197"/>
      <c r="G14" s="200" t="str">
        <f t="array" ref="G14">IFERROR("Row #"&amp;INDEX('Threat Atlas'!$A$6:$A$300,MATCH(B14,'Threat Atlas'!$M$6:$M$300,0)),"")</f>
        <v>Row #58</v>
      </c>
      <c r="H14" s="200"/>
    </row>
    <row r="15" ht="31.5" customHeight="1">
      <c r="A15" s="1"/>
      <c r="B15" s="196" t="s">
        <v>2312</v>
      </c>
      <c r="C15" s="197" t="s">
        <v>2313</v>
      </c>
      <c r="D15" s="198" t="s">
        <v>2292</v>
      </c>
      <c r="E15" s="199" t="s">
        <v>2309</v>
      </c>
      <c r="F15" s="197"/>
      <c r="G15" s="200" t="str">
        <f t="array" ref="G15">IFERROR("Row #"&amp;INDEX('Threat Atlas'!$A$6:$A$300,MATCH(B15,'Threat Atlas'!$M$6:$M$300,0)),"")</f>
        <v/>
      </c>
      <c r="H15" s="200"/>
    </row>
    <row r="16" ht="18.0" customHeight="1">
      <c r="A16" s="1"/>
      <c r="B16" s="196" t="s">
        <v>2314</v>
      </c>
      <c r="C16" s="197" t="s">
        <v>2315</v>
      </c>
      <c r="D16" s="198" t="s">
        <v>2316</v>
      </c>
      <c r="E16" s="199" t="s">
        <v>2309</v>
      </c>
      <c r="F16" s="197"/>
      <c r="G16" s="200" t="str">
        <f t="array" ref="G16">IFERROR("Row #"&amp;INDEX('Threat Atlas'!$A$6:$A$300,MATCH(B16,'Threat Atlas'!$M$6:$M$300,0)),"")</f>
        <v/>
      </c>
      <c r="H16" s="200"/>
    </row>
    <row r="17" ht="31.5" customHeight="1">
      <c r="A17" s="1"/>
      <c r="B17" s="196" t="s">
        <v>2317</v>
      </c>
      <c r="C17" s="197" t="s">
        <v>2318</v>
      </c>
      <c r="D17" s="198" t="s">
        <v>2296</v>
      </c>
      <c r="E17" s="199" t="s">
        <v>2309</v>
      </c>
      <c r="F17" s="197"/>
      <c r="G17" s="200" t="str">
        <f t="array" ref="G17">IFERROR("Row #"&amp;INDEX('Threat Atlas'!$A$6:$A$300,MATCH(B17,'Threat Atlas'!$M$6:$M$300,0)),"")</f>
        <v/>
      </c>
      <c r="H17" s="200"/>
    </row>
    <row r="18" ht="31.5" customHeight="1">
      <c r="A18" s="1"/>
      <c r="B18" s="196" t="s">
        <v>2319</v>
      </c>
      <c r="C18" s="197" t="s">
        <v>2320</v>
      </c>
      <c r="D18" s="198" t="s">
        <v>2296</v>
      </c>
      <c r="E18" s="199" t="s">
        <v>2309</v>
      </c>
      <c r="F18" s="197"/>
      <c r="G18" s="200" t="str">
        <f t="array" ref="G18">IFERROR("Row #"&amp;INDEX('Threat Atlas'!$A$6:$A$300,MATCH(B18,'Threat Atlas'!$M$6:$M$300,0)),"")</f>
        <v/>
      </c>
      <c r="H18" s="200" t="s">
        <v>2321</v>
      </c>
    </row>
    <row r="19" ht="31.5" customHeight="1">
      <c r="A19" s="1"/>
      <c r="B19" s="196" t="s">
        <v>2322</v>
      </c>
      <c r="C19" s="197" t="s">
        <v>2323</v>
      </c>
      <c r="D19" s="198" t="s">
        <v>2292</v>
      </c>
      <c r="E19" s="199" t="s">
        <v>2309</v>
      </c>
      <c r="F19" s="197"/>
      <c r="G19" s="200" t="str">
        <f t="array" ref="G19">IFERROR("Row #"&amp;INDEX('Threat Atlas'!$A$6:$A$300,MATCH(B19,'Threat Atlas'!$M$6:$M$300,0)),"")</f>
        <v/>
      </c>
      <c r="H19" s="200"/>
    </row>
    <row r="20" ht="45.0" customHeight="1">
      <c r="A20" s="1"/>
      <c r="B20" s="196" t="s">
        <v>2190</v>
      </c>
      <c r="C20" s="197" t="s">
        <v>2324</v>
      </c>
      <c r="D20" s="198" t="s">
        <v>2296</v>
      </c>
      <c r="E20" s="199" t="s">
        <v>2325</v>
      </c>
      <c r="F20" s="197" t="s">
        <v>2326</v>
      </c>
      <c r="G20" s="200" t="str">
        <f t="array" ref="G20">IFERROR("Row #"&amp;INDEX('Threat Atlas'!$A$6:$A$300,MATCH(B20,'Threat Atlas'!$M$6:$M$300,0)),"")</f>
        <v/>
      </c>
      <c r="H20" s="200" t="s">
        <v>2303</v>
      </c>
    </row>
    <row r="21" ht="31.5" customHeight="1">
      <c r="A21" s="1"/>
      <c r="B21" s="201" t="s">
        <v>2327</v>
      </c>
      <c r="C21" s="202" t="s">
        <v>2328</v>
      </c>
      <c r="D21" s="203" t="s">
        <v>2296</v>
      </c>
      <c r="E21" s="204" t="s">
        <v>2329</v>
      </c>
      <c r="F21" s="202"/>
      <c r="G21" s="205" t="str">
        <f t="array" ref="G21">IFERROR("Row #"&amp;INDEX('Threat Atlas'!$A$6:$A$300,MATCH(B21,'Threat Atlas'!$M$6:$M$300,0)),"")</f>
        <v/>
      </c>
      <c r="H21" s="205"/>
    </row>
    <row r="22" ht="18.0" customHeight="1">
      <c r="A22" s="1"/>
      <c r="B22" s="201" t="s">
        <v>2330</v>
      </c>
      <c r="C22" s="202" t="s">
        <v>2331</v>
      </c>
      <c r="D22" s="203" t="s">
        <v>2332</v>
      </c>
      <c r="E22" s="204" t="s">
        <v>2329</v>
      </c>
      <c r="F22" s="202"/>
      <c r="G22" s="205" t="str">
        <f t="array" ref="G22">IFERROR("Row #"&amp;INDEX('Threat Atlas'!$A$6:$A$300,MATCH(B22,'Threat Atlas'!$M$6:$M$300,0)),"")</f>
        <v/>
      </c>
      <c r="H22" s="205"/>
    </row>
    <row r="23" ht="31.5" customHeight="1">
      <c r="A23" s="1"/>
      <c r="B23" s="201" t="s">
        <v>2333</v>
      </c>
      <c r="C23" s="202" t="s">
        <v>2334</v>
      </c>
      <c r="D23" s="203" t="s">
        <v>939</v>
      </c>
      <c r="E23" s="204" t="s">
        <v>2329</v>
      </c>
      <c r="F23" s="202"/>
      <c r="G23" s="205" t="str">
        <f t="array" ref="G23">IFERROR("Row #"&amp;INDEX('Threat Atlas'!$A$6:$A$300,MATCH(B23,'Threat Atlas'!$M$6:$M$300,0)),"")</f>
        <v/>
      </c>
      <c r="H23" s="205"/>
    </row>
    <row r="24" ht="45.0" customHeight="1">
      <c r="A24" s="1"/>
      <c r="B24" s="201" t="s">
        <v>2335</v>
      </c>
      <c r="C24" s="202" t="s">
        <v>2336</v>
      </c>
      <c r="D24" s="203" t="s">
        <v>2296</v>
      </c>
      <c r="E24" s="204" t="s">
        <v>2329</v>
      </c>
      <c r="F24" s="202"/>
      <c r="G24" s="205" t="str">
        <f t="array" ref="G24">IFERROR("Row #"&amp;INDEX('Threat Atlas'!$A$6:$A$300,MATCH(B24,'Threat Atlas'!$M$6:$M$300,0)),"")</f>
        <v/>
      </c>
      <c r="H24" s="205"/>
    </row>
    <row r="25" ht="18.0" customHeight="1">
      <c r="A25" s="1"/>
      <c r="B25" s="201" t="s">
        <v>2337</v>
      </c>
      <c r="C25" s="202" t="s">
        <v>2338</v>
      </c>
      <c r="D25" s="203" t="s">
        <v>2339</v>
      </c>
      <c r="E25" s="204" t="s">
        <v>2329</v>
      </c>
      <c r="F25" s="202"/>
      <c r="G25" s="205" t="str">
        <f t="array" ref="G25">IFERROR("Row #"&amp;INDEX('Threat Atlas'!$A$6:$A$300,MATCH(B25,'Threat Atlas'!$M$6:$M$300,0)),"")</f>
        <v/>
      </c>
      <c r="H25" s="205"/>
    </row>
    <row r="26" ht="31.5" customHeight="1">
      <c r="A26" s="1"/>
      <c r="B26" s="201" t="s">
        <v>2340</v>
      </c>
      <c r="C26" s="202" t="s">
        <v>2341</v>
      </c>
      <c r="D26" s="203" t="s">
        <v>2296</v>
      </c>
      <c r="E26" s="204" t="s">
        <v>2329</v>
      </c>
      <c r="F26" s="202"/>
      <c r="G26" s="205" t="str">
        <f t="array" ref="G26">IFERROR("Row #"&amp;INDEX('Threat Atlas'!$A$6:$A$300,MATCH(B26,'Threat Atlas'!$M$6:$M$300,0)),"")</f>
        <v/>
      </c>
      <c r="H26" s="205"/>
    </row>
    <row r="27" ht="31.5" customHeight="1">
      <c r="A27" s="1"/>
      <c r="B27" s="201" t="s">
        <v>2342</v>
      </c>
      <c r="C27" s="202" t="s">
        <v>2343</v>
      </c>
      <c r="D27" s="203" t="s">
        <v>2296</v>
      </c>
      <c r="E27" s="204" t="s">
        <v>2329</v>
      </c>
      <c r="F27" s="202"/>
      <c r="G27" s="205" t="str">
        <f t="array" ref="G27">IFERROR("Row #"&amp;INDEX('Threat Atlas'!$A$6:$A$300,MATCH(B27,'Threat Atlas'!$M$6:$M$300,0)),"")</f>
        <v/>
      </c>
      <c r="H27" s="205"/>
    </row>
    <row r="28" ht="31.5" customHeight="1">
      <c r="A28" s="1"/>
      <c r="B28" s="201" t="s">
        <v>2344</v>
      </c>
      <c r="C28" s="202" t="s">
        <v>2345</v>
      </c>
      <c r="D28" s="203" t="s">
        <v>2339</v>
      </c>
      <c r="E28" s="204" t="s">
        <v>2329</v>
      </c>
      <c r="F28" s="202"/>
      <c r="G28" s="205" t="str">
        <f t="array" ref="G28">IFERROR("Row #"&amp;INDEX('Threat Atlas'!$A$6:$A$300,MATCH(B28,'Threat Atlas'!$M$6:$M$300,0)),"")</f>
        <v/>
      </c>
      <c r="H28" s="205"/>
    </row>
    <row r="29" ht="31.5" customHeight="1">
      <c r="A29" s="1"/>
      <c r="B29" s="201" t="s">
        <v>2346</v>
      </c>
      <c r="C29" s="202" t="s">
        <v>2347</v>
      </c>
      <c r="D29" s="203" t="s">
        <v>2292</v>
      </c>
      <c r="E29" s="204" t="s">
        <v>2329</v>
      </c>
      <c r="F29" s="202"/>
      <c r="G29" s="205" t="str">
        <f t="array" ref="G29">IFERROR("Row #"&amp;INDEX('Threat Atlas'!$A$6:$A$300,MATCH(B29,'Threat Atlas'!$M$6:$M$300,0)),"")</f>
        <v/>
      </c>
      <c r="H29" s="205"/>
    </row>
    <row r="30" ht="31.5" customHeight="1">
      <c r="A30" s="1"/>
      <c r="B30" s="201" t="s">
        <v>2348</v>
      </c>
      <c r="C30" s="202" t="s">
        <v>2349</v>
      </c>
      <c r="D30" s="203" t="s">
        <v>2292</v>
      </c>
      <c r="E30" s="204" t="s">
        <v>2329</v>
      </c>
      <c r="F30" s="202"/>
      <c r="G30" s="205" t="str">
        <f t="array" ref="G30">IFERROR("Row #"&amp;INDEX('Threat Atlas'!$A$6:$A$300,MATCH(B30,'Threat Atlas'!$M$6:$M$300,0)),"")</f>
        <v/>
      </c>
      <c r="H30" s="205"/>
    </row>
    <row r="31" ht="18.0" customHeight="1">
      <c r="A31" s="1"/>
      <c r="B31" s="201" t="s">
        <v>2350</v>
      </c>
      <c r="C31" s="202" t="s">
        <v>2351</v>
      </c>
      <c r="D31" s="203" t="s">
        <v>2352</v>
      </c>
      <c r="E31" s="204" t="s">
        <v>2329</v>
      </c>
      <c r="F31" s="202"/>
      <c r="G31" s="205" t="str">
        <f t="array" ref="G31">IFERROR("Row #"&amp;INDEX('Threat Atlas'!$A$6:$A$300,MATCH(B31,'Threat Atlas'!$M$6:$M$300,0)),"")</f>
        <v/>
      </c>
      <c r="H31" s="205"/>
    </row>
    <row r="32" ht="31.5" customHeight="1">
      <c r="A32" s="1"/>
      <c r="B32" s="206" t="s">
        <v>2353</v>
      </c>
      <c r="C32" s="207" t="s">
        <v>2354</v>
      </c>
      <c r="D32" s="208" t="s">
        <v>2355</v>
      </c>
      <c r="E32" s="209" t="s">
        <v>2356</v>
      </c>
      <c r="F32" s="207"/>
      <c r="G32" s="210" t="str">
        <f t="array" ref="G32">IFERROR("Row #"&amp;INDEX('Threat Atlas'!$A$6:$A$300,MATCH(B32,'Threat Atlas'!$M$6:$M$300,0)),"")</f>
        <v/>
      </c>
      <c r="H32" s="210"/>
    </row>
    <row r="33" ht="18.0" customHeight="1">
      <c r="A33" s="1"/>
      <c r="B33" s="206" t="s">
        <v>2357</v>
      </c>
      <c r="C33" s="207" t="s">
        <v>2358</v>
      </c>
      <c r="D33" s="208" t="s">
        <v>2359</v>
      </c>
      <c r="E33" s="209" t="s">
        <v>2356</v>
      </c>
      <c r="F33" s="207"/>
      <c r="G33" s="210" t="str">
        <f t="array" ref="G33">IFERROR("Row #"&amp;INDEX('Threat Atlas'!$A$6:$A$300,MATCH(B33,'Threat Atlas'!$M$6:$M$300,0)),"")</f>
        <v/>
      </c>
      <c r="H33" s="210"/>
    </row>
    <row r="34" ht="31.5" customHeight="1">
      <c r="A34" s="1"/>
      <c r="B34" s="206" t="s">
        <v>2360</v>
      </c>
      <c r="C34" s="207" t="s">
        <v>2361</v>
      </c>
      <c r="D34" s="208" t="s">
        <v>2352</v>
      </c>
      <c r="E34" s="209" t="s">
        <v>2356</v>
      </c>
      <c r="F34" s="207"/>
      <c r="G34" s="210" t="str">
        <f t="array" ref="G34">IFERROR("Row #"&amp;INDEX('Threat Atlas'!$A$6:$A$300,MATCH(B34,'Threat Atlas'!$M$6:$M$300,0)),"")</f>
        <v/>
      </c>
      <c r="H34" s="210"/>
    </row>
    <row r="35" ht="18.0" customHeight="1">
      <c r="A35" s="1"/>
      <c r="B35" s="206" t="s">
        <v>2362</v>
      </c>
      <c r="C35" s="207" t="s">
        <v>2363</v>
      </c>
      <c r="D35" s="208" t="s">
        <v>2364</v>
      </c>
      <c r="E35" s="209" t="s">
        <v>2356</v>
      </c>
      <c r="F35" s="207"/>
      <c r="G35" s="210" t="str">
        <f t="array" ref="G35">IFERROR("Row #"&amp;INDEX('Threat Atlas'!$A$6:$A$300,MATCH(B35,'Threat Atlas'!$M$6:$M$300,0)),"")</f>
        <v/>
      </c>
      <c r="H35" s="210"/>
    </row>
    <row r="36" ht="18.0" customHeight="1">
      <c r="A36" s="1"/>
      <c r="B36" s="206" t="s">
        <v>2365</v>
      </c>
      <c r="C36" s="207" t="s">
        <v>2366</v>
      </c>
      <c r="D36" s="208" t="s">
        <v>2355</v>
      </c>
      <c r="E36" s="209" t="s">
        <v>2356</v>
      </c>
      <c r="F36" s="207"/>
      <c r="G36" s="210" t="str">
        <f t="array" ref="G36">IFERROR("Row #"&amp;INDEX('Threat Atlas'!$A$6:$A$300,MATCH(B36,'Threat Atlas'!$M$6:$M$300,0)),"")</f>
        <v/>
      </c>
      <c r="H36" s="210"/>
    </row>
    <row r="37" ht="18.0" customHeight="1">
      <c r="A37" s="1"/>
      <c r="B37" s="206" t="s">
        <v>2367</v>
      </c>
      <c r="C37" s="207" t="s">
        <v>2368</v>
      </c>
      <c r="D37" s="208" t="s">
        <v>2369</v>
      </c>
      <c r="E37" s="209" t="s">
        <v>2356</v>
      </c>
      <c r="F37" s="207"/>
      <c r="G37" s="210" t="str">
        <f t="array" ref="G37">IFERROR("Row #"&amp;INDEX('Threat Atlas'!$A$6:$A$300,MATCH(B37,'Threat Atlas'!$M$6:$M$300,0)),"")</f>
        <v/>
      </c>
      <c r="H37" s="210"/>
    </row>
    <row r="38" ht="18.0" customHeight="1">
      <c r="A38" s="1"/>
      <c r="B38" s="206" t="s">
        <v>2370</v>
      </c>
      <c r="C38" s="207" t="s">
        <v>2371</v>
      </c>
      <c r="D38" s="208" t="s">
        <v>2372</v>
      </c>
      <c r="E38" s="209" t="s">
        <v>2356</v>
      </c>
      <c r="F38" s="207"/>
      <c r="G38" s="210" t="str">
        <f t="array" ref="G38">IFERROR("Row #"&amp;INDEX('Threat Atlas'!$A$6:$A$300,MATCH(B38,'Threat Atlas'!$M$6:$M$300,0)),"")</f>
        <v/>
      </c>
      <c r="H38" s="210"/>
    </row>
    <row r="39" ht="18.0" customHeight="1">
      <c r="A39" s="1"/>
      <c r="B39" s="206" t="s">
        <v>2373</v>
      </c>
      <c r="C39" s="207" t="s">
        <v>2374</v>
      </c>
      <c r="D39" s="208" t="s">
        <v>2352</v>
      </c>
      <c r="E39" s="209" t="s">
        <v>2356</v>
      </c>
      <c r="F39" s="207"/>
      <c r="G39" s="210" t="str">
        <f t="array" ref="G39">IFERROR("Row #"&amp;INDEX('Threat Atlas'!$A$6:$A$300,MATCH(B39,'Threat Atlas'!$M$6:$M$300,0)),"")</f>
        <v/>
      </c>
      <c r="H39" s="210"/>
    </row>
    <row r="40" ht="31.5" customHeight="1">
      <c r="A40" s="1"/>
      <c r="B40" s="206" t="s">
        <v>2375</v>
      </c>
      <c r="C40" s="207" t="s">
        <v>2376</v>
      </c>
      <c r="D40" s="208" t="s">
        <v>2339</v>
      </c>
      <c r="E40" s="209" t="s">
        <v>2356</v>
      </c>
      <c r="F40" s="207"/>
      <c r="G40" s="210" t="str">
        <f t="array" ref="G40">IFERROR("Row #"&amp;INDEX('Threat Atlas'!$A$6:$A$300,MATCH(B40,'Threat Atlas'!$M$6:$M$300,0)),"")</f>
        <v/>
      </c>
      <c r="H40" s="210"/>
    </row>
    <row r="41" ht="18.0" customHeight="1">
      <c r="A41" s="1"/>
      <c r="B41" s="206" t="s">
        <v>2377</v>
      </c>
      <c r="C41" s="207" t="s">
        <v>2378</v>
      </c>
      <c r="D41" s="208" t="s">
        <v>2369</v>
      </c>
      <c r="E41" s="209" t="s">
        <v>2356</v>
      </c>
      <c r="F41" s="207"/>
      <c r="G41" s="210" t="str">
        <f t="array" ref="G41">IFERROR("Row #"&amp;INDEX('Threat Atlas'!$A$6:$A$300,MATCH(B41,'Threat Atlas'!$M$6:$M$300,0)),"")</f>
        <v/>
      </c>
      <c r="H41" s="210"/>
    </row>
    <row r="42" ht="18.0" customHeight="1">
      <c r="A42" s="1"/>
      <c r="B42" s="211" t="s">
        <v>2379</v>
      </c>
      <c r="C42" s="109" t="s">
        <v>2380</v>
      </c>
      <c r="D42" s="212" t="s">
        <v>939</v>
      </c>
      <c r="E42" s="213" t="s">
        <v>2381</v>
      </c>
      <c r="F42" s="109"/>
      <c r="G42" s="117" t="str">
        <f t="array" ref="G42">IFERROR("Row #"&amp;INDEX('Threat Atlas'!$A$6:$A$300,MATCH(B42,'Threat Atlas'!$M$6:$M$300,0)),"")</f>
        <v/>
      </c>
      <c r="H42" s="117" t="s">
        <v>2382</v>
      </c>
    </row>
    <row r="43" ht="31.5" customHeight="1">
      <c r="A43" s="1"/>
      <c r="B43" s="211" t="s">
        <v>2383</v>
      </c>
      <c r="C43" s="109" t="s">
        <v>2384</v>
      </c>
      <c r="D43" s="212" t="s">
        <v>2385</v>
      </c>
      <c r="E43" s="213" t="s">
        <v>2381</v>
      </c>
      <c r="F43" s="109"/>
      <c r="G43" s="117" t="str">
        <f t="array" ref="G43">IFERROR("Row #"&amp;INDEX('Threat Atlas'!$A$6:$A$300,MATCH(B43,'Threat Atlas'!$M$6:$M$300,0)),"")</f>
        <v/>
      </c>
      <c r="H43" s="117" t="s">
        <v>2386</v>
      </c>
    </row>
    <row r="44" ht="31.5" customHeight="1">
      <c r="A44" s="1"/>
      <c r="B44" s="211" t="s">
        <v>2387</v>
      </c>
      <c r="C44" s="109" t="s">
        <v>2388</v>
      </c>
      <c r="D44" s="212" t="s">
        <v>2308</v>
      </c>
      <c r="E44" s="213" t="s">
        <v>2381</v>
      </c>
      <c r="F44" s="109"/>
      <c r="G44" s="117" t="str">
        <f t="array" ref="G44">IFERROR("Row #"&amp;INDEX('Threat Atlas'!$A$6:$A$300,MATCH(B44,'Threat Atlas'!$M$6:$M$300,0)),"")</f>
        <v/>
      </c>
      <c r="H44" s="117"/>
    </row>
    <row r="45" ht="18.0" customHeight="1">
      <c r="A45" s="1"/>
      <c r="B45" s="211" t="s">
        <v>2389</v>
      </c>
      <c r="C45" s="109" t="s">
        <v>2390</v>
      </c>
      <c r="D45" s="212" t="s">
        <v>2292</v>
      </c>
      <c r="E45" s="213" t="s">
        <v>2381</v>
      </c>
      <c r="F45" s="109"/>
      <c r="G45" s="117" t="str">
        <f t="array" ref="G45">IFERROR("Row #"&amp;INDEX('Threat Atlas'!$A$6:$A$300,MATCH(B45,'Threat Atlas'!$M$6:$M$300,0)),"")</f>
        <v/>
      </c>
      <c r="H45" s="117" t="s">
        <v>2391</v>
      </c>
    </row>
    <row r="46" ht="18.0" customHeight="1">
      <c r="A46" s="1"/>
      <c r="B46" s="211" t="s">
        <v>2392</v>
      </c>
      <c r="C46" s="109" t="s">
        <v>2393</v>
      </c>
      <c r="D46" s="212" t="s">
        <v>2304</v>
      </c>
      <c r="E46" s="213" t="s">
        <v>2381</v>
      </c>
      <c r="F46" s="109"/>
      <c r="G46" s="117" t="str">
        <f t="array" ref="G46">IFERROR("Row #"&amp;INDEX('Threat Atlas'!$A$6:$A$300,MATCH(B46,'Threat Atlas'!$M$6:$M$300,0)),"")</f>
        <v/>
      </c>
      <c r="H46" s="117"/>
    </row>
    <row r="47" ht="18.0" customHeight="1">
      <c r="A47" s="1"/>
      <c r="B47" s="211" t="s">
        <v>2394</v>
      </c>
      <c r="C47" s="109" t="s">
        <v>2395</v>
      </c>
      <c r="D47" s="212" t="s">
        <v>2292</v>
      </c>
      <c r="E47" s="213" t="s">
        <v>2381</v>
      </c>
      <c r="F47" s="109"/>
      <c r="G47" s="117" t="str">
        <f t="array" ref="G47">IFERROR("Row #"&amp;INDEX('Threat Atlas'!$A$6:$A$300,MATCH(B47,'Threat Atlas'!$M$6:$M$300,0)),"")</f>
        <v/>
      </c>
      <c r="H47" s="117"/>
    </row>
    <row r="48" ht="58.5" customHeight="1">
      <c r="A48" s="1"/>
      <c r="B48" s="211" t="s">
        <v>2396</v>
      </c>
      <c r="C48" s="109" t="s">
        <v>2397</v>
      </c>
      <c r="D48" s="212" t="s">
        <v>939</v>
      </c>
      <c r="E48" s="213" t="s">
        <v>2381</v>
      </c>
      <c r="F48" s="109"/>
      <c r="G48" s="117" t="str">
        <f t="array" ref="G48">IFERROR("Row #"&amp;INDEX('Threat Atlas'!$A$6:$A$300,MATCH(B48,'Threat Atlas'!$M$6:$M$300,0)),"")</f>
        <v/>
      </c>
      <c r="H48" s="117" t="s">
        <v>2398</v>
      </c>
    </row>
    <row r="49" ht="58.5" customHeight="1">
      <c r="A49" s="1"/>
      <c r="B49" s="211" t="s">
        <v>2399</v>
      </c>
      <c r="C49" s="109" t="s">
        <v>2400</v>
      </c>
      <c r="D49" s="212" t="s">
        <v>2308</v>
      </c>
      <c r="E49" s="213" t="s">
        <v>2381</v>
      </c>
      <c r="F49" s="109"/>
      <c r="G49" s="117" t="str">
        <f t="array" ref="G49">IFERROR("Row #"&amp;INDEX('Threat Atlas'!$A$6:$A$300,MATCH(B49,'Threat Atlas'!$M$6:$M$300,0)),"")</f>
        <v/>
      </c>
      <c r="H49" s="117" t="s">
        <v>2398</v>
      </c>
    </row>
    <row r="50" ht="31.5" customHeight="1">
      <c r="A50" s="1"/>
      <c r="B50" s="211" t="s">
        <v>2401</v>
      </c>
      <c r="C50" s="109" t="s">
        <v>2402</v>
      </c>
      <c r="D50" s="212" t="s">
        <v>2403</v>
      </c>
      <c r="E50" s="213" t="s">
        <v>2381</v>
      </c>
      <c r="F50" s="109"/>
      <c r="G50" s="117" t="str">
        <f t="array" ref="G50">IFERROR("Row #"&amp;INDEX('Threat Atlas'!$A$6:$A$300,MATCH(B50,'Threat Atlas'!$M$6:$M$300,0)),"")</f>
        <v/>
      </c>
      <c r="H50" s="117"/>
    </row>
    <row r="51" ht="18.0" customHeight="1">
      <c r="A51" s="1"/>
      <c r="B51" s="211" t="s">
        <v>2404</v>
      </c>
      <c r="C51" s="109" t="s">
        <v>2405</v>
      </c>
      <c r="D51" s="212" t="s">
        <v>2304</v>
      </c>
      <c r="E51" s="213" t="s">
        <v>2381</v>
      </c>
      <c r="F51" s="109"/>
      <c r="G51" s="117" t="str">
        <f t="array" ref="G51">IFERROR("Row #"&amp;INDEX('Threat Atlas'!$A$6:$A$300,MATCH(B51,'Threat Atlas'!$M$6:$M$300,0)),"")</f>
        <v/>
      </c>
      <c r="H51" s="117" t="s">
        <v>2406</v>
      </c>
    </row>
    <row r="52" ht="31.5" customHeight="1">
      <c r="A52" s="1"/>
      <c r="B52" s="211" t="s">
        <v>2407</v>
      </c>
      <c r="C52" s="109" t="s">
        <v>2408</v>
      </c>
      <c r="D52" s="212" t="s">
        <v>2409</v>
      </c>
      <c r="E52" s="213" t="s">
        <v>2381</v>
      </c>
      <c r="F52" s="109"/>
      <c r="G52" s="117" t="str">
        <f t="array" ref="G52">IFERROR("Row #"&amp;INDEX('Threat Atlas'!$A$6:$A$300,MATCH(B52,'Threat Atlas'!$M$6:$M$300,0)),"")</f>
        <v/>
      </c>
      <c r="H52" s="117" t="s">
        <v>2410</v>
      </c>
    </row>
    <row r="53" ht="31.5" customHeight="1">
      <c r="A53" s="1"/>
      <c r="B53" s="211" t="s">
        <v>2411</v>
      </c>
      <c r="C53" s="109" t="s">
        <v>2412</v>
      </c>
      <c r="D53" s="212" t="s">
        <v>2316</v>
      </c>
      <c r="E53" s="213" t="s">
        <v>2381</v>
      </c>
      <c r="F53" s="109"/>
      <c r="G53" s="117" t="str">
        <f t="array" ref="G53">IFERROR("Row #"&amp;INDEX('Threat Atlas'!$A$6:$A$300,MATCH(B53,'Threat Atlas'!$M$6:$M$300,0)),"")</f>
        <v/>
      </c>
      <c r="H53" s="117"/>
    </row>
    <row r="54" ht="31.5" customHeight="1">
      <c r="A54" s="1"/>
      <c r="B54" s="211" t="s">
        <v>2413</v>
      </c>
      <c r="C54" s="109" t="s">
        <v>2414</v>
      </c>
      <c r="D54" s="212" t="s">
        <v>2292</v>
      </c>
      <c r="E54" s="213" t="s">
        <v>2381</v>
      </c>
      <c r="F54" s="109"/>
      <c r="G54" s="117" t="str">
        <f t="array" ref="G54">IFERROR("Row #"&amp;INDEX('Threat Atlas'!$A$6:$A$300,MATCH(B54,'Threat Atlas'!$M$6:$M$300,0)),"")</f>
        <v/>
      </c>
      <c r="H54" s="117" t="s">
        <v>2415</v>
      </c>
    </row>
    <row r="55" ht="18.0" customHeight="1">
      <c r="A55" s="1"/>
      <c r="B55" s="211" t="s">
        <v>2416</v>
      </c>
      <c r="C55" s="109" t="s">
        <v>2417</v>
      </c>
      <c r="D55" s="212" t="s">
        <v>2304</v>
      </c>
      <c r="E55" s="213" t="s">
        <v>2381</v>
      </c>
      <c r="F55" s="109"/>
      <c r="G55" s="117" t="str">
        <f t="array" ref="G55">IFERROR("Row #"&amp;INDEX('Threat Atlas'!$A$6:$A$300,MATCH(B55,'Threat Atlas'!$M$6:$M$300,0)),"")</f>
        <v/>
      </c>
      <c r="H55" s="117"/>
    </row>
    <row r="56" ht="18.0" customHeight="1">
      <c r="A56" s="1"/>
      <c r="B56" s="211" t="s">
        <v>2418</v>
      </c>
      <c r="C56" s="109" t="s">
        <v>2419</v>
      </c>
      <c r="D56" s="212" t="s">
        <v>2308</v>
      </c>
      <c r="E56" s="213" t="s">
        <v>2381</v>
      </c>
      <c r="F56" s="109"/>
      <c r="G56" s="117" t="str">
        <f t="array" ref="G56">IFERROR("Row #"&amp;INDEX('Threat Atlas'!$A$6:$A$300,MATCH(B56,'Threat Atlas'!$M$6:$M$300,0)),"")</f>
        <v/>
      </c>
      <c r="H56" s="117" t="s">
        <v>2420</v>
      </c>
    </row>
    <row r="57" ht="31.5" customHeight="1">
      <c r="A57" s="1"/>
      <c r="B57" s="211" t="s">
        <v>2421</v>
      </c>
      <c r="C57" s="109" t="s">
        <v>2422</v>
      </c>
      <c r="D57" s="212" t="s">
        <v>2352</v>
      </c>
      <c r="E57" s="213" t="s">
        <v>2381</v>
      </c>
      <c r="F57" s="109"/>
      <c r="G57" s="117" t="str">
        <f t="array" ref="G57">IFERROR("Row #"&amp;INDEX('Threat Atlas'!$A$6:$A$300,MATCH(B57,'Threat Atlas'!$M$6:$M$300,0)),"")</f>
        <v/>
      </c>
      <c r="H57" s="117" t="s">
        <v>2423</v>
      </c>
    </row>
    <row r="58" ht="18.0" customHeight="1">
      <c r="A58" s="1"/>
      <c r="B58" s="211" t="s">
        <v>2424</v>
      </c>
      <c r="C58" s="109" t="s">
        <v>2425</v>
      </c>
      <c r="D58" s="212" t="s">
        <v>939</v>
      </c>
      <c r="E58" s="213" t="s">
        <v>2381</v>
      </c>
      <c r="F58" s="109"/>
      <c r="G58" s="117" t="str">
        <f t="array" ref="G58">IFERROR("Row #"&amp;INDEX('Threat Atlas'!$A$6:$A$300,MATCH(B58,'Threat Atlas'!$M$6:$M$300,0)),"")</f>
        <v/>
      </c>
      <c r="H58" s="117"/>
    </row>
    <row r="59" ht="31.5" customHeight="1">
      <c r="A59" s="1"/>
      <c r="B59" s="211" t="s">
        <v>2426</v>
      </c>
      <c r="C59" s="109" t="s">
        <v>2427</v>
      </c>
      <c r="D59" s="212" t="s">
        <v>939</v>
      </c>
      <c r="E59" s="213" t="s">
        <v>2381</v>
      </c>
      <c r="F59" s="109"/>
      <c r="G59" s="117" t="str">
        <f t="array" ref="G59">IFERROR("Row #"&amp;INDEX('Threat Atlas'!$A$6:$A$300,MATCH(B59,'Threat Atlas'!$M$6:$M$300,0)),"")</f>
        <v/>
      </c>
      <c r="H59" s="117" t="s">
        <v>2428</v>
      </c>
    </row>
    <row r="60" ht="18.0" customHeight="1">
      <c r="A60" s="1"/>
      <c r="B60" s="211" t="s">
        <v>2429</v>
      </c>
      <c r="C60" s="109" t="s">
        <v>2430</v>
      </c>
      <c r="D60" s="212" t="s">
        <v>2352</v>
      </c>
      <c r="E60" s="213" t="s">
        <v>2381</v>
      </c>
      <c r="F60" s="109"/>
      <c r="G60" s="117" t="str">
        <f t="array" ref="G60">IFERROR("Row #"&amp;INDEX('Threat Atlas'!$A$6:$A$300,MATCH(B60,'Threat Atlas'!$M$6:$M$300,0)),"")</f>
        <v/>
      </c>
      <c r="H60" s="117" t="s">
        <v>2431</v>
      </c>
    </row>
    <row r="61" ht="18.0" customHeight="1">
      <c r="A61" s="1"/>
      <c r="B61" s="211" t="s">
        <v>2432</v>
      </c>
      <c r="C61" s="109" t="s">
        <v>2433</v>
      </c>
      <c r="D61" s="212" t="s">
        <v>2434</v>
      </c>
      <c r="E61" s="213" t="s">
        <v>2381</v>
      </c>
      <c r="F61" s="109"/>
      <c r="G61" s="117" t="str">
        <f t="array" ref="G61">IFERROR("Row #"&amp;INDEX('Threat Atlas'!$A$6:$A$300,MATCH(B61,'Threat Atlas'!$M$6:$M$300,0)),"")</f>
        <v/>
      </c>
      <c r="H61" s="117"/>
    </row>
    <row r="62" ht="31.5" customHeight="1">
      <c r="A62" s="1"/>
      <c r="B62" s="1"/>
      <c r="C62" s="1"/>
      <c r="D62" s="1"/>
      <c r="E62" s="1"/>
      <c r="F62" s="1"/>
      <c r="G62" s="1"/>
      <c r="H62" s="1"/>
    </row>
    <row r="63" ht="18.0" customHeight="1">
      <c r="A63" s="1"/>
      <c r="B63" s="1"/>
      <c r="C63" s="1"/>
      <c r="D63" s="1"/>
      <c r="E63" s="1"/>
      <c r="F63" s="1"/>
      <c r="G63" s="1"/>
      <c r="H63" s="1"/>
    </row>
    <row r="64" ht="31.5" customHeight="1">
      <c r="A64" s="1"/>
      <c r="B64" s="1"/>
      <c r="C64" s="1"/>
      <c r="D64" s="1"/>
      <c r="E64" s="1"/>
      <c r="F64" s="1"/>
      <c r="G64" s="1"/>
      <c r="H64" s="1"/>
    </row>
    <row r="65" ht="18.0" customHeight="1">
      <c r="A65" s="1"/>
      <c r="B65" s="1"/>
      <c r="C65" s="1"/>
      <c r="D65" s="1"/>
      <c r="E65" s="1"/>
      <c r="F65" s="1"/>
      <c r="G65" s="1"/>
      <c r="H65" s="1"/>
    </row>
    <row r="66" ht="18.0" customHeight="1">
      <c r="A66" s="1"/>
      <c r="B66" s="1"/>
      <c r="C66" s="1"/>
      <c r="D66" s="1"/>
      <c r="E66" s="1"/>
      <c r="F66" s="1"/>
      <c r="G66" s="1"/>
      <c r="H66" s="1"/>
    </row>
    <row r="67" ht="15.75" customHeight="1">
      <c r="A67" s="1"/>
      <c r="B67" s="1"/>
      <c r="C67" s="1"/>
      <c r="D67" s="1"/>
      <c r="E67" s="1"/>
      <c r="F67" s="1"/>
      <c r="G67" s="1"/>
      <c r="H67" s="1"/>
    </row>
    <row r="68" ht="15.75" customHeight="1">
      <c r="A68" s="1"/>
      <c r="B68" s="1"/>
      <c r="C68" s="1"/>
      <c r="D68" s="1"/>
      <c r="E68" s="1"/>
      <c r="F68" s="1"/>
      <c r="G68" s="1"/>
      <c r="H68" s="1"/>
    </row>
    <row r="69" ht="15.75" customHeight="1">
      <c r="A69" s="1"/>
      <c r="B69" s="1"/>
      <c r="C69" s="1"/>
      <c r="D69" s="1"/>
      <c r="E69" s="1"/>
      <c r="F69" s="1"/>
      <c r="G69" s="1"/>
      <c r="H69" s="1"/>
    </row>
    <row r="70" ht="15.75" customHeight="1">
      <c r="A70" s="1"/>
      <c r="B70" s="1"/>
      <c r="C70" s="1"/>
      <c r="D70" s="1"/>
      <c r="E70" s="1"/>
      <c r="F70" s="1"/>
      <c r="G70" s="1"/>
      <c r="H70" s="1"/>
    </row>
    <row r="71" ht="15.75" customHeight="1">
      <c r="A71" s="1"/>
      <c r="B71" s="1"/>
      <c r="C71" s="1"/>
      <c r="D71" s="1"/>
      <c r="E71" s="1"/>
      <c r="F71" s="1"/>
      <c r="G71" s="1"/>
      <c r="H71" s="1"/>
    </row>
    <row r="72" ht="15.75" customHeight="1">
      <c r="A72" s="1"/>
      <c r="B72" s="1"/>
      <c r="C72" s="1"/>
      <c r="D72" s="1"/>
      <c r="E72" s="1"/>
      <c r="F72" s="1"/>
      <c r="G72" s="1"/>
      <c r="H72" s="1"/>
    </row>
    <row r="73" ht="15.75" customHeight="1">
      <c r="A73" s="1"/>
      <c r="B73" s="1"/>
      <c r="C73" s="1"/>
      <c r="D73" s="1"/>
      <c r="E73" s="1"/>
      <c r="F73" s="1"/>
      <c r="G73" s="1"/>
      <c r="H73" s="1"/>
    </row>
    <row r="74" ht="15.75" customHeight="1">
      <c r="A74" s="1"/>
      <c r="B74" s="1"/>
      <c r="C74" s="1"/>
      <c r="D74" s="1"/>
      <c r="E74" s="1"/>
      <c r="F74" s="1"/>
      <c r="G74" s="1"/>
      <c r="H74" s="1"/>
    </row>
    <row r="75" ht="15.75" customHeight="1">
      <c r="A75" s="1"/>
      <c r="B75" s="1"/>
      <c r="C75" s="1"/>
      <c r="D75" s="1"/>
      <c r="E75" s="1"/>
      <c r="F75" s="1"/>
      <c r="G75" s="1"/>
      <c r="H75" s="1"/>
    </row>
    <row r="76" ht="15.75" customHeight="1">
      <c r="A76" s="1"/>
      <c r="B76" s="1"/>
      <c r="C76" s="1"/>
      <c r="D76" s="1"/>
      <c r="E76" s="1"/>
      <c r="F76" s="1"/>
      <c r="G76" s="1"/>
      <c r="H76" s="1"/>
    </row>
    <row r="77" ht="15.75" customHeight="1">
      <c r="A77" s="1"/>
      <c r="B77" s="1"/>
      <c r="C77" s="1"/>
      <c r="D77" s="1"/>
      <c r="E77" s="1"/>
      <c r="F77" s="1"/>
      <c r="G77" s="1"/>
      <c r="H77" s="1"/>
    </row>
    <row r="78" ht="15.75" customHeight="1">
      <c r="A78" s="1"/>
      <c r="B78" s="1"/>
      <c r="C78" s="1"/>
      <c r="D78" s="1"/>
      <c r="E78" s="1"/>
      <c r="F78" s="1"/>
      <c r="G78" s="1"/>
      <c r="H78" s="1"/>
    </row>
    <row r="79" ht="15.75" customHeight="1">
      <c r="A79" s="1"/>
      <c r="B79" s="1"/>
      <c r="C79" s="1"/>
      <c r="D79" s="1"/>
      <c r="E79" s="1"/>
      <c r="F79" s="1"/>
      <c r="G79" s="1"/>
      <c r="H79" s="1"/>
    </row>
    <row r="80" ht="15.75" customHeight="1">
      <c r="A80" s="1"/>
      <c r="B80" s="1"/>
      <c r="C80" s="1"/>
      <c r="D80" s="1"/>
      <c r="E80" s="1"/>
      <c r="F80" s="1"/>
      <c r="G80" s="1"/>
      <c r="H80" s="1"/>
    </row>
    <row r="81" ht="15.75" customHeight="1">
      <c r="A81" s="1"/>
      <c r="B81" s="1"/>
      <c r="C81" s="1"/>
      <c r="D81" s="1"/>
      <c r="E81" s="1"/>
      <c r="F81" s="1"/>
      <c r="G81" s="1"/>
      <c r="H81" s="1"/>
    </row>
    <row r="82" ht="15.75" customHeight="1">
      <c r="A82" s="1"/>
      <c r="B82" s="1"/>
      <c r="C82" s="1"/>
      <c r="D82" s="1"/>
      <c r="E82" s="1"/>
      <c r="F82" s="1"/>
      <c r="G82" s="1"/>
      <c r="H82" s="1"/>
    </row>
    <row r="83" ht="15.75" customHeight="1">
      <c r="A83" s="1"/>
      <c r="B83" s="1"/>
      <c r="C83" s="1"/>
      <c r="D83" s="1"/>
      <c r="E83" s="1"/>
      <c r="F83" s="1"/>
      <c r="G83" s="1"/>
      <c r="H83" s="1"/>
    </row>
    <row r="84" ht="15.75" customHeight="1">
      <c r="A84" s="1"/>
      <c r="B84" s="1"/>
      <c r="C84" s="1"/>
      <c r="D84" s="1"/>
      <c r="E84" s="1"/>
      <c r="F84" s="1"/>
      <c r="G84" s="1"/>
      <c r="H84" s="1"/>
    </row>
    <row r="85" ht="15.75" customHeight="1">
      <c r="A85" s="1"/>
      <c r="B85" s="1"/>
      <c r="C85" s="1"/>
      <c r="D85" s="1"/>
      <c r="E85" s="1"/>
      <c r="F85" s="1"/>
      <c r="G85" s="1"/>
      <c r="H85" s="1"/>
    </row>
    <row r="86" ht="15.75" customHeight="1">
      <c r="A86" s="1"/>
      <c r="B86" s="1"/>
      <c r="C86" s="1"/>
      <c r="D86" s="1"/>
      <c r="E86" s="1"/>
      <c r="F86" s="1"/>
      <c r="G86" s="1"/>
      <c r="H86" s="1"/>
    </row>
    <row r="87" ht="15.75" customHeight="1">
      <c r="A87" s="1"/>
      <c r="B87" s="1"/>
      <c r="C87" s="1"/>
      <c r="D87" s="1"/>
      <c r="E87" s="1"/>
      <c r="F87" s="1"/>
      <c r="G87" s="1"/>
      <c r="H87" s="1"/>
    </row>
    <row r="88" ht="15.75" customHeight="1">
      <c r="A88" s="1"/>
      <c r="B88" s="1"/>
      <c r="C88" s="1"/>
      <c r="D88" s="1"/>
      <c r="E88" s="1"/>
      <c r="F88" s="1"/>
      <c r="G88" s="1"/>
      <c r="H88" s="1"/>
    </row>
    <row r="89" ht="15.75" customHeight="1">
      <c r="A89" s="1"/>
      <c r="B89" s="1"/>
      <c r="C89" s="1"/>
      <c r="D89" s="1"/>
      <c r="E89" s="1"/>
      <c r="F89" s="1"/>
      <c r="G89" s="1"/>
      <c r="H89" s="1"/>
    </row>
    <row r="90" ht="15.75" customHeight="1">
      <c r="A90" s="1"/>
      <c r="B90" s="1"/>
      <c r="C90" s="1"/>
      <c r="D90" s="1"/>
      <c r="E90" s="1"/>
      <c r="F90" s="1"/>
      <c r="G90" s="1"/>
      <c r="H90" s="1"/>
    </row>
    <row r="91" ht="15.75" customHeight="1">
      <c r="A91" s="1"/>
      <c r="B91" s="1"/>
      <c r="C91" s="1"/>
      <c r="D91" s="1"/>
      <c r="E91" s="1"/>
      <c r="F91" s="1"/>
      <c r="G91" s="1"/>
      <c r="H91" s="1"/>
    </row>
    <row r="92" ht="15.75" customHeight="1">
      <c r="A92" s="1"/>
      <c r="B92" s="1"/>
      <c r="C92" s="1"/>
      <c r="D92" s="1"/>
      <c r="E92" s="1"/>
      <c r="F92" s="1"/>
      <c r="G92" s="1"/>
      <c r="H92" s="1"/>
    </row>
    <row r="93" ht="15.75" customHeight="1">
      <c r="A93" s="1"/>
      <c r="B93" s="1"/>
      <c r="C93" s="1"/>
      <c r="D93" s="1"/>
      <c r="E93" s="1"/>
      <c r="F93" s="1"/>
      <c r="G93" s="1"/>
      <c r="H93" s="1"/>
    </row>
    <row r="94" ht="15.75" customHeight="1">
      <c r="A94" s="1"/>
      <c r="B94" s="1"/>
      <c r="C94" s="1"/>
      <c r="D94" s="1"/>
      <c r="E94" s="1"/>
      <c r="F94" s="1"/>
      <c r="G94" s="1"/>
      <c r="H94" s="1"/>
    </row>
    <row r="95" ht="15.75" customHeight="1">
      <c r="A95" s="1"/>
      <c r="B95" s="1"/>
      <c r="C95" s="1"/>
      <c r="D95" s="1"/>
      <c r="E95" s="1"/>
      <c r="F95" s="1"/>
      <c r="G95" s="1"/>
      <c r="H95" s="1"/>
    </row>
    <row r="96" ht="15.75" customHeight="1">
      <c r="A96" s="1"/>
      <c r="B96" s="1"/>
      <c r="C96" s="1"/>
      <c r="D96" s="1"/>
      <c r="E96" s="1"/>
      <c r="F96" s="1"/>
      <c r="G96" s="1"/>
      <c r="H96" s="1"/>
    </row>
    <row r="97" ht="15.75" customHeight="1">
      <c r="A97" s="1"/>
      <c r="B97" s="1"/>
      <c r="C97" s="1"/>
      <c r="D97" s="1"/>
      <c r="E97" s="1"/>
      <c r="F97" s="1"/>
      <c r="G97" s="1"/>
      <c r="H97" s="1"/>
    </row>
    <row r="98" ht="15.75" customHeight="1">
      <c r="A98" s="1"/>
      <c r="B98" s="1"/>
      <c r="C98" s="1"/>
      <c r="D98" s="1"/>
      <c r="E98" s="1"/>
      <c r="F98" s="1"/>
      <c r="G98" s="1"/>
      <c r="H98" s="1"/>
    </row>
    <row r="99" ht="15.75" customHeight="1">
      <c r="A99" s="1"/>
      <c r="B99" s="1"/>
      <c r="C99" s="1"/>
      <c r="D99" s="1"/>
      <c r="E99" s="1"/>
      <c r="F99" s="1"/>
      <c r="G99" s="1"/>
      <c r="H99" s="1"/>
    </row>
    <row r="100" ht="15.75" customHeight="1">
      <c r="A100" s="1"/>
      <c r="B100" s="1"/>
      <c r="C100" s="1"/>
      <c r="D100" s="1"/>
      <c r="E100" s="1"/>
      <c r="F100" s="1"/>
      <c r="G100" s="1"/>
      <c r="H100" s="1"/>
    </row>
    <row r="101" ht="15.75" customHeight="1">
      <c r="A101" s="1"/>
      <c r="B101" s="1"/>
      <c r="C101" s="1"/>
      <c r="D101" s="1"/>
      <c r="E101" s="1"/>
      <c r="F101" s="1"/>
      <c r="G101" s="1"/>
      <c r="H101" s="1"/>
    </row>
    <row r="102" ht="15.75" customHeight="1">
      <c r="A102" s="1"/>
      <c r="B102" s="1"/>
      <c r="C102" s="1"/>
      <c r="D102" s="1"/>
      <c r="E102" s="1"/>
      <c r="F102" s="1"/>
      <c r="G102" s="1"/>
      <c r="H102" s="1"/>
    </row>
    <row r="103" ht="15.75" customHeight="1">
      <c r="A103" s="1"/>
      <c r="B103" s="1"/>
      <c r="C103" s="1"/>
      <c r="D103" s="1"/>
      <c r="E103" s="1"/>
      <c r="F103" s="1"/>
      <c r="G103" s="1"/>
      <c r="H103" s="1"/>
    </row>
    <row r="104" ht="15.75" customHeight="1">
      <c r="A104" s="1"/>
      <c r="B104" s="1"/>
      <c r="C104" s="1"/>
      <c r="D104" s="1"/>
      <c r="E104" s="1"/>
      <c r="F104" s="1"/>
      <c r="G104" s="1"/>
      <c r="H104" s="1"/>
    </row>
    <row r="105" ht="15.75" customHeight="1">
      <c r="A105" s="1"/>
      <c r="B105" s="1"/>
      <c r="C105" s="1"/>
      <c r="D105" s="1"/>
      <c r="E105" s="1"/>
      <c r="F105" s="1"/>
      <c r="G105" s="1"/>
      <c r="H105" s="1"/>
    </row>
    <row r="106" ht="15.75" customHeight="1">
      <c r="A106" s="1"/>
      <c r="B106" s="1"/>
      <c r="C106" s="1"/>
      <c r="D106" s="1"/>
      <c r="E106" s="1"/>
      <c r="F106" s="1"/>
      <c r="G106" s="1"/>
      <c r="H106" s="1"/>
    </row>
    <row r="107" ht="15.75" customHeight="1">
      <c r="A107" s="1"/>
      <c r="B107" s="1"/>
      <c r="C107" s="1"/>
      <c r="D107" s="1"/>
      <c r="E107" s="1"/>
      <c r="F107" s="1"/>
      <c r="G107" s="1"/>
      <c r="H107" s="1"/>
    </row>
    <row r="108" ht="15.75" customHeight="1">
      <c r="A108" s="1"/>
      <c r="B108" s="1"/>
      <c r="C108" s="1"/>
      <c r="D108" s="1"/>
      <c r="E108" s="1"/>
      <c r="F108" s="1"/>
      <c r="G108" s="1"/>
      <c r="H108" s="1"/>
    </row>
    <row r="109" ht="15.75" customHeight="1">
      <c r="A109" s="1"/>
      <c r="B109" s="1"/>
      <c r="C109" s="1"/>
      <c r="D109" s="1"/>
      <c r="E109" s="1"/>
      <c r="F109" s="1"/>
      <c r="G109" s="1"/>
      <c r="H109" s="1"/>
    </row>
    <row r="110" ht="15.75" customHeight="1">
      <c r="A110" s="1"/>
      <c r="B110" s="1"/>
      <c r="C110" s="1"/>
      <c r="D110" s="1"/>
      <c r="E110" s="1"/>
      <c r="F110" s="1"/>
      <c r="G110" s="1"/>
      <c r="H110" s="1"/>
    </row>
    <row r="111" ht="15.75" customHeight="1">
      <c r="A111" s="1"/>
      <c r="B111" s="1"/>
      <c r="C111" s="1"/>
      <c r="D111" s="1"/>
      <c r="E111" s="1"/>
      <c r="F111" s="1"/>
      <c r="G111" s="1"/>
      <c r="H111" s="1"/>
    </row>
    <row r="112" ht="15.75" customHeight="1">
      <c r="A112" s="1"/>
      <c r="B112" s="1"/>
      <c r="C112" s="1"/>
      <c r="D112" s="1"/>
      <c r="E112" s="1"/>
      <c r="F112" s="1"/>
      <c r="G112" s="1"/>
      <c r="H112" s="1"/>
    </row>
    <row r="113" ht="15.75" customHeight="1">
      <c r="A113" s="1"/>
      <c r="B113" s="1"/>
      <c r="C113" s="1"/>
      <c r="D113" s="1"/>
      <c r="E113" s="1"/>
      <c r="F113" s="1"/>
      <c r="G113" s="1"/>
      <c r="H113" s="1"/>
    </row>
    <row r="114" ht="15.75" customHeight="1">
      <c r="A114" s="1"/>
      <c r="B114" s="1"/>
      <c r="C114" s="1"/>
      <c r="D114" s="1"/>
      <c r="E114" s="1"/>
      <c r="F114" s="1"/>
      <c r="G114" s="1"/>
      <c r="H114" s="1"/>
    </row>
    <row r="115" ht="15.75" customHeight="1">
      <c r="A115" s="1"/>
      <c r="B115" s="1"/>
      <c r="C115" s="1"/>
      <c r="D115" s="1"/>
      <c r="E115" s="1"/>
      <c r="F115" s="1"/>
      <c r="G115" s="1"/>
      <c r="H115" s="1"/>
    </row>
    <row r="116" ht="15.75" customHeight="1">
      <c r="A116" s="1"/>
      <c r="B116" s="1"/>
      <c r="C116" s="1"/>
      <c r="D116" s="1"/>
      <c r="E116" s="1"/>
      <c r="F116" s="1"/>
      <c r="G116" s="1"/>
      <c r="H116" s="1"/>
    </row>
    <row r="117" ht="15.75" customHeight="1">
      <c r="A117" s="1"/>
      <c r="B117" s="1"/>
      <c r="C117" s="1"/>
      <c r="D117" s="1"/>
      <c r="E117" s="1"/>
      <c r="F117" s="1"/>
      <c r="G117" s="1"/>
      <c r="H117" s="1"/>
    </row>
    <row r="118" ht="15.75" customHeight="1">
      <c r="A118" s="1"/>
      <c r="B118" s="1"/>
      <c r="C118" s="1"/>
      <c r="D118" s="1"/>
      <c r="E118" s="1"/>
      <c r="F118" s="1"/>
      <c r="G118" s="1"/>
      <c r="H118" s="1"/>
    </row>
    <row r="119" ht="15.75" customHeight="1">
      <c r="A119" s="1"/>
      <c r="B119" s="1"/>
      <c r="C119" s="1"/>
      <c r="D119" s="1"/>
      <c r="E119" s="1"/>
      <c r="F119" s="1"/>
      <c r="G119" s="1"/>
      <c r="H119" s="1"/>
    </row>
    <row r="120" ht="15.75" customHeight="1">
      <c r="A120" s="1"/>
      <c r="B120" s="1"/>
      <c r="C120" s="1"/>
      <c r="D120" s="1"/>
      <c r="E120" s="1"/>
      <c r="F120" s="1"/>
      <c r="G120" s="1"/>
      <c r="H120" s="1"/>
    </row>
    <row r="121" ht="15.75" customHeight="1">
      <c r="A121" s="1"/>
      <c r="B121" s="1"/>
      <c r="C121" s="1"/>
      <c r="D121" s="1"/>
      <c r="E121" s="1"/>
      <c r="F121" s="1"/>
      <c r="G121" s="1"/>
      <c r="H121" s="1"/>
    </row>
    <row r="122" ht="15.75" customHeight="1">
      <c r="A122" s="1"/>
      <c r="B122" s="1"/>
      <c r="C122" s="1"/>
      <c r="D122" s="1"/>
      <c r="E122" s="1"/>
      <c r="F122" s="1"/>
      <c r="G122" s="1"/>
      <c r="H122" s="1"/>
    </row>
    <row r="123" ht="15.75" customHeight="1">
      <c r="A123" s="1"/>
      <c r="B123" s="1"/>
      <c r="C123" s="1"/>
      <c r="D123" s="1"/>
      <c r="E123" s="1"/>
      <c r="F123" s="1"/>
      <c r="G123" s="1"/>
      <c r="H123" s="1"/>
    </row>
    <row r="124" ht="15.75" customHeight="1">
      <c r="A124" s="1"/>
      <c r="B124" s="1"/>
      <c r="C124" s="1"/>
      <c r="D124" s="1"/>
      <c r="E124" s="1"/>
      <c r="F124" s="1"/>
      <c r="G124" s="1"/>
      <c r="H124" s="1"/>
    </row>
    <row r="125" ht="15.75" customHeight="1">
      <c r="A125" s="1"/>
      <c r="B125" s="1"/>
      <c r="C125" s="1"/>
      <c r="D125" s="1"/>
      <c r="E125" s="1"/>
      <c r="F125" s="1"/>
      <c r="G125" s="1"/>
      <c r="H125" s="1"/>
    </row>
    <row r="126" ht="15.75" customHeight="1">
      <c r="A126" s="1"/>
      <c r="B126" s="1"/>
      <c r="C126" s="1"/>
      <c r="D126" s="1"/>
      <c r="E126" s="1"/>
      <c r="F126" s="1"/>
      <c r="G126" s="1"/>
      <c r="H126" s="1"/>
    </row>
    <row r="127" ht="15.75" customHeight="1">
      <c r="A127" s="1"/>
      <c r="B127" s="1"/>
      <c r="C127" s="1"/>
      <c r="D127" s="1"/>
      <c r="E127" s="1"/>
      <c r="F127" s="1"/>
      <c r="G127" s="1"/>
      <c r="H127" s="1"/>
    </row>
    <row r="128" ht="15.75" customHeight="1">
      <c r="A128" s="1"/>
      <c r="B128" s="1"/>
      <c r="C128" s="1"/>
      <c r="D128" s="1"/>
      <c r="E128" s="1"/>
      <c r="F128" s="1"/>
      <c r="G128" s="1"/>
      <c r="H128" s="1"/>
    </row>
    <row r="129" ht="15.75" customHeight="1">
      <c r="A129" s="1"/>
      <c r="B129" s="1"/>
      <c r="C129" s="1"/>
      <c r="D129" s="1"/>
      <c r="E129" s="1"/>
      <c r="F129" s="1"/>
      <c r="G129" s="1"/>
      <c r="H129" s="1"/>
    </row>
    <row r="130" ht="15.75" customHeight="1">
      <c r="A130" s="1"/>
      <c r="B130" s="1"/>
      <c r="C130" s="1"/>
      <c r="D130" s="1"/>
      <c r="E130" s="1"/>
      <c r="F130" s="1"/>
      <c r="G130" s="1"/>
      <c r="H130" s="1"/>
    </row>
    <row r="131" ht="15.75" customHeight="1">
      <c r="A131" s="1"/>
      <c r="B131" s="1"/>
      <c r="C131" s="1"/>
      <c r="D131" s="1"/>
      <c r="E131" s="1"/>
      <c r="F131" s="1"/>
      <c r="G131" s="1"/>
      <c r="H131" s="1"/>
    </row>
    <row r="132" ht="15.75" customHeight="1">
      <c r="A132" s="1"/>
      <c r="B132" s="1"/>
      <c r="C132" s="1"/>
      <c r="D132" s="1"/>
      <c r="E132" s="1"/>
      <c r="F132" s="1"/>
      <c r="G132" s="1"/>
      <c r="H132" s="1"/>
    </row>
    <row r="133" ht="15.75" customHeight="1">
      <c r="A133" s="1"/>
      <c r="B133" s="1"/>
      <c r="C133" s="1"/>
      <c r="D133" s="1"/>
      <c r="E133" s="1"/>
      <c r="F133" s="1"/>
      <c r="G133" s="1"/>
      <c r="H133" s="1"/>
    </row>
    <row r="134" ht="15.75" customHeight="1">
      <c r="A134" s="1"/>
      <c r="B134" s="1"/>
      <c r="C134" s="1"/>
      <c r="D134" s="1"/>
      <c r="E134" s="1"/>
      <c r="F134" s="1"/>
      <c r="G134" s="1"/>
      <c r="H134" s="1"/>
    </row>
    <row r="135" ht="15.75" customHeight="1">
      <c r="A135" s="1"/>
      <c r="B135" s="1"/>
      <c r="C135" s="1"/>
      <c r="D135" s="1"/>
      <c r="E135" s="1"/>
      <c r="F135" s="1"/>
      <c r="G135" s="1"/>
      <c r="H135" s="1"/>
    </row>
    <row r="136" ht="15.75" customHeight="1">
      <c r="A136" s="1"/>
      <c r="B136" s="1"/>
      <c r="C136" s="1"/>
      <c r="D136" s="1"/>
      <c r="E136" s="1"/>
      <c r="F136" s="1"/>
      <c r="G136" s="1"/>
      <c r="H136" s="1"/>
    </row>
    <row r="137" ht="15.75" customHeight="1">
      <c r="A137" s="1"/>
      <c r="B137" s="1"/>
      <c r="C137" s="1"/>
      <c r="D137" s="1"/>
      <c r="E137" s="1"/>
      <c r="F137" s="1"/>
      <c r="G137" s="1"/>
      <c r="H137" s="1"/>
    </row>
    <row r="138" ht="15.75" customHeight="1">
      <c r="A138" s="1"/>
      <c r="B138" s="1"/>
      <c r="C138" s="1"/>
      <c r="D138" s="1"/>
      <c r="E138" s="1"/>
      <c r="F138" s="1"/>
      <c r="G138" s="1"/>
      <c r="H138" s="1"/>
    </row>
    <row r="139" ht="15.75" customHeight="1">
      <c r="A139" s="1"/>
      <c r="B139" s="1"/>
      <c r="C139" s="1"/>
      <c r="D139" s="1"/>
      <c r="E139" s="1"/>
      <c r="F139" s="1"/>
      <c r="G139" s="1"/>
      <c r="H139" s="1"/>
    </row>
    <row r="140" ht="15.75" customHeight="1">
      <c r="A140" s="1"/>
      <c r="B140" s="1"/>
      <c r="C140" s="1"/>
      <c r="D140" s="1"/>
      <c r="E140" s="1"/>
      <c r="F140" s="1"/>
      <c r="G140" s="1"/>
      <c r="H140" s="1"/>
    </row>
    <row r="141" ht="15.75" customHeight="1">
      <c r="A141" s="1"/>
      <c r="B141" s="1"/>
      <c r="C141" s="1"/>
      <c r="D141" s="1"/>
      <c r="E141" s="1"/>
      <c r="F141" s="1"/>
      <c r="G141" s="1"/>
      <c r="H141" s="1"/>
    </row>
    <row r="142" ht="15.75" customHeight="1">
      <c r="A142" s="1"/>
      <c r="B142" s="1"/>
      <c r="C142" s="1"/>
      <c r="D142" s="1"/>
      <c r="E142" s="1"/>
      <c r="F142" s="1"/>
      <c r="G142" s="1"/>
      <c r="H142" s="1"/>
    </row>
    <row r="143" ht="15.75" customHeight="1">
      <c r="A143" s="1"/>
      <c r="B143" s="1"/>
      <c r="C143" s="1"/>
      <c r="D143" s="1"/>
      <c r="E143" s="1"/>
      <c r="F143" s="1"/>
      <c r="G143" s="1"/>
      <c r="H143" s="1"/>
    </row>
    <row r="144" ht="15.75" customHeight="1">
      <c r="A144" s="1"/>
      <c r="B144" s="1"/>
      <c r="C144" s="1"/>
      <c r="D144" s="1"/>
      <c r="E144" s="1"/>
      <c r="F144" s="1"/>
      <c r="G144" s="1"/>
      <c r="H144" s="1"/>
    </row>
    <row r="145" ht="15.75" customHeight="1">
      <c r="A145" s="1"/>
      <c r="B145" s="1"/>
      <c r="C145" s="1"/>
      <c r="D145" s="1"/>
      <c r="E145" s="1"/>
      <c r="F145" s="1"/>
      <c r="G145" s="1"/>
      <c r="H145" s="1"/>
    </row>
    <row r="146" ht="15.75" customHeight="1">
      <c r="A146" s="1"/>
      <c r="B146" s="1"/>
      <c r="C146" s="1"/>
      <c r="D146" s="1"/>
      <c r="E146" s="1"/>
      <c r="F146" s="1"/>
      <c r="G146" s="1"/>
      <c r="H146" s="1"/>
    </row>
    <row r="147" ht="15.75" customHeight="1">
      <c r="A147" s="1"/>
      <c r="B147" s="1"/>
      <c r="C147" s="1"/>
      <c r="D147" s="1"/>
      <c r="E147" s="1"/>
      <c r="F147" s="1"/>
      <c r="G147" s="1"/>
      <c r="H147" s="1"/>
    </row>
    <row r="148" ht="15.75" customHeight="1">
      <c r="A148" s="1"/>
      <c r="B148" s="1"/>
      <c r="C148" s="1"/>
      <c r="D148" s="1"/>
      <c r="E148" s="1"/>
      <c r="F148" s="1"/>
      <c r="G148" s="1"/>
      <c r="H148" s="1"/>
    </row>
    <row r="149" ht="15.75" customHeight="1">
      <c r="A149" s="1"/>
      <c r="B149" s="1"/>
      <c r="C149" s="1"/>
      <c r="D149" s="1"/>
      <c r="E149" s="1"/>
      <c r="F149" s="1"/>
      <c r="G149" s="1"/>
      <c r="H149" s="1"/>
    </row>
    <row r="150" ht="15.75" customHeight="1">
      <c r="A150" s="1"/>
      <c r="B150" s="1"/>
      <c r="C150" s="1"/>
      <c r="D150" s="1"/>
      <c r="E150" s="1"/>
      <c r="F150" s="1"/>
      <c r="G150" s="1"/>
      <c r="H150" s="1"/>
    </row>
    <row r="151" ht="15.75" customHeight="1">
      <c r="A151" s="1"/>
      <c r="B151" s="1"/>
      <c r="C151" s="1"/>
      <c r="D151" s="1"/>
      <c r="E151" s="1"/>
      <c r="F151" s="1"/>
      <c r="G151" s="1"/>
      <c r="H151" s="1"/>
    </row>
    <row r="152" ht="15.75" customHeight="1">
      <c r="A152" s="1"/>
      <c r="B152" s="1"/>
      <c r="C152" s="1"/>
      <c r="D152" s="1"/>
      <c r="E152" s="1"/>
      <c r="F152" s="1"/>
      <c r="G152" s="1"/>
      <c r="H152" s="1"/>
    </row>
    <row r="153" ht="15.75" customHeight="1">
      <c r="A153" s="1"/>
      <c r="B153" s="1"/>
      <c r="C153" s="1"/>
      <c r="D153" s="1"/>
      <c r="E153" s="1"/>
      <c r="F153" s="1"/>
      <c r="G153" s="1"/>
      <c r="H153" s="1"/>
    </row>
    <row r="154" ht="15.75" customHeight="1">
      <c r="A154" s="1"/>
      <c r="B154" s="1"/>
      <c r="C154" s="1"/>
      <c r="D154" s="1"/>
      <c r="E154" s="1"/>
      <c r="F154" s="1"/>
      <c r="G154" s="1"/>
      <c r="H154" s="1"/>
    </row>
    <row r="155" ht="15.75" customHeight="1">
      <c r="A155" s="1"/>
      <c r="B155" s="1"/>
      <c r="C155" s="1"/>
      <c r="D155" s="1"/>
      <c r="E155" s="1"/>
      <c r="F155" s="1"/>
      <c r="G155" s="1"/>
      <c r="H155" s="1"/>
    </row>
    <row r="156" ht="15.75" customHeight="1">
      <c r="A156" s="1"/>
      <c r="B156" s="1"/>
      <c r="C156" s="1"/>
      <c r="D156" s="1"/>
      <c r="E156" s="1"/>
      <c r="F156" s="1"/>
      <c r="G156" s="1"/>
      <c r="H156" s="1"/>
    </row>
    <row r="157" ht="15.75" customHeight="1">
      <c r="A157" s="1"/>
      <c r="B157" s="1"/>
      <c r="C157" s="1"/>
      <c r="D157" s="1"/>
      <c r="E157" s="1"/>
      <c r="F157" s="1"/>
      <c r="G157" s="1"/>
      <c r="H157" s="1"/>
    </row>
    <row r="158" ht="15.75" customHeight="1">
      <c r="A158" s="1"/>
      <c r="B158" s="1"/>
      <c r="C158" s="1"/>
      <c r="D158" s="1"/>
      <c r="E158" s="1"/>
      <c r="F158" s="1"/>
      <c r="G158" s="1"/>
      <c r="H158" s="1"/>
    </row>
    <row r="159" ht="15.75" customHeight="1">
      <c r="A159" s="1"/>
      <c r="B159" s="1"/>
      <c r="C159" s="1"/>
      <c r="D159" s="1"/>
      <c r="E159" s="1"/>
      <c r="F159" s="1"/>
      <c r="G159" s="1"/>
      <c r="H159" s="1"/>
    </row>
    <row r="160" ht="15.75" customHeight="1">
      <c r="A160" s="1"/>
      <c r="B160" s="1"/>
      <c r="C160" s="1"/>
      <c r="D160" s="1"/>
      <c r="E160" s="1"/>
      <c r="F160" s="1"/>
      <c r="G160" s="1"/>
      <c r="H160" s="1"/>
    </row>
    <row r="161" ht="15.75" customHeight="1">
      <c r="A161" s="1"/>
      <c r="B161" s="1"/>
      <c r="C161" s="1"/>
      <c r="D161" s="1"/>
      <c r="E161" s="1"/>
      <c r="F161" s="1"/>
      <c r="G161" s="1"/>
      <c r="H161" s="1"/>
    </row>
    <row r="162" ht="15.75" customHeight="1">
      <c r="A162" s="1"/>
      <c r="B162" s="1"/>
      <c r="C162" s="1"/>
      <c r="D162" s="1"/>
      <c r="E162" s="1"/>
      <c r="F162" s="1"/>
      <c r="G162" s="1"/>
      <c r="H162" s="1"/>
    </row>
    <row r="163" ht="15.75" customHeight="1">
      <c r="A163" s="1"/>
      <c r="B163" s="1"/>
      <c r="C163" s="1"/>
      <c r="D163" s="1"/>
      <c r="E163" s="1"/>
      <c r="F163" s="1"/>
      <c r="G163" s="1"/>
      <c r="H163" s="1"/>
    </row>
    <row r="164" ht="15.75" customHeight="1">
      <c r="A164" s="1"/>
      <c r="B164" s="1"/>
      <c r="C164" s="1"/>
      <c r="D164" s="1"/>
      <c r="E164" s="1"/>
      <c r="F164" s="1"/>
      <c r="G164" s="1"/>
      <c r="H164" s="1"/>
    </row>
    <row r="165" ht="15.75" customHeight="1">
      <c r="A165" s="1"/>
      <c r="B165" s="1"/>
      <c r="C165" s="1"/>
      <c r="D165" s="1"/>
      <c r="E165" s="1"/>
      <c r="F165" s="1"/>
      <c r="G165" s="1"/>
      <c r="H165" s="1"/>
    </row>
    <row r="166" ht="15.75" customHeight="1">
      <c r="A166" s="1"/>
      <c r="B166" s="1"/>
      <c r="C166" s="1"/>
      <c r="D166" s="1"/>
      <c r="E166" s="1"/>
      <c r="F166" s="1"/>
      <c r="G166" s="1"/>
      <c r="H166" s="1"/>
    </row>
    <row r="167" ht="15.75" customHeight="1">
      <c r="A167" s="1"/>
      <c r="B167" s="1"/>
      <c r="C167" s="1"/>
      <c r="D167" s="1"/>
      <c r="E167" s="1"/>
      <c r="F167" s="1"/>
      <c r="G167" s="1"/>
      <c r="H167" s="1"/>
    </row>
    <row r="168" ht="15.75" customHeight="1">
      <c r="A168" s="1"/>
      <c r="B168" s="1"/>
      <c r="C168" s="1"/>
      <c r="D168" s="1"/>
      <c r="E168" s="1"/>
      <c r="F168" s="1"/>
      <c r="G168" s="1"/>
      <c r="H168" s="1"/>
    </row>
    <row r="169" ht="15.75" customHeight="1">
      <c r="A169" s="1"/>
      <c r="B169" s="1"/>
      <c r="C169" s="1"/>
      <c r="D169" s="1"/>
      <c r="E169" s="1"/>
      <c r="F169" s="1"/>
      <c r="G169" s="1"/>
      <c r="H169" s="1"/>
    </row>
    <row r="170" ht="15.75" customHeight="1">
      <c r="A170" s="1"/>
      <c r="B170" s="1"/>
      <c r="C170" s="1"/>
      <c r="D170" s="1"/>
      <c r="E170" s="1"/>
      <c r="F170" s="1"/>
      <c r="G170" s="1"/>
      <c r="H170" s="1"/>
    </row>
    <row r="171" ht="15.75" customHeight="1">
      <c r="A171" s="1"/>
      <c r="B171" s="1"/>
      <c r="C171" s="1"/>
      <c r="D171" s="1"/>
      <c r="E171" s="1"/>
      <c r="F171" s="1"/>
      <c r="G171" s="1"/>
      <c r="H171" s="1"/>
    </row>
    <row r="172" ht="15.75" customHeight="1">
      <c r="A172" s="1"/>
      <c r="B172" s="1"/>
      <c r="C172" s="1"/>
      <c r="D172" s="1"/>
      <c r="E172" s="1"/>
      <c r="F172" s="1"/>
      <c r="G172" s="1"/>
      <c r="H172" s="1"/>
    </row>
    <row r="173" ht="15.75" customHeight="1">
      <c r="A173" s="1"/>
      <c r="B173" s="1"/>
      <c r="C173" s="1"/>
      <c r="D173" s="1"/>
      <c r="E173" s="1"/>
      <c r="F173" s="1"/>
      <c r="G173" s="1"/>
      <c r="H173" s="1"/>
    </row>
    <row r="174" ht="15.75" customHeight="1">
      <c r="A174" s="1"/>
      <c r="B174" s="1"/>
      <c r="C174" s="1"/>
      <c r="D174" s="1"/>
      <c r="E174" s="1"/>
      <c r="F174" s="1"/>
      <c r="G174" s="1"/>
      <c r="H174" s="1"/>
    </row>
    <row r="175" ht="15.75" customHeight="1">
      <c r="A175" s="1"/>
      <c r="B175" s="1"/>
      <c r="C175" s="1"/>
      <c r="D175" s="1"/>
      <c r="E175" s="1"/>
      <c r="F175" s="1"/>
      <c r="G175" s="1"/>
      <c r="H175" s="1"/>
    </row>
    <row r="176" ht="15.75" customHeight="1">
      <c r="A176" s="1"/>
      <c r="B176" s="1"/>
      <c r="C176" s="1"/>
      <c r="D176" s="1"/>
      <c r="E176" s="1"/>
      <c r="F176" s="1"/>
      <c r="G176" s="1"/>
      <c r="H176" s="1"/>
    </row>
    <row r="177" ht="15.75" customHeight="1">
      <c r="A177" s="1"/>
      <c r="B177" s="1"/>
      <c r="C177" s="1"/>
      <c r="D177" s="1"/>
      <c r="E177" s="1"/>
      <c r="F177" s="1"/>
      <c r="G177" s="1"/>
      <c r="H177" s="1"/>
    </row>
    <row r="178" ht="15.75" customHeight="1">
      <c r="A178" s="1"/>
      <c r="B178" s="1"/>
      <c r="C178" s="1"/>
      <c r="D178" s="1"/>
      <c r="E178" s="1"/>
      <c r="F178" s="1"/>
      <c r="G178" s="1"/>
      <c r="H178" s="1"/>
    </row>
    <row r="179" ht="15.75" customHeight="1">
      <c r="A179" s="1"/>
      <c r="B179" s="1"/>
      <c r="C179" s="1"/>
      <c r="D179" s="1"/>
      <c r="E179" s="1"/>
      <c r="F179" s="1"/>
      <c r="G179" s="1"/>
      <c r="H179" s="1"/>
    </row>
    <row r="180" ht="15.75" customHeight="1">
      <c r="A180" s="1"/>
      <c r="B180" s="1"/>
      <c r="C180" s="1"/>
      <c r="D180" s="1"/>
      <c r="E180" s="1"/>
      <c r="F180" s="1"/>
      <c r="G180" s="1"/>
      <c r="H180" s="1"/>
    </row>
    <row r="181" ht="15.75" customHeight="1">
      <c r="A181" s="1"/>
      <c r="B181" s="1"/>
      <c r="C181" s="1"/>
      <c r="D181" s="1"/>
      <c r="E181" s="1"/>
      <c r="F181" s="1"/>
      <c r="G181" s="1"/>
      <c r="H181" s="1"/>
    </row>
    <row r="182" ht="15.75" customHeight="1">
      <c r="A182" s="1"/>
      <c r="B182" s="1"/>
      <c r="C182" s="1"/>
      <c r="D182" s="1"/>
      <c r="E182" s="1"/>
      <c r="F182" s="1"/>
      <c r="G182" s="1"/>
      <c r="H182" s="1"/>
    </row>
    <row r="183" ht="15.75" customHeight="1">
      <c r="A183" s="1"/>
      <c r="B183" s="1"/>
      <c r="C183" s="1"/>
      <c r="D183" s="1"/>
      <c r="E183" s="1"/>
      <c r="F183" s="1"/>
      <c r="G183" s="1"/>
      <c r="H183" s="1"/>
    </row>
    <row r="184" ht="15.75" customHeight="1">
      <c r="A184" s="1"/>
      <c r="B184" s="1"/>
      <c r="C184" s="1"/>
      <c r="D184" s="1"/>
      <c r="E184" s="1"/>
      <c r="F184" s="1"/>
      <c r="G184" s="1"/>
      <c r="H184" s="1"/>
    </row>
    <row r="185" ht="15.75" customHeight="1">
      <c r="A185" s="1"/>
      <c r="B185" s="1"/>
      <c r="C185" s="1"/>
      <c r="D185" s="1"/>
      <c r="E185" s="1"/>
      <c r="F185" s="1"/>
      <c r="G185" s="1"/>
      <c r="H185" s="1"/>
    </row>
    <row r="186" ht="15.75" customHeight="1">
      <c r="A186" s="1"/>
      <c r="B186" s="1"/>
      <c r="C186" s="1"/>
      <c r="D186" s="1"/>
      <c r="E186" s="1"/>
      <c r="F186" s="1"/>
      <c r="G186" s="1"/>
      <c r="H186" s="1"/>
    </row>
    <row r="187" ht="15.75" customHeight="1">
      <c r="A187" s="1"/>
      <c r="B187" s="1"/>
      <c r="C187" s="1"/>
      <c r="D187" s="1"/>
      <c r="E187" s="1"/>
      <c r="F187" s="1"/>
      <c r="G187" s="1"/>
      <c r="H187" s="1"/>
    </row>
    <row r="188" ht="15.75" customHeight="1">
      <c r="A188" s="1"/>
      <c r="B188" s="1"/>
      <c r="C188" s="1"/>
      <c r="D188" s="1"/>
      <c r="E188" s="1"/>
      <c r="F188" s="1"/>
      <c r="G188" s="1"/>
      <c r="H188" s="1"/>
    </row>
    <row r="189" ht="15.75" customHeight="1">
      <c r="A189" s="1"/>
      <c r="B189" s="1"/>
      <c r="C189" s="1"/>
      <c r="D189" s="1"/>
      <c r="E189" s="1"/>
      <c r="F189" s="1"/>
      <c r="G189" s="1"/>
      <c r="H189" s="1"/>
    </row>
    <row r="190" ht="15.75" customHeight="1">
      <c r="A190" s="1"/>
      <c r="B190" s="1"/>
      <c r="C190" s="1"/>
      <c r="D190" s="1"/>
      <c r="E190" s="1"/>
      <c r="F190" s="1"/>
      <c r="G190" s="1"/>
      <c r="H190" s="1"/>
    </row>
    <row r="191" ht="15.75" customHeight="1">
      <c r="A191" s="1"/>
      <c r="B191" s="1"/>
      <c r="C191" s="1"/>
      <c r="D191" s="1"/>
      <c r="E191" s="1"/>
      <c r="F191" s="1"/>
      <c r="G191" s="1"/>
      <c r="H191" s="1"/>
    </row>
    <row r="192" ht="15.75" customHeight="1">
      <c r="A192" s="1"/>
      <c r="B192" s="1"/>
      <c r="C192" s="1"/>
      <c r="D192" s="1"/>
      <c r="E192" s="1"/>
      <c r="F192" s="1"/>
      <c r="G192" s="1"/>
      <c r="H192" s="1"/>
    </row>
    <row r="193" ht="15.75" customHeight="1">
      <c r="A193" s="1"/>
      <c r="B193" s="1"/>
      <c r="C193" s="1"/>
      <c r="D193" s="1"/>
      <c r="E193" s="1"/>
      <c r="F193" s="1"/>
      <c r="G193" s="1"/>
      <c r="H193" s="1"/>
    </row>
    <row r="194" ht="15.75" customHeight="1">
      <c r="A194" s="1"/>
      <c r="B194" s="1"/>
      <c r="C194" s="1"/>
      <c r="D194" s="1"/>
      <c r="E194" s="1"/>
      <c r="F194" s="1"/>
      <c r="G194" s="1"/>
      <c r="H194" s="1"/>
    </row>
    <row r="195" ht="15.75" customHeight="1">
      <c r="A195" s="1"/>
      <c r="B195" s="1"/>
      <c r="C195" s="1"/>
      <c r="D195" s="1"/>
      <c r="E195" s="1"/>
      <c r="F195" s="1"/>
      <c r="G195" s="1"/>
      <c r="H195" s="1"/>
    </row>
    <row r="196" ht="15.75" customHeight="1">
      <c r="A196" s="1"/>
      <c r="B196" s="1"/>
      <c r="C196" s="1"/>
      <c r="D196" s="1"/>
      <c r="E196" s="1"/>
      <c r="F196" s="1"/>
      <c r="G196" s="1"/>
      <c r="H196" s="1"/>
    </row>
    <row r="197" ht="15.75" customHeight="1">
      <c r="A197" s="1"/>
      <c r="B197" s="1"/>
      <c r="C197" s="1"/>
      <c r="D197" s="1"/>
      <c r="E197" s="1"/>
      <c r="F197" s="1"/>
      <c r="G197" s="1"/>
      <c r="H197" s="1"/>
    </row>
    <row r="198" ht="15.75" customHeight="1">
      <c r="A198" s="1"/>
      <c r="B198" s="1"/>
      <c r="C198" s="1"/>
      <c r="D198" s="1"/>
      <c r="E198" s="1"/>
      <c r="F198" s="1"/>
      <c r="G198" s="1"/>
      <c r="H198" s="1"/>
    </row>
    <row r="199" ht="15.75" customHeight="1">
      <c r="A199" s="1"/>
      <c r="B199" s="1"/>
      <c r="C199" s="1"/>
      <c r="D199" s="1"/>
      <c r="E199" s="1"/>
      <c r="F199" s="1"/>
      <c r="G199" s="1"/>
      <c r="H199" s="1"/>
    </row>
    <row r="200" ht="15.75" customHeight="1">
      <c r="A200" s="1"/>
      <c r="B200" s="1"/>
      <c r="C200" s="1"/>
      <c r="D200" s="1"/>
      <c r="E200" s="1"/>
      <c r="F200" s="1"/>
      <c r="G200" s="1"/>
      <c r="H200" s="1"/>
    </row>
    <row r="201" ht="15.75" customHeight="1">
      <c r="A201" s="1"/>
      <c r="B201" s="1"/>
      <c r="C201" s="1"/>
      <c r="D201" s="1"/>
      <c r="E201" s="1"/>
      <c r="F201" s="1"/>
      <c r="G201" s="1"/>
      <c r="H201" s="1"/>
    </row>
    <row r="202" ht="15.75" customHeight="1">
      <c r="A202" s="1"/>
      <c r="B202" s="1"/>
      <c r="C202" s="1"/>
      <c r="D202" s="1"/>
      <c r="E202" s="1"/>
      <c r="F202" s="1"/>
      <c r="G202" s="1"/>
      <c r="H202" s="1"/>
    </row>
    <row r="203" ht="15.75" customHeight="1">
      <c r="A203" s="1"/>
      <c r="B203" s="1"/>
      <c r="C203" s="1"/>
      <c r="D203" s="1"/>
      <c r="E203" s="1"/>
      <c r="F203" s="1"/>
      <c r="G203" s="1"/>
      <c r="H203" s="1"/>
    </row>
    <row r="204" ht="15.75" customHeight="1">
      <c r="A204" s="1"/>
      <c r="B204" s="1"/>
      <c r="C204" s="1"/>
      <c r="D204" s="1"/>
      <c r="E204" s="1"/>
      <c r="F204" s="1"/>
      <c r="G204" s="1"/>
      <c r="H204" s="1"/>
    </row>
    <row r="205" ht="15.75" customHeight="1">
      <c r="A205" s="1"/>
      <c r="B205" s="1"/>
      <c r="C205" s="1"/>
      <c r="D205" s="1"/>
      <c r="E205" s="1"/>
      <c r="F205" s="1"/>
      <c r="G205" s="1"/>
      <c r="H205" s="1"/>
    </row>
    <row r="206" ht="15.75" customHeight="1">
      <c r="A206" s="1"/>
      <c r="B206" s="1"/>
      <c r="C206" s="1"/>
      <c r="D206" s="1"/>
      <c r="E206" s="1"/>
      <c r="F206" s="1"/>
      <c r="G206" s="1"/>
      <c r="H206" s="1"/>
    </row>
    <row r="207" ht="15.75" customHeight="1">
      <c r="A207" s="1"/>
      <c r="B207" s="1"/>
      <c r="C207" s="1"/>
      <c r="D207" s="1"/>
      <c r="E207" s="1"/>
      <c r="F207" s="1"/>
      <c r="G207" s="1"/>
      <c r="H207" s="1"/>
    </row>
    <row r="208" ht="15.75" customHeight="1">
      <c r="A208" s="1"/>
      <c r="B208" s="1"/>
      <c r="C208" s="1"/>
      <c r="D208" s="1"/>
      <c r="E208" s="1"/>
      <c r="F208" s="1"/>
      <c r="G208" s="1"/>
      <c r="H208" s="1"/>
    </row>
    <row r="209" ht="15.75" customHeight="1">
      <c r="A209" s="1"/>
      <c r="B209" s="1"/>
      <c r="C209" s="1"/>
      <c r="D209" s="1"/>
      <c r="E209" s="1"/>
      <c r="F209" s="1"/>
      <c r="G209" s="1"/>
      <c r="H209" s="1"/>
    </row>
    <row r="210" ht="15.75" customHeight="1">
      <c r="A210" s="1"/>
      <c r="B210" s="1"/>
      <c r="C210" s="1"/>
      <c r="D210" s="1"/>
      <c r="E210" s="1"/>
      <c r="F210" s="1"/>
      <c r="G210" s="1"/>
      <c r="H210" s="1"/>
    </row>
    <row r="211" ht="15.75" customHeight="1">
      <c r="A211" s="1"/>
      <c r="B211" s="1"/>
      <c r="C211" s="1"/>
      <c r="D211" s="1"/>
      <c r="E211" s="1"/>
      <c r="F211" s="1"/>
      <c r="G211" s="1"/>
      <c r="H211" s="1"/>
    </row>
    <row r="212" ht="15.75" customHeight="1">
      <c r="A212" s="1"/>
      <c r="B212" s="1"/>
      <c r="C212" s="1"/>
      <c r="D212" s="1"/>
      <c r="E212" s="1"/>
      <c r="F212" s="1"/>
      <c r="G212" s="1"/>
      <c r="H212" s="1"/>
    </row>
    <row r="213" ht="15.75" customHeight="1">
      <c r="A213" s="1"/>
      <c r="B213" s="1"/>
      <c r="C213" s="1"/>
      <c r="D213" s="1"/>
      <c r="E213" s="1"/>
      <c r="F213" s="1"/>
      <c r="G213" s="1"/>
      <c r="H213" s="1"/>
    </row>
    <row r="214" ht="15.75" customHeight="1">
      <c r="A214" s="1"/>
      <c r="B214" s="1"/>
      <c r="C214" s="1"/>
      <c r="D214" s="1"/>
      <c r="E214" s="1"/>
      <c r="F214" s="1"/>
      <c r="G214" s="1"/>
      <c r="H214" s="1"/>
    </row>
    <row r="215" ht="15.75" customHeight="1">
      <c r="A215" s="1"/>
      <c r="B215" s="1"/>
      <c r="C215" s="1"/>
      <c r="D215" s="1"/>
      <c r="E215" s="1"/>
      <c r="F215" s="1"/>
      <c r="G215" s="1"/>
      <c r="H215" s="1"/>
    </row>
    <row r="216" ht="15.75" customHeight="1">
      <c r="A216" s="1"/>
      <c r="B216" s="1"/>
      <c r="C216" s="1"/>
      <c r="D216" s="1"/>
      <c r="E216" s="1"/>
      <c r="F216" s="1"/>
      <c r="G216" s="1"/>
      <c r="H216" s="1"/>
    </row>
    <row r="217" ht="15.75" customHeight="1">
      <c r="A217" s="1"/>
      <c r="B217" s="1"/>
      <c r="C217" s="1"/>
      <c r="D217" s="1"/>
      <c r="E217" s="1"/>
      <c r="F217" s="1"/>
      <c r="G217" s="1"/>
      <c r="H217" s="1"/>
    </row>
    <row r="218" ht="15.75" customHeight="1">
      <c r="A218" s="1"/>
      <c r="B218" s="1"/>
      <c r="C218" s="1"/>
      <c r="D218" s="1"/>
      <c r="E218" s="1"/>
      <c r="F218" s="1"/>
      <c r="G218" s="1"/>
      <c r="H218" s="1"/>
    </row>
    <row r="219" ht="15.75" customHeight="1">
      <c r="A219" s="1"/>
      <c r="B219" s="1"/>
      <c r="C219" s="1"/>
      <c r="D219" s="1"/>
      <c r="E219" s="1"/>
      <c r="F219" s="1"/>
      <c r="G219" s="1"/>
      <c r="H219" s="1"/>
    </row>
    <row r="220" ht="15.75" customHeight="1">
      <c r="A220" s="1"/>
      <c r="B220" s="1"/>
      <c r="C220" s="1"/>
      <c r="D220" s="1"/>
      <c r="E220" s="1"/>
      <c r="F220" s="1"/>
      <c r="G220" s="1"/>
      <c r="H220" s="1"/>
    </row>
    <row r="221" ht="15.75" customHeight="1">
      <c r="A221" s="1"/>
      <c r="B221" s="1"/>
      <c r="C221" s="1"/>
      <c r="D221" s="1"/>
      <c r="E221" s="1"/>
      <c r="F221" s="1"/>
      <c r="G221" s="1"/>
      <c r="H221" s="1"/>
    </row>
    <row r="222" ht="15.75" customHeight="1">
      <c r="A222" s="1"/>
      <c r="B222" s="1"/>
      <c r="C222" s="1"/>
      <c r="D222" s="1"/>
      <c r="E222" s="1"/>
      <c r="F222" s="1"/>
      <c r="G222" s="1"/>
      <c r="H222" s="1"/>
    </row>
    <row r="223" ht="15.75" customHeight="1">
      <c r="A223" s="1"/>
      <c r="B223" s="1"/>
      <c r="C223" s="1"/>
      <c r="D223" s="1"/>
      <c r="E223" s="1"/>
      <c r="F223" s="1"/>
      <c r="G223" s="1"/>
      <c r="H223" s="1"/>
    </row>
    <row r="224" ht="15.75" customHeight="1">
      <c r="A224" s="1"/>
      <c r="B224" s="1"/>
      <c r="C224" s="1"/>
      <c r="D224" s="1"/>
      <c r="E224" s="1"/>
      <c r="F224" s="1"/>
      <c r="G224" s="1"/>
      <c r="H224" s="1"/>
    </row>
    <row r="225" ht="15.75" customHeight="1">
      <c r="A225" s="1"/>
      <c r="B225" s="1"/>
      <c r="C225" s="1"/>
      <c r="D225" s="1"/>
      <c r="E225" s="1"/>
      <c r="F225" s="1"/>
      <c r="G225" s="1"/>
      <c r="H225" s="1"/>
    </row>
    <row r="226" ht="15.75" customHeight="1">
      <c r="A226" s="1"/>
      <c r="B226" s="1"/>
      <c r="C226" s="1"/>
      <c r="D226" s="1"/>
      <c r="E226" s="1"/>
      <c r="F226" s="1"/>
      <c r="G226" s="1"/>
      <c r="H226" s="1"/>
    </row>
    <row r="227" ht="15.75" customHeight="1">
      <c r="A227" s="1"/>
      <c r="B227" s="1"/>
      <c r="C227" s="1"/>
      <c r="D227" s="1"/>
      <c r="E227" s="1"/>
      <c r="F227" s="1"/>
      <c r="G227" s="1"/>
      <c r="H227" s="1"/>
    </row>
    <row r="228" ht="15.75" customHeight="1">
      <c r="A228" s="1"/>
      <c r="B228" s="1"/>
      <c r="C228" s="1"/>
      <c r="D228" s="1"/>
      <c r="E228" s="1"/>
      <c r="F228" s="1"/>
      <c r="G228" s="1"/>
      <c r="H228" s="1"/>
    </row>
    <row r="229" ht="15.75" customHeight="1">
      <c r="A229" s="1"/>
      <c r="B229" s="1"/>
      <c r="C229" s="1"/>
      <c r="D229" s="1"/>
      <c r="E229" s="1"/>
      <c r="F229" s="1"/>
      <c r="G229" s="1"/>
      <c r="H229" s="1"/>
    </row>
    <row r="230" ht="15.75" customHeight="1">
      <c r="A230" s="1"/>
      <c r="B230" s="1"/>
      <c r="C230" s="1"/>
      <c r="D230" s="1"/>
      <c r="E230" s="1"/>
      <c r="F230" s="1"/>
      <c r="G230" s="1"/>
      <c r="H230" s="1"/>
    </row>
    <row r="231" ht="15.75" customHeight="1">
      <c r="A231" s="1"/>
      <c r="B231" s="1"/>
      <c r="C231" s="1"/>
      <c r="D231" s="1"/>
      <c r="E231" s="1"/>
      <c r="F231" s="1"/>
      <c r="G231" s="1"/>
      <c r="H231" s="1"/>
    </row>
    <row r="232" ht="15.75" customHeight="1">
      <c r="A232" s="1"/>
      <c r="B232" s="1"/>
      <c r="C232" s="1"/>
      <c r="D232" s="1"/>
      <c r="E232" s="1"/>
      <c r="F232" s="1"/>
      <c r="G232" s="1"/>
      <c r="H232" s="1"/>
    </row>
    <row r="233" ht="15.75" customHeight="1">
      <c r="A233" s="1"/>
      <c r="B233" s="1"/>
      <c r="C233" s="1"/>
      <c r="D233" s="1"/>
      <c r="E233" s="1"/>
      <c r="F233" s="1"/>
      <c r="G233" s="1"/>
      <c r="H233" s="1"/>
    </row>
    <row r="234" ht="15.75" customHeight="1">
      <c r="A234" s="1"/>
      <c r="B234" s="1"/>
      <c r="C234" s="1"/>
      <c r="D234" s="1"/>
      <c r="E234" s="1"/>
      <c r="F234" s="1"/>
      <c r="G234" s="1"/>
      <c r="H234" s="1"/>
    </row>
    <row r="235" ht="15.75" customHeight="1">
      <c r="A235" s="1"/>
      <c r="B235" s="1"/>
      <c r="C235" s="1"/>
      <c r="D235" s="1"/>
      <c r="E235" s="1"/>
      <c r="F235" s="1"/>
      <c r="G235" s="1"/>
      <c r="H235" s="1"/>
    </row>
    <row r="236" ht="15.75" customHeight="1">
      <c r="A236" s="1"/>
      <c r="B236" s="1"/>
      <c r="C236" s="1"/>
      <c r="D236" s="1"/>
      <c r="E236" s="1"/>
      <c r="F236" s="1"/>
      <c r="G236" s="1"/>
      <c r="H236" s="1"/>
    </row>
    <row r="237" ht="15.75" customHeight="1">
      <c r="A237" s="1"/>
      <c r="B237" s="1"/>
      <c r="C237" s="1"/>
      <c r="D237" s="1"/>
      <c r="E237" s="1"/>
      <c r="F237" s="1"/>
      <c r="G237" s="1"/>
      <c r="H237" s="1"/>
    </row>
    <row r="238" ht="15.75" customHeight="1">
      <c r="A238" s="1"/>
      <c r="B238" s="1"/>
      <c r="C238" s="1"/>
      <c r="D238" s="1"/>
      <c r="E238" s="1"/>
      <c r="F238" s="1"/>
      <c r="G238" s="1"/>
      <c r="H238" s="1"/>
    </row>
    <row r="239" ht="15.75" customHeight="1">
      <c r="A239" s="1"/>
      <c r="B239" s="1"/>
      <c r="C239" s="1"/>
      <c r="D239" s="1"/>
      <c r="E239" s="1"/>
      <c r="F239" s="1"/>
      <c r="G239" s="1"/>
      <c r="H239" s="1"/>
    </row>
    <row r="240" ht="15.75" customHeight="1">
      <c r="A240" s="1"/>
      <c r="B240" s="1"/>
      <c r="C240" s="1"/>
      <c r="D240" s="1"/>
      <c r="E240" s="1"/>
      <c r="F240" s="1"/>
      <c r="G240" s="1"/>
      <c r="H240" s="1"/>
    </row>
    <row r="241" ht="15.75" customHeight="1">
      <c r="A241" s="1"/>
      <c r="B241" s="1"/>
      <c r="C241" s="1"/>
      <c r="D241" s="1"/>
      <c r="E241" s="1"/>
      <c r="F241" s="1"/>
      <c r="G241" s="1"/>
      <c r="H241" s="1"/>
    </row>
    <row r="242" ht="15.75" customHeight="1">
      <c r="A242" s="1"/>
      <c r="B242" s="1"/>
      <c r="C242" s="1"/>
      <c r="D242" s="1"/>
      <c r="E242" s="1"/>
      <c r="F242" s="1"/>
      <c r="G242" s="1"/>
      <c r="H242" s="1"/>
    </row>
    <row r="243" ht="15.75" customHeight="1">
      <c r="A243" s="1"/>
      <c r="B243" s="1"/>
      <c r="C243" s="1"/>
      <c r="D243" s="1"/>
      <c r="E243" s="1"/>
      <c r="F243" s="1"/>
      <c r="G243" s="1"/>
      <c r="H243" s="1"/>
    </row>
    <row r="244" ht="15.75" customHeight="1">
      <c r="A244" s="1"/>
      <c r="B244" s="1"/>
      <c r="C244" s="1"/>
      <c r="D244" s="1"/>
      <c r="E244" s="1"/>
      <c r="F244" s="1"/>
      <c r="G244" s="1"/>
      <c r="H244" s="1"/>
    </row>
    <row r="245" ht="15.75" customHeight="1">
      <c r="A245" s="1"/>
      <c r="B245" s="1"/>
      <c r="C245" s="1"/>
      <c r="D245" s="1"/>
      <c r="E245" s="1"/>
      <c r="F245" s="1"/>
      <c r="G245" s="1"/>
      <c r="H245" s="1"/>
    </row>
    <row r="246" ht="15.75" customHeight="1">
      <c r="A246" s="1"/>
      <c r="B246" s="1"/>
      <c r="C246" s="1"/>
      <c r="D246" s="1"/>
      <c r="E246" s="1"/>
      <c r="F246" s="1"/>
      <c r="G246" s="1"/>
      <c r="H246" s="1"/>
    </row>
    <row r="247" ht="15.75" customHeight="1">
      <c r="A247" s="1"/>
      <c r="B247" s="1"/>
      <c r="C247" s="1"/>
      <c r="D247" s="1"/>
      <c r="E247" s="1"/>
      <c r="F247" s="1"/>
      <c r="G247" s="1"/>
      <c r="H247" s="1"/>
    </row>
    <row r="248" ht="15.75" customHeight="1">
      <c r="A248" s="1"/>
      <c r="B248" s="1"/>
      <c r="C248" s="1"/>
      <c r="D248" s="1"/>
      <c r="E248" s="1"/>
      <c r="F248" s="1"/>
      <c r="G248" s="1"/>
      <c r="H248" s="1"/>
    </row>
    <row r="249" ht="15.75" customHeight="1">
      <c r="A249" s="1"/>
      <c r="B249" s="1"/>
      <c r="C249" s="1"/>
      <c r="D249" s="1"/>
      <c r="E249" s="1"/>
      <c r="F249" s="1"/>
      <c r="G249" s="1"/>
      <c r="H249" s="1"/>
    </row>
    <row r="250" ht="15.75" customHeight="1">
      <c r="A250" s="1"/>
      <c r="B250" s="1"/>
      <c r="C250" s="1"/>
      <c r="D250" s="1"/>
      <c r="E250" s="1"/>
      <c r="F250" s="1"/>
      <c r="G250" s="1"/>
      <c r="H250" s="1"/>
    </row>
    <row r="251" ht="15.75" customHeight="1">
      <c r="A251" s="1"/>
      <c r="B251" s="1"/>
      <c r="C251" s="1"/>
      <c r="D251" s="1"/>
      <c r="E251" s="1"/>
      <c r="F251" s="1"/>
      <c r="G251" s="1"/>
      <c r="H251" s="1"/>
    </row>
    <row r="252" ht="15.75" customHeight="1">
      <c r="A252" s="1"/>
      <c r="B252" s="1"/>
      <c r="C252" s="1"/>
      <c r="D252" s="1"/>
      <c r="E252" s="1"/>
      <c r="F252" s="1"/>
      <c r="G252" s="1"/>
      <c r="H252" s="1"/>
    </row>
    <row r="253" ht="15.75" customHeight="1">
      <c r="A253" s="1"/>
      <c r="B253" s="1"/>
      <c r="C253" s="1"/>
      <c r="D253" s="1"/>
      <c r="E253" s="1"/>
      <c r="F253" s="1"/>
      <c r="G253" s="1"/>
      <c r="H253" s="1"/>
    </row>
    <row r="254" ht="15.75" customHeight="1">
      <c r="A254" s="1"/>
      <c r="B254" s="1"/>
      <c r="C254" s="1"/>
      <c r="D254" s="1"/>
      <c r="E254" s="1"/>
      <c r="F254" s="1"/>
      <c r="G254" s="1"/>
      <c r="H254" s="1"/>
    </row>
    <row r="255" ht="15.75" customHeight="1">
      <c r="A255" s="1"/>
      <c r="B255" s="1"/>
      <c r="C255" s="1"/>
      <c r="D255" s="1"/>
      <c r="E255" s="1"/>
      <c r="F255" s="1"/>
      <c r="G255" s="1"/>
      <c r="H255" s="1"/>
    </row>
    <row r="256" ht="15.75" customHeight="1">
      <c r="A256" s="1"/>
      <c r="B256" s="1"/>
      <c r="C256" s="1"/>
      <c r="D256" s="1"/>
      <c r="E256" s="1"/>
      <c r="F256" s="1"/>
      <c r="G256" s="1"/>
      <c r="H256" s="1"/>
    </row>
    <row r="257" ht="15.75" customHeight="1">
      <c r="A257" s="1"/>
      <c r="B257" s="1"/>
      <c r="C257" s="1"/>
      <c r="D257" s="1"/>
      <c r="E257" s="1"/>
      <c r="F257" s="1"/>
      <c r="G257" s="1"/>
      <c r="H257" s="1"/>
    </row>
    <row r="258" ht="15.75" customHeight="1">
      <c r="A258" s="1"/>
      <c r="B258" s="1"/>
      <c r="C258" s="1"/>
      <c r="D258" s="1"/>
      <c r="E258" s="1"/>
      <c r="F258" s="1"/>
      <c r="G258" s="1"/>
      <c r="H258" s="1"/>
    </row>
    <row r="259" ht="15.75" customHeight="1">
      <c r="A259" s="1"/>
      <c r="B259" s="1"/>
      <c r="C259" s="1"/>
      <c r="D259" s="1"/>
      <c r="E259" s="1"/>
      <c r="F259" s="1"/>
      <c r="G259" s="1"/>
      <c r="H259" s="1"/>
    </row>
    <row r="260" ht="15.75" customHeight="1">
      <c r="A260" s="1"/>
      <c r="B260" s="1"/>
      <c r="C260" s="1"/>
      <c r="D260" s="1"/>
      <c r="E260" s="1"/>
      <c r="F260" s="1"/>
      <c r="G260" s="1"/>
      <c r="H260" s="1"/>
    </row>
    <row r="261" ht="15.75" customHeight="1">
      <c r="A261" s="1"/>
      <c r="B261" s="1"/>
      <c r="C261" s="1"/>
      <c r="D261" s="1"/>
      <c r="E261" s="1"/>
      <c r="F261" s="1"/>
      <c r="G261" s="1"/>
      <c r="H261" s="1"/>
    </row>
    <row r="262" ht="15.75" customHeight="1">
      <c r="A262" s="1"/>
      <c r="B262" s="1"/>
      <c r="C262" s="1"/>
      <c r="D262" s="1"/>
      <c r="E262" s="1"/>
      <c r="F262" s="1"/>
      <c r="G262" s="1"/>
      <c r="H262" s="1"/>
    </row>
    <row r="263" ht="15.75" customHeight="1">
      <c r="A263" s="1"/>
      <c r="B263" s="1"/>
      <c r="C263" s="1"/>
      <c r="D263" s="1"/>
      <c r="E263" s="1"/>
      <c r="F263" s="1"/>
      <c r="G263" s="1"/>
      <c r="H263" s="1"/>
    </row>
    <row r="264" ht="15.75" customHeight="1">
      <c r="A264" s="1"/>
      <c r="B264" s="1"/>
      <c r="C264" s="1"/>
      <c r="D264" s="1"/>
      <c r="E264" s="1"/>
      <c r="F264" s="1"/>
      <c r="G264" s="1"/>
      <c r="H264" s="1"/>
    </row>
    <row r="265" ht="15.75" customHeight="1">
      <c r="A265" s="1"/>
      <c r="B265" s="1"/>
      <c r="C265" s="1"/>
      <c r="D265" s="1"/>
      <c r="E265" s="1"/>
      <c r="F265" s="1"/>
      <c r="G265" s="1"/>
      <c r="H265" s="1"/>
    </row>
    <row r="266" ht="15.75" customHeight="1">
      <c r="A266" s="1"/>
      <c r="B266" s="1"/>
      <c r="C266" s="1"/>
      <c r="D266" s="1"/>
      <c r="E266" s="1"/>
      <c r="F266" s="1"/>
      <c r="G266" s="1"/>
      <c r="H266" s="1"/>
    </row>
    <row r="267" ht="15.75" customHeight="1">
      <c r="A267" s="1"/>
      <c r="B267" s="1"/>
      <c r="C267" s="1"/>
      <c r="D267" s="1"/>
      <c r="E267" s="1"/>
      <c r="F267" s="1"/>
      <c r="G267" s="1"/>
      <c r="H267" s="1"/>
    </row>
    <row r="268" ht="15.75" customHeight="1">
      <c r="A268" s="1"/>
      <c r="B268" s="1"/>
      <c r="C268" s="1"/>
      <c r="D268" s="1"/>
      <c r="E268" s="1"/>
      <c r="F268" s="1"/>
      <c r="G268" s="1"/>
      <c r="H268" s="1"/>
    </row>
    <row r="269" ht="15.75" customHeight="1">
      <c r="A269" s="1"/>
      <c r="B269" s="1"/>
      <c r="C269" s="1"/>
      <c r="D269" s="1"/>
      <c r="E269" s="1"/>
      <c r="F269" s="1"/>
      <c r="G269" s="1"/>
      <c r="H269" s="1"/>
    </row>
    <row r="270" ht="15.75" customHeight="1">
      <c r="A270" s="1"/>
      <c r="B270" s="1"/>
      <c r="C270" s="1"/>
      <c r="D270" s="1"/>
      <c r="E270" s="1"/>
      <c r="F270" s="1"/>
      <c r="G270" s="1"/>
      <c r="H270" s="1"/>
    </row>
    <row r="271" ht="15.75" customHeight="1">
      <c r="A271" s="1"/>
      <c r="B271" s="1"/>
      <c r="C271" s="1"/>
      <c r="D271" s="1"/>
      <c r="E271" s="1"/>
      <c r="F271" s="1"/>
      <c r="G271" s="1"/>
      <c r="H271" s="1"/>
    </row>
    <row r="272" ht="15.75" customHeight="1">
      <c r="A272" s="1"/>
      <c r="B272" s="1"/>
      <c r="C272" s="1"/>
      <c r="D272" s="1"/>
      <c r="E272" s="1"/>
      <c r="F272" s="1"/>
      <c r="G272" s="1"/>
      <c r="H272" s="1"/>
    </row>
    <row r="273" ht="15.75" customHeight="1">
      <c r="A273" s="1"/>
      <c r="B273" s="1"/>
      <c r="C273" s="1"/>
      <c r="D273" s="1"/>
      <c r="E273" s="1"/>
      <c r="F273" s="1"/>
      <c r="G273" s="1"/>
      <c r="H273" s="1"/>
    </row>
    <row r="274" ht="15.75" customHeight="1">
      <c r="A274" s="1"/>
      <c r="B274" s="1"/>
      <c r="C274" s="1"/>
      <c r="D274" s="1"/>
      <c r="E274" s="1"/>
      <c r="F274" s="1"/>
      <c r="G274" s="1"/>
      <c r="H274" s="1"/>
    </row>
    <row r="275" ht="15.75" customHeight="1">
      <c r="A275" s="1"/>
      <c r="B275" s="1"/>
      <c r="C275" s="1"/>
      <c r="D275" s="1"/>
      <c r="E275" s="1"/>
      <c r="F275" s="1"/>
      <c r="G275" s="1"/>
      <c r="H275" s="1"/>
    </row>
    <row r="276" ht="15.75" customHeight="1">
      <c r="A276" s="1"/>
      <c r="B276" s="1"/>
      <c r="C276" s="1"/>
      <c r="D276" s="1"/>
      <c r="E276" s="1"/>
      <c r="F276" s="1"/>
      <c r="G276" s="1"/>
      <c r="H276" s="1"/>
    </row>
    <row r="277" ht="15.75" customHeight="1">
      <c r="A277" s="1"/>
      <c r="B277" s="1"/>
      <c r="C277" s="1"/>
      <c r="D277" s="1"/>
      <c r="E277" s="1"/>
      <c r="F277" s="1"/>
      <c r="G277" s="1"/>
      <c r="H277" s="1"/>
    </row>
    <row r="278" ht="15.75" customHeight="1">
      <c r="A278" s="1"/>
      <c r="B278" s="1"/>
      <c r="C278" s="1"/>
      <c r="D278" s="1"/>
      <c r="E278" s="1"/>
      <c r="F278" s="1"/>
      <c r="G278" s="1"/>
      <c r="H278" s="1"/>
    </row>
    <row r="279" ht="15.75" customHeight="1">
      <c r="A279" s="1"/>
      <c r="B279" s="1"/>
      <c r="C279" s="1"/>
      <c r="D279" s="1"/>
      <c r="E279" s="1"/>
      <c r="F279" s="1"/>
      <c r="G279" s="1"/>
      <c r="H279" s="1"/>
    </row>
    <row r="280" ht="15.75" customHeight="1">
      <c r="A280" s="1"/>
      <c r="B280" s="1"/>
      <c r="C280" s="1"/>
      <c r="D280" s="1"/>
      <c r="E280" s="1"/>
      <c r="F280" s="1"/>
      <c r="G280" s="1"/>
      <c r="H280" s="1"/>
    </row>
    <row r="281" ht="15.75" customHeight="1">
      <c r="A281" s="1"/>
      <c r="B281" s="1"/>
      <c r="C281" s="1"/>
      <c r="D281" s="1"/>
      <c r="E281" s="1"/>
      <c r="F281" s="1"/>
      <c r="G281" s="1"/>
      <c r="H281" s="1"/>
    </row>
    <row r="282" ht="15.75" customHeight="1">
      <c r="A282" s="1"/>
      <c r="B282" s="1"/>
      <c r="C282" s="1"/>
      <c r="D282" s="1"/>
      <c r="E282" s="1"/>
      <c r="F282" s="1"/>
      <c r="G282" s="1"/>
      <c r="H282" s="1"/>
    </row>
    <row r="283" ht="15.75" customHeight="1">
      <c r="A283" s="1"/>
      <c r="B283" s="1"/>
      <c r="C283" s="1"/>
      <c r="D283" s="1"/>
      <c r="E283" s="1"/>
      <c r="F283" s="1"/>
      <c r="G283" s="1"/>
      <c r="H283" s="1"/>
    </row>
    <row r="284" ht="15.75" customHeight="1">
      <c r="A284" s="1"/>
      <c r="B284" s="1"/>
      <c r="C284" s="1"/>
      <c r="D284" s="1"/>
      <c r="E284" s="1"/>
      <c r="F284" s="1"/>
      <c r="G284" s="1"/>
      <c r="H284" s="1"/>
    </row>
    <row r="285" ht="15.75" customHeight="1">
      <c r="A285" s="1"/>
      <c r="B285" s="1"/>
      <c r="C285" s="1"/>
      <c r="D285" s="1"/>
      <c r="E285" s="1"/>
      <c r="F285" s="1"/>
      <c r="G285" s="1"/>
      <c r="H285" s="1"/>
    </row>
    <row r="286" ht="15.75" customHeight="1">
      <c r="A286" s="1"/>
      <c r="B286" s="1"/>
      <c r="C286" s="1"/>
      <c r="D286" s="1"/>
      <c r="E286" s="1"/>
      <c r="F286" s="1"/>
      <c r="G286" s="1"/>
      <c r="H286" s="1"/>
    </row>
    <row r="287" ht="15.75" customHeight="1">
      <c r="A287" s="1"/>
      <c r="B287" s="1"/>
      <c r="C287" s="1"/>
      <c r="D287" s="1"/>
      <c r="E287" s="1"/>
      <c r="F287" s="1"/>
      <c r="G287" s="1"/>
      <c r="H287" s="1"/>
    </row>
    <row r="288" ht="15.75" customHeight="1">
      <c r="A288" s="1"/>
      <c r="B288" s="1"/>
      <c r="C288" s="1"/>
      <c r="D288" s="1"/>
      <c r="E288" s="1"/>
      <c r="F288" s="1"/>
      <c r="G288" s="1"/>
      <c r="H288" s="1"/>
    </row>
    <row r="289" ht="15.75" customHeight="1">
      <c r="A289" s="1"/>
      <c r="B289" s="1"/>
      <c r="C289" s="1"/>
      <c r="D289" s="1"/>
      <c r="E289" s="1"/>
      <c r="F289" s="1"/>
      <c r="G289" s="1"/>
      <c r="H289" s="1"/>
    </row>
    <row r="290" ht="15.75" customHeight="1">
      <c r="A290" s="1"/>
      <c r="B290" s="1"/>
      <c r="C290" s="1"/>
      <c r="D290" s="1"/>
      <c r="E290" s="1"/>
      <c r="F290" s="1"/>
      <c r="G290" s="1"/>
      <c r="H290" s="1"/>
    </row>
    <row r="291" ht="15.75" customHeight="1">
      <c r="A291" s="1"/>
      <c r="B291" s="1"/>
      <c r="C291" s="1"/>
      <c r="D291" s="1"/>
      <c r="E291" s="1"/>
      <c r="F291" s="1"/>
      <c r="G291" s="1"/>
      <c r="H291" s="1"/>
    </row>
    <row r="292" ht="15.75" customHeight="1">
      <c r="A292" s="1"/>
      <c r="B292" s="1"/>
      <c r="C292" s="1"/>
      <c r="D292" s="1"/>
      <c r="E292" s="1"/>
      <c r="F292" s="1"/>
      <c r="G292" s="1"/>
      <c r="H292" s="1"/>
    </row>
    <row r="293" ht="15.75" customHeight="1">
      <c r="A293" s="1"/>
      <c r="B293" s="1"/>
      <c r="C293" s="1"/>
      <c r="D293" s="1"/>
      <c r="E293" s="1"/>
      <c r="F293" s="1"/>
      <c r="G293" s="1"/>
      <c r="H293" s="1"/>
    </row>
    <row r="294" ht="15.75" customHeight="1">
      <c r="A294" s="1"/>
      <c r="B294" s="1"/>
      <c r="C294" s="1"/>
      <c r="D294" s="1"/>
      <c r="E294" s="1"/>
      <c r="F294" s="1"/>
      <c r="G294" s="1"/>
      <c r="H294" s="1"/>
    </row>
    <row r="295" ht="15.75" customHeight="1">
      <c r="A295" s="1"/>
      <c r="B295" s="1"/>
      <c r="C295" s="1"/>
      <c r="D295" s="1"/>
      <c r="E295" s="1"/>
      <c r="F295" s="1"/>
      <c r="G295" s="1"/>
      <c r="H295" s="1"/>
    </row>
    <row r="296" ht="15.75" customHeight="1">
      <c r="A296" s="1"/>
      <c r="B296" s="1"/>
      <c r="C296" s="1"/>
      <c r="D296" s="1"/>
      <c r="E296" s="1"/>
      <c r="F296" s="1"/>
      <c r="G296" s="1"/>
      <c r="H296" s="1"/>
    </row>
    <row r="297" ht="15.75" customHeight="1">
      <c r="A297" s="1"/>
      <c r="B297" s="1"/>
      <c r="C297" s="1"/>
      <c r="D297" s="1"/>
      <c r="E297" s="1"/>
      <c r="F297" s="1"/>
      <c r="G297" s="1"/>
      <c r="H297" s="1"/>
    </row>
    <row r="298" ht="15.75" customHeight="1">
      <c r="A298" s="1"/>
      <c r="B298" s="1"/>
      <c r="C298" s="1"/>
      <c r="D298" s="1"/>
      <c r="E298" s="1"/>
      <c r="F298" s="1"/>
      <c r="G298" s="1"/>
      <c r="H298" s="1"/>
    </row>
    <row r="299" ht="15.75" customHeight="1">
      <c r="A299" s="1"/>
      <c r="B299" s="1"/>
      <c r="C299" s="1"/>
      <c r="D299" s="1"/>
      <c r="E299" s="1"/>
      <c r="F299" s="1"/>
      <c r="G299" s="1"/>
      <c r="H299" s="1"/>
    </row>
    <row r="300" ht="15.75" customHeight="1">
      <c r="A300" s="1"/>
      <c r="B300" s="1"/>
      <c r="C300" s="1"/>
      <c r="D300" s="1"/>
      <c r="E300" s="1"/>
      <c r="F300" s="1"/>
      <c r="G300" s="1"/>
      <c r="H300" s="1"/>
    </row>
    <row r="301" ht="15.75" customHeight="1">
      <c r="A301" s="1"/>
      <c r="B301" s="1"/>
      <c r="C301" s="1"/>
      <c r="D301" s="1"/>
      <c r="E301" s="1"/>
      <c r="F301" s="1"/>
      <c r="G301" s="1"/>
      <c r="H301" s="1"/>
    </row>
    <row r="302" ht="15.75" customHeight="1">
      <c r="A302" s="1"/>
      <c r="B302" s="1"/>
      <c r="C302" s="1"/>
      <c r="D302" s="1"/>
      <c r="E302" s="1"/>
      <c r="F302" s="1"/>
      <c r="G302" s="1"/>
      <c r="H302" s="1"/>
    </row>
    <row r="303" ht="15.75" customHeight="1">
      <c r="A303" s="1"/>
      <c r="B303" s="1"/>
      <c r="C303" s="1"/>
      <c r="D303" s="1"/>
      <c r="E303" s="1"/>
      <c r="F303" s="1"/>
      <c r="G303" s="1"/>
      <c r="H303" s="1"/>
    </row>
    <row r="304" ht="15.75" customHeight="1">
      <c r="A304" s="1"/>
      <c r="B304" s="1"/>
      <c r="C304" s="1"/>
      <c r="D304" s="1"/>
      <c r="E304" s="1"/>
      <c r="F304" s="1"/>
      <c r="G304" s="1"/>
      <c r="H304" s="1"/>
    </row>
    <row r="305" ht="15.75" customHeight="1">
      <c r="A305" s="1"/>
      <c r="B305" s="1"/>
      <c r="C305" s="1"/>
      <c r="D305" s="1"/>
      <c r="E305" s="1"/>
      <c r="F305" s="1"/>
      <c r="G305" s="1"/>
      <c r="H305" s="1"/>
    </row>
    <row r="306" ht="15.75" customHeight="1">
      <c r="A306" s="1"/>
      <c r="B306" s="1"/>
      <c r="C306" s="1"/>
      <c r="D306" s="1"/>
      <c r="E306" s="1"/>
      <c r="F306" s="1"/>
      <c r="G306" s="1"/>
      <c r="H306" s="1"/>
    </row>
    <row r="307" ht="15.75" customHeight="1">
      <c r="A307" s="1"/>
      <c r="B307" s="1"/>
      <c r="C307" s="1"/>
      <c r="D307" s="1"/>
      <c r="E307" s="1"/>
      <c r="F307" s="1"/>
      <c r="G307" s="1"/>
      <c r="H307" s="1"/>
    </row>
    <row r="308" ht="15.75" customHeight="1">
      <c r="A308" s="1"/>
      <c r="B308" s="1"/>
      <c r="C308" s="1"/>
      <c r="D308" s="1"/>
      <c r="E308" s="1"/>
      <c r="F308" s="1"/>
      <c r="G308" s="1"/>
      <c r="H308" s="1"/>
    </row>
    <row r="309" ht="15.75" customHeight="1">
      <c r="A309" s="1"/>
      <c r="B309" s="1"/>
      <c r="C309" s="1"/>
      <c r="D309" s="1"/>
      <c r="E309" s="1"/>
      <c r="F309" s="1"/>
      <c r="G309" s="1"/>
      <c r="H309" s="1"/>
    </row>
    <row r="310" ht="15.75" customHeight="1">
      <c r="A310" s="1"/>
      <c r="B310" s="1"/>
      <c r="C310" s="1"/>
      <c r="D310" s="1"/>
      <c r="E310" s="1"/>
      <c r="F310" s="1"/>
      <c r="G310" s="1"/>
      <c r="H310" s="1"/>
    </row>
    <row r="311" ht="15.75" customHeight="1">
      <c r="A311" s="1"/>
      <c r="B311" s="1"/>
      <c r="C311" s="1"/>
      <c r="D311" s="1"/>
      <c r="E311" s="1"/>
      <c r="F311" s="1"/>
      <c r="G311" s="1"/>
      <c r="H311" s="1"/>
    </row>
    <row r="312" ht="15.75" customHeight="1">
      <c r="A312" s="1"/>
      <c r="B312" s="1"/>
      <c r="C312" s="1"/>
      <c r="D312" s="1"/>
      <c r="E312" s="1"/>
      <c r="F312" s="1"/>
      <c r="G312" s="1"/>
      <c r="H312" s="1"/>
    </row>
    <row r="313" ht="15.75" customHeight="1">
      <c r="A313" s="1"/>
      <c r="B313" s="1"/>
      <c r="C313" s="1"/>
      <c r="D313" s="1"/>
      <c r="E313" s="1"/>
      <c r="F313" s="1"/>
      <c r="G313" s="1"/>
      <c r="H313" s="1"/>
    </row>
    <row r="314" ht="15.75" customHeight="1">
      <c r="A314" s="1"/>
      <c r="B314" s="1"/>
      <c r="C314" s="1"/>
      <c r="D314" s="1"/>
      <c r="E314" s="1"/>
      <c r="F314" s="1"/>
      <c r="G314" s="1"/>
      <c r="H314" s="1"/>
    </row>
    <row r="315" ht="15.75" customHeight="1">
      <c r="A315" s="1"/>
      <c r="B315" s="1"/>
      <c r="C315" s="1"/>
      <c r="D315" s="1"/>
      <c r="E315" s="1"/>
      <c r="F315" s="1"/>
      <c r="G315" s="1"/>
      <c r="H315" s="1"/>
    </row>
    <row r="316" ht="15.75" customHeight="1">
      <c r="A316" s="1"/>
      <c r="B316" s="1"/>
      <c r="C316" s="1"/>
      <c r="D316" s="1"/>
      <c r="E316" s="1"/>
      <c r="F316" s="1"/>
      <c r="G316" s="1"/>
      <c r="H316" s="1"/>
    </row>
    <row r="317" ht="15.75" customHeight="1">
      <c r="A317" s="1"/>
      <c r="B317" s="1"/>
      <c r="C317" s="1"/>
      <c r="D317" s="1"/>
      <c r="E317" s="1"/>
      <c r="F317" s="1"/>
      <c r="G317" s="1"/>
      <c r="H317" s="1"/>
    </row>
    <row r="318" ht="15.75" customHeight="1">
      <c r="A318" s="1"/>
      <c r="B318" s="1"/>
      <c r="C318" s="1"/>
      <c r="D318" s="1"/>
      <c r="E318" s="1"/>
      <c r="F318" s="1"/>
      <c r="G318" s="1"/>
      <c r="H318" s="1"/>
    </row>
    <row r="319" ht="15.75" customHeight="1">
      <c r="A319" s="1"/>
      <c r="B319" s="1"/>
      <c r="C319" s="1"/>
      <c r="D319" s="1"/>
      <c r="E319" s="1"/>
      <c r="F319" s="1"/>
      <c r="G319" s="1"/>
      <c r="H319" s="1"/>
    </row>
    <row r="320" ht="15.75" customHeight="1">
      <c r="A320" s="1"/>
      <c r="B320" s="1"/>
      <c r="C320" s="1"/>
      <c r="D320" s="1"/>
      <c r="E320" s="1"/>
      <c r="F320" s="1"/>
      <c r="G320" s="1"/>
      <c r="H320" s="1"/>
    </row>
    <row r="321" ht="15.75" customHeight="1">
      <c r="A321" s="1"/>
      <c r="B321" s="1"/>
      <c r="C321" s="1"/>
      <c r="D321" s="1"/>
      <c r="E321" s="1"/>
      <c r="F321" s="1"/>
      <c r="G321" s="1"/>
      <c r="H321" s="1"/>
    </row>
    <row r="322" ht="15.75" customHeight="1">
      <c r="A322" s="1"/>
      <c r="B322" s="1"/>
      <c r="C322" s="1"/>
      <c r="D322" s="1"/>
      <c r="E322" s="1"/>
      <c r="F322" s="1"/>
      <c r="G322" s="1"/>
      <c r="H322" s="1"/>
    </row>
    <row r="323" ht="15.75" customHeight="1">
      <c r="A323" s="1"/>
      <c r="B323" s="1"/>
      <c r="C323" s="1"/>
      <c r="D323" s="1"/>
      <c r="E323" s="1"/>
      <c r="F323" s="1"/>
      <c r="G323" s="1"/>
      <c r="H323" s="1"/>
    </row>
    <row r="324" ht="15.75" customHeight="1">
      <c r="A324" s="1"/>
      <c r="B324" s="1"/>
      <c r="C324" s="1"/>
      <c r="D324" s="1"/>
      <c r="E324" s="1"/>
      <c r="F324" s="1"/>
      <c r="G324" s="1"/>
      <c r="H324" s="1"/>
    </row>
    <row r="325" ht="15.75" customHeight="1">
      <c r="A325" s="1"/>
      <c r="B325" s="1"/>
      <c r="C325" s="1"/>
      <c r="D325" s="1"/>
      <c r="E325" s="1"/>
      <c r="F325" s="1"/>
      <c r="G325" s="1"/>
      <c r="H325" s="1"/>
    </row>
    <row r="326" ht="15.75" customHeight="1">
      <c r="A326" s="1"/>
      <c r="B326" s="1"/>
      <c r="C326" s="1"/>
      <c r="D326" s="1"/>
      <c r="E326" s="1"/>
      <c r="F326" s="1"/>
      <c r="G326" s="1"/>
      <c r="H326" s="1"/>
    </row>
    <row r="327" ht="15.75" customHeight="1">
      <c r="A327" s="1"/>
      <c r="B327" s="1"/>
      <c r="C327" s="1"/>
      <c r="D327" s="1"/>
      <c r="E327" s="1"/>
      <c r="F327" s="1"/>
      <c r="G327" s="1"/>
      <c r="H327" s="1"/>
    </row>
    <row r="328" ht="15.75" customHeight="1">
      <c r="A328" s="1"/>
      <c r="B328" s="1"/>
      <c r="C328" s="1"/>
      <c r="D328" s="1"/>
      <c r="E328" s="1"/>
      <c r="F328" s="1"/>
      <c r="G328" s="1"/>
      <c r="H328" s="1"/>
    </row>
    <row r="329" ht="15.75" customHeight="1">
      <c r="A329" s="1"/>
      <c r="B329" s="1"/>
      <c r="C329" s="1"/>
      <c r="D329" s="1"/>
      <c r="E329" s="1"/>
      <c r="F329" s="1"/>
      <c r="G329" s="1"/>
      <c r="H329" s="1"/>
    </row>
    <row r="330" ht="15.75" customHeight="1">
      <c r="A330" s="1"/>
      <c r="B330" s="1"/>
      <c r="C330" s="1"/>
      <c r="D330" s="1"/>
      <c r="E330" s="1"/>
      <c r="F330" s="1"/>
      <c r="G330" s="1"/>
      <c r="H330" s="1"/>
    </row>
    <row r="331" ht="15.75" customHeight="1">
      <c r="A331" s="1"/>
      <c r="B331" s="1"/>
      <c r="C331" s="1"/>
      <c r="D331" s="1"/>
      <c r="E331" s="1"/>
      <c r="F331" s="1"/>
      <c r="G331" s="1"/>
      <c r="H331" s="1"/>
    </row>
    <row r="332" ht="15.75" customHeight="1">
      <c r="A332" s="1"/>
      <c r="B332" s="1"/>
      <c r="C332" s="1"/>
      <c r="D332" s="1"/>
      <c r="E332" s="1"/>
      <c r="F332" s="1"/>
      <c r="G332" s="1"/>
      <c r="H332" s="1"/>
    </row>
    <row r="333" ht="15.75" customHeight="1">
      <c r="A333" s="1"/>
      <c r="B333" s="1"/>
      <c r="C333" s="1"/>
      <c r="D333" s="1"/>
      <c r="E333" s="1"/>
      <c r="F333" s="1"/>
      <c r="G333" s="1"/>
      <c r="H333" s="1"/>
    </row>
    <row r="334" ht="15.75" customHeight="1">
      <c r="A334" s="1"/>
      <c r="B334" s="1"/>
      <c r="C334" s="1"/>
      <c r="D334" s="1"/>
      <c r="E334" s="1"/>
      <c r="F334" s="1"/>
      <c r="G334" s="1"/>
      <c r="H334" s="1"/>
    </row>
    <row r="335" ht="15.75" customHeight="1">
      <c r="A335" s="1"/>
      <c r="B335" s="1"/>
      <c r="C335" s="1"/>
      <c r="D335" s="1"/>
      <c r="E335" s="1"/>
      <c r="F335" s="1"/>
      <c r="G335" s="1"/>
      <c r="H335" s="1"/>
    </row>
    <row r="336" ht="15.75" customHeight="1">
      <c r="A336" s="1"/>
      <c r="B336" s="1"/>
      <c r="C336" s="1"/>
      <c r="D336" s="1"/>
      <c r="E336" s="1"/>
      <c r="F336" s="1"/>
      <c r="G336" s="1"/>
      <c r="H336" s="1"/>
    </row>
    <row r="337" ht="15.75" customHeight="1">
      <c r="A337" s="1"/>
      <c r="B337" s="1"/>
      <c r="C337" s="1"/>
      <c r="D337" s="1"/>
      <c r="E337" s="1"/>
      <c r="F337" s="1"/>
      <c r="G337" s="1"/>
      <c r="H337" s="1"/>
    </row>
    <row r="338" ht="15.75" customHeight="1">
      <c r="A338" s="1"/>
      <c r="B338" s="1"/>
      <c r="C338" s="1"/>
      <c r="D338" s="1"/>
      <c r="E338" s="1"/>
      <c r="F338" s="1"/>
      <c r="G338" s="1"/>
      <c r="H338" s="1"/>
    </row>
    <row r="339" ht="15.75" customHeight="1">
      <c r="A339" s="1"/>
      <c r="B339" s="1"/>
      <c r="C339" s="1"/>
      <c r="D339" s="1"/>
      <c r="E339" s="1"/>
      <c r="F339" s="1"/>
      <c r="G339" s="1"/>
      <c r="H339" s="1"/>
    </row>
    <row r="340" ht="15.75" customHeight="1">
      <c r="A340" s="1"/>
      <c r="B340" s="1"/>
      <c r="C340" s="1"/>
      <c r="D340" s="1"/>
      <c r="E340" s="1"/>
      <c r="F340" s="1"/>
      <c r="G340" s="1"/>
      <c r="H340" s="1"/>
    </row>
    <row r="341" ht="15.75" customHeight="1">
      <c r="A341" s="1"/>
      <c r="B341" s="1"/>
      <c r="C341" s="1"/>
      <c r="D341" s="1"/>
      <c r="E341" s="1"/>
      <c r="F341" s="1"/>
      <c r="G341" s="1"/>
      <c r="H341" s="1"/>
    </row>
    <row r="342" ht="15.75" customHeight="1">
      <c r="A342" s="1"/>
      <c r="B342" s="1"/>
      <c r="C342" s="1"/>
      <c r="D342" s="1"/>
      <c r="E342" s="1"/>
      <c r="F342" s="1"/>
      <c r="G342" s="1"/>
      <c r="H342" s="1"/>
    </row>
    <row r="343" ht="15.75" customHeight="1">
      <c r="A343" s="1"/>
      <c r="B343" s="1"/>
      <c r="C343" s="1"/>
      <c r="D343" s="1"/>
      <c r="E343" s="1"/>
      <c r="F343" s="1"/>
      <c r="G343" s="1"/>
      <c r="H343" s="1"/>
    </row>
    <row r="344" ht="15.75" customHeight="1">
      <c r="A344" s="1"/>
      <c r="B344" s="1"/>
      <c r="C344" s="1"/>
      <c r="D344" s="1"/>
      <c r="E344" s="1"/>
      <c r="F344" s="1"/>
      <c r="G344" s="1"/>
      <c r="H344" s="1"/>
    </row>
    <row r="345" ht="15.75" customHeight="1">
      <c r="A345" s="1"/>
      <c r="B345" s="1"/>
      <c r="C345" s="1"/>
      <c r="D345" s="1"/>
      <c r="E345" s="1"/>
      <c r="F345" s="1"/>
      <c r="G345" s="1"/>
      <c r="H345" s="1"/>
    </row>
    <row r="346" ht="15.75" customHeight="1">
      <c r="A346" s="1"/>
      <c r="B346" s="1"/>
      <c r="C346" s="1"/>
      <c r="D346" s="1"/>
      <c r="E346" s="1"/>
      <c r="F346" s="1"/>
      <c r="G346" s="1"/>
      <c r="H346" s="1"/>
    </row>
    <row r="347" ht="15.75" customHeight="1">
      <c r="A347" s="1"/>
      <c r="B347" s="1"/>
      <c r="C347" s="1"/>
      <c r="D347" s="1"/>
      <c r="E347" s="1"/>
      <c r="F347" s="1"/>
      <c r="G347" s="1"/>
      <c r="H347" s="1"/>
    </row>
    <row r="348" ht="15.75" customHeight="1">
      <c r="A348" s="1"/>
      <c r="B348" s="1"/>
      <c r="C348" s="1"/>
      <c r="D348" s="1"/>
      <c r="E348" s="1"/>
      <c r="F348" s="1"/>
      <c r="G348" s="1"/>
      <c r="H348" s="1"/>
    </row>
    <row r="349" ht="15.75" customHeight="1">
      <c r="A349" s="1"/>
      <c r="B349" s="1"/>
      <c r="C349" s="1"/>
      <c r="D349" s="1"/>
      <c r="E349" s="1"/>
      <c r="F349" s="1"/>
      <c r="G349" s="1"/>
      <c r="H349" s="1"/>
    </row>
    <row r="350" ht="15.75" customHeight="1">
      <c r="A350" s="1"/>
      <c r="B350" s="1"/>
      <c r="C350" s="1"/>
      <c r="D350" s="1"/>
      <c r="E350" s="1"/>
      <c r="F350" s="1"/>
      <c r="G350" s="1"/>
      <c r="H350" s="1"/>
    </row>
    <row r="351" ht="15.75" customHeight="1">
      <c r="A351" s="1"/>
      <c r="B351" s="1"/>
      <c r="C351" s="1"/>
      <c r="D351" s="1"/>
      <c r="E351" s="1"/>
      <c r="F351" s="1"/>
      <c r="G351" s="1"/>
      <c r="H351" s="1"/>
    </row>
    <row r="352" ht="15.75" customHeight="1">
      <c r="A352" s="1"/>
      <c r="B352" s="1"/>
      <c r="C352" s="1"/>
      <c r="D352" s="1"/>
      <c r="E352" s="1"/>
      <c r="F352" s="1"/>
      <c r="G352" s="1"/>
      <c r="H352" s="1"/>
    </row>
    <row r="353" ht="15.75" customHeight="1">
      <c r="A353" s="1"/>
      <c r="B353" s="1"/>
      <c r="C353" s="1"/>
      <c r="D353" s="1"/>
      <c r="E353" s="1"/>
      <c r="F353" s="1"/>
      <c r="G353" s="1"/>
      <c r="H353" s="1"/>
    </row>
    <row r="354" ht="15.75" customHeight="1">
      <c r="A354" s="1"/>
      <c r="B354" s="1"/>
      <c r="C354" s="1"/>
      <c r="D354" s="1"/>
      <c r="E354" s="1"/>
      <c r="F354" s="1"/>
      <c r="G354" s="1"/>
      <c r="H354" s="1"/>
    </row>
    <row r="355" ht="15.75" customHeight="1">
      <c r="A355" s="1"/>
      <c r="B355" s="1"/>
      <c r="C355" s="1"/>
      <c r="D355" s="1"/>
      <c r="E355" s="1"/>
      <c r="F355" s="1"/>
      <c r="G355" s="1"/>
      <c r="H355" s="1"/>
    </row>
    <row r="356" ht="15.75" customHeight="1">
      <c r="A356" s="1"/>
      <c r="B356" s="1"/>
      <c r="C356" s="1"/>
      <c r="D356" s="1"/>
      <c r="E356" s="1"/>
      <c r="F356" s="1"/>
      <c r="G356" s="1"/>
      <c r="H356" s="1"/>
    </row>
    <row r="357" ht="15.75" customHeight="1">
      <c r="A357" s="1"/>
      <c r="B357" s="1"/>
      <c r="C357" s="1"/>
      <c r="D357" s="1"/>
      <c r="E357" s="1"/>
      <c r="F357" s="1"/>
      <c r="G357" s="1"/>
      <c r="H357" s="1"/>
    </row>
    <row r="358" ht="15.75" customHeight="1">
      <c r="A358" s="1"/>
      <c r="B358" s="1"/>
      <c r="C358" s="1"/>
      <c r="D358" s="1"/>
      <c r="E358" s="1"/>
      <c r="F358" s="1"/>
      <c r="G358" s="1"/>
      <c r="H358" s="1"/>
    </row>
    <row r="359" ht="15.75" customHeight="1">
      <c r="A359" s="1"/>
      <c r="B359" s="1"/>
      <c r="C359" s="1"/>
      <c r="D359" s="1"/>
      <c r="E359" s="1"/>
      <c r="F359" s="1"/>
      <c r="G359" s="1"/>
      <c r="H359" s="1"/>
    </row>
    <row r="360" ht="15.75" customHeight="1">
      <c r="A360" s="1"/>
      <c r="B360" s="1"/>
      <c r="C360" s="1"/>
      <c r="D360" s="1"/>
      <c r="E360" s="1"/>
      <c r="F360" s="1"/>
      <c r="G360" s="1"/>
      <c r="H360" s="1"/>
    </row>
    <row r="361" ht="15.75" customHeight="1">
      <c r="A361" s="1"/>
      <c r="B361" s="1"/>
      <c r="C361" s="1"/>
      <c r="D361" s="1"/>
      <c r="E361" s="1"/>
      <c r="F361" s="1"/>
      <c r="G361" s="1"/>
      <c r="H361" s="1"/>
    </row>
    <row r="362" ht="15.75" customHeight="1">
      <c r="A362" s="1"/>
      <c r="B362" s="1"/>
      <c r="C362" s="1"/>
      <c r="D362" s="1"/>
      <c r="E362" s="1"/>
      <c r="F362" s="1"/>
      <c r="G362" s="1"/>
      <c r="H362" s="1"/>
    </row>
    <row r="363" ht="15.75" customHeight="1">
      <c r="A363" s="1"/>
      <c r="B363" s="1"/>
      <c r="C363" s="1"/>
      <c r="D363" s="1"/>
      <c r="E363" s="1"/>
      <c r="F363" s="1"/>
      <c r="G363" s="1"/>
      <c r="H363" s="1"/>
    </row>
    <row r="364" ht="15.75" customHeight="1">
      <c r="A364" s="1"/>
      <c r="B364" s="1"/>
      <c r="C364" s="1"/>
      <c r="D364" s="1"/>
      <c r="E364" s="1"/>
      <c r="F364" s="1"/>
      <c r="G364" s="1"/>
      <c r="H364" s="1"/>
    </row>
    <row r="365" ht="15.75" customHeight="1">
      <c r="A365" s="1"/>
      <c r="B365" s="1"/>
      <c r="C365" s="1"/>
      <c r="D365" s="1"/>
      <c r="E365" s="1"/>
      <c r="F365" s="1"/>
      <c r="G365" s="1"/>
      <c r="H365" s="1"/>
    </row>
    <row r="366" ht="15.75" customHeight="1">
      <c r="A366" s="1"/>
      <c r="B366" s="1"/>
      <c r="C366" s="1"/>
      <c r="D366" s="1"/>
      <c r="E366" s="1"/>
      <c r="F366" s="1"/>
      <c r="G366" s="1"/>
      <c r="H366" s="1"/>
    </row>
    <row r="367" ht="15.75" customHeight="1">
      <c r="A367" s="1"/>
      <c r="B367" s="1"/>
      <c r="C367" s="1"/>
      <c r="D367" s="1"/>
      <c r="E367" s="1"/>
      <c r="F367" s="1"/>
      <c r="G367" s="1"/>
      <c r="H367" s="1"/>
    </row>
    <row r="368" ht="15.75" customHeight="1">
      <c r="A368" s="1"/>
      <c r="B368" s="1"/>
      <c r="C368" s="1"/>
      <c r="D368" s="1"/>
      <c r="E368" s="1"/>
      <c r="F368" s="1"/>
      <c r="G368" s="1"/>
      <c r="H368" s="1"/>
    </row>
    <row r="369" ht="15.75" customHeight="1">
      <c r="A369" s="1"/>
      <c r="B369" s="1"/>
      <c r="C369" s="1"/>
      <c r="D369" s="1"/>
      <c r="E369" s="1"/>
      <c r="F369" s="1"/>
      <c r="G369" s="1"/>
      <c r="H369" s="1"/>
    </row>
    <row r="370" ht="15.75" customHeight="1">
      <c r="A370" s="1"/>
      <c r="B370" s="1"/>
      <c r="C370" s="1"/>
      <c r="D370" s="1"/>
      <c r="E370" s="1"/>
      <c r="F370" s="1"/>
      <c r="G370" s="1"/>
      <c r="H370" s="1"/>
    </row>
    <row r="371" ht="15.75" customHeight="1">
      <c r="A371" s="1"/>
      <c r="B371" s="1"/>
      <c r="C371" s="1"/>
      <c r="D371" s="1"/>
      <c r="E371" s="1"/>
      <c r="F371" s="1"/>
      <c r="G371" s="1"/>
      <c r="H371" s="1"/>
    </row>
    <row r="372" ht="15.75" customHeight="1">
      <c r="A372" s="1"/>
      <c r="B372" s="1"/>
      <c r="C372" s="1"/>
      <c r="D372" s="1"/>
      <c r="E372" s="1"/>
      <c r="F372" s="1"/>
      <c r="G372" s="1"/>
      <c r="H372" s="1"/>
    </row>
    <row r="373" ht="15.75" customHeight="1">
      <c r="A373" s="1"/>
      <c r="B373" s="1"/>
      <c r="C373" s="1"/>
      <c r="D373" s="1"/>
      <c r="E373" s="1"/>
      <c r="F373" s="1"/>
      <c r="G373" s="1"/>
      <c r="H373" s="1"/>
    </row>
    <row r="374" ht="15.75" customHeight="1">
      <c r="A374" s="1"/>
      <c r="B374" s="1"/>
      <c r="C374" s="1"/>
      <c r="D374" s="1"/>
      <c r="E374" s="1"/>
      <c r="F374" s="1"/>
      <c r="G374" s="1"/>
      <c r="H374" s="1"/>
    </row>
    <row r="375" ht="15.75" customHeight="1">
      <c r="A375" s="1"/>
      <c r="B375" s="1"/>
      <c r="C375" s="1"/>
      <c r="D375" s="1"/>
      <c r="E375" s="1"/>
      <c r="F375" s="1"/>
      <c r="G375" s="1"/>
      <c r="H375" s="1"/>
    </row>
    <row r="376" ht="15.75" customHeight="1">
      <c r="A376" s="1"/>
      <c r="B376" s="1"/>
      <c r="C376" s="1"/>
      <c r="D376" s="1"/>
      <c r="E376" s="1"/>
      <c r="F376" s="1"/>
      <c r="G376" s="1"/>
      <c r="H376" s="1"/>
    </row>
    <row r="377" ht="15.75" customHeight="1">
      <c r="A377" s="1"/>
      <c r="B377" s="1"/>
      <c r="C377" s="1"/>
      <c r="D377" s="1"/>
      <c r="E377" s="1"/>
      <c r="F377" s="1"/>
      <c r="G377" s="1"/>
      <c r="H377" s="1"/>
    </row>
    <row r="378" ht="15.75" customHeight="1">
      <c r="A378" s="1"/>
      <c r="B378" s="1"/>
      <c r="C378" s="1"/>
      <c r="D378" s="1"/>
      <c r="E378" s="1"/>
      <c r="F378" s="1"/>
      <c r="G378" s="1"/>
      <c r="H378" s="1"/>
    </row>
    <row r="379" ht="15.75" customHeight="1">
      <c r="A379" s="1"/>
      <c r="B379" s="1"/>
      <c r="C379" s="1"/>
      <c r="D379" s="1"/>
      <c r="E379" s="1"/>
      <c r="F379" s="1"/>
      <c r="G379" s="1"/>
      <c r="H379" s="1"/>
    </row>
    <row r="380" ht="15.75" customHeight="1">
      <c r="A380" s="1"/>
      <c r="B380" s="1"/>
      <c r="C380" s="1"/>
      <c r="D380" s="1"/>
      <c r="E380" s="1"/>
      <c r="F380" s="1"/>
      <c r="G380" s="1"/>
      <c r="H380" s="1"/>
    </row>
    <row r="381" ht="15.75" customHeight="1">
      <c r="A381" s="1"/>
      <c r="B381" s="1"/>
      <c r="C381" s="1"/>
      <c r="D381" s="1"/>
      <c r="E381" s="1"/>
      <c r="F381" s="1"/>
      <c r="G381" s="1"/>
      <c r="H381" s="1"/>
    </row>
    <row r="382" ht="15.75" customHeight="1">
      <c r="A382" s="1"/>
      <c r="B382" s="1"/>
      <c r="C382" s="1"/>
      <c r="D382" s="1"/>
      <c r="E382" s="1"/>
      <c r="F382" s="1"/>
      <c r="G382" s="1"/>
      <c r="H382" s="1"/>
    </row>
    <row r="383" ht="15.75" customHeight="1">
      <c r="A383" s="1"/>
      <c r="B383" s="1"/>
      <c r="C383" s="1"/>
      <c r="D383" s="1"/>
      <c r="E383" s="1"/>
      <c r="F383" s="1"/>
      <c r="G383" s="1"/>
      <c r="H383" s="1"/>
    </row>
    <row r="384" ht="15.75" customHeight="1">
      <c r="A384" s="1"/>
      <c r="B384" s="1"/>
      <c r="C384" s="1"/>
      <c r="D384" s="1"/>
      <c r="E384" s="1"/>
      <c r="F384" s="1"/>
      <c r="G384" s="1"/>
      <c r="H384" s="1"/>
    </row>
    <row r="385" ht="15.75" customHeight="1">
      <c r="A385" s="1"/>
      <c r="B385" s="1"/>
      <c r="C385" s="1"/>
      <c r="D385" s="1"/>
      <c r="E385" s="1"/>
      <c r="F385" s="1"/>
      <c r="G385" s="1"/>
      <c r="H385" s="1"/>
    </row>
    <row r="386" ht="15.75" customHeight="1">
      <c r="A386" s="1"/>
      <c r="B386" s="1"/>
      <c r="C386" s="1"/>
      <c r="D386" s="1"/>
      <c r="E386" s="1"/>
      <c r="F386" s="1"/>
      <c r="G386" s="1"/>
      <c r="H386" s="1"/>
    </row>
    <row r="387" ht="15.75" customHeight="1">
      <c r="A387" s="1"/>
      <c r="B387" s="1"/>
      <c r="C387" s="1"/>
      <c r="D387" s="1"/>
      <c r="E387" s="1"/>
      <c r="F387" s="1"/>
      <c r="G387" s="1"/>
      <c r="H387" s="1"/>
    </row>
    <row r="388" ht="15.75" customHeight="1">
      <c r="A388" s="1"/>
      <c r="B388" s="1"/>
      <c r="C388" s="1"/>
      <c r="D388" s="1"/>
      <c r="E388" s="1"/>
      <c r="F388" s="1"/>
      <c r="G388" s="1"/>
      <c r="H388" s="1"/>
    </row>
    <row r="389" ht="15.75" customHeight="1">
      <c r="A389" s="1"/>
      <c r="B389" s="1"/>
      <c r="C389" s="1"/>
      <c r="D389" s="1"/>
      <c r="E389" s="1"/>
      <c r="F389" s="1"/>
      <c r="G389" s="1"/>
      <c r="H389" s="1"/>
    </row>
    <row r="390" ht="15.75" customHeight="1">
      <c r="A390" s="1"/>
      <c r="B390" s="1"/>
      <c r="C390" s="1"/>
      <c r="D390" s="1"/>
      <c r="E390" s="1"/>
      <c r="F390" s="1"/>
      <c r="G390" s="1"/>
      <c r="H390" s="1"/>
    </row>
    <row r="391" ht="15.75" customHeight="1">
      <c r="A391" s="1"/>
      <c r="B391" s="1"/>
      <c r="C391" s="1"/>
      <c r="D391" s="1"/>
      <c r="E391" s="1"/>
      <c r="F391" s="1"/>
      <c r="G391" s="1"/>
      <c r="H391" s="1"/>
    </row>
    <row r="392" ht="15.75" customHeight="1">
      <c r="A392" s="1"/>
      <c r="B392" s="1"/>
      <c r="C392" s="1"/>
      <c r="D392" s="1"/>
      <c r="E392" s="1"/>
      <c r="F392" s="1"/>
      <c r="G392" s="1"/>
      <c r="H392" s="1"/>
    </row>
    <row r="393" ht="15.75" customHeight="1">
      <c r="A393" s="1"/>
      <c r="B393" s="1"/>
      <c r="C393" s="1"/>
      <c r="D393" s="1"/>
      <c r="E393" s="1"/>
      <c r="F393" s="1"/>
      <c r="G393" s="1"/>
      <c r="H393" s="1"/>
    </row>
    <row r="394" ht="15.75" customHeight="1">
      <c r="A394" s="1"/>
      <c r="B394" s="1"/>
      <c r="C394" s="1"/>
      <c r="D394" s="1"/>
      <c r="E394" s="1"/>
      <c r="F394" s="1"/>
      <c r="G394" s="1"/>
      <c r="H394" s="1"/>
    </row>
    <row r="395" ht="15.75" customHeight="1">
      <c r="A395" s="1"/>
      <c r="B395" s="1"/>
      <c r="C395" s="1"/>
      <c r="D395" s="1"/>
      <c r="E395" s="1"/>
      <c r="F395" s="1"/>
      <c r="G395" s="1"/>
      <c r="H395" s="1"/>
    </row>
    <row r="396" ht="15.75" customHeight="1">
      <c r="A396" s="1"/>
      <c r="B396" s="1"/>
      <c r="C396" s="1"/>
      <c r="D396" s="1"/>
      <c r="E396" s="1"/>
      <c r="F396" s="1"/>
      <c r="G396" s="1"/>
      <c r="H396" s="1"/>
    </row>
    <row r="397" ht="15.75" customHeight="1">
      <c r="A397" s="1"/>
      <c r="B397" s="1"/>
      <c r="C397" s="1"/>
      <c r="D397" s="1"/>
      <c r="E397" s="1"/>
      <c r="F397" s="1"/>
      <c r="G397" s="1"/>
      <c r="H397" s="1"/>
    </row>
    <row r="398" ht="15.75" customHeight="1">
      <c r="A398" s="1"/>
      <c r="B398" s="1"/>
      <c r="C398" s="1"/>
      <c r="D398" s="1"/>
      <c r="E398" s="1"/>
      <c r="F398" s="1"/>
      <c r="G398" s="1"/>
      <c r="H398" s="1"/>
    </row>
    <row r="399" ht="15.75" customHeight="1">
      <c r="A399" s="1"/>
      <c r="B399" s="1"/>
      <c r="C399" s="1"/>
      <c r="D399" s="1"/>
      <c r="E399" s="1"/>
      <c r="F399" s="1"/>
      <c r="G399" s="1"/>
      <c r="H399" s="1"/>
    </row>
    <row r="400" ht="15.75" customHeight="1">
      <c r="A400" s="1"/>
      <c r="B400" s="1"/>
      <c r="C400" s="1"/>
      <c r="D400" s="1"/>
      <c r="E400" s="1"/>
      <c r="F400" s="1"/>
      <c r="G400" s="1"/>
      <c r="H400" s="1"/>
    </row>
    <row r="401" ht="15.75" customHeight="1">
      <c r="A401" s="1"/>
      <c r="B401" s="1"/>
      <c r="C401" s="1"/>
      <c r="D401" s="1"/>
      <c r="E401" s="1"/>
      <c r="F401" s="1"/>
      <c r="G401" s="1"/>
      <c r="H401" s="1"/>
    </row>
    <row r="402" ht="15.75" customHeight="1">
      <c r="A402" s="1"/>
      <c r="B402" s="1"/>
      <c r="C402" s="1"/>
      <c r="D402" s="1"/>
      <c r="E402" s="1"/>
      <c r="F402" s="1"/>
      <c r="G402" s="1"/>
      <c r="H402" s="1"/>
    </row>
    <row r="403" ht="15.75" customHeight="1">
      <c r="A403" s="1"/>
      <c r="B403" s="1"/>
      <c r="C403" s="1"/>
      <c r="D403" s="1"/>
      <c r="E403" s="1"/>
      <c r="F403" s="1"/>
      <c r="G403" s="1"/>
      <c r="H403" s="1"/>
    </row>
    <row r="404" ht="15.75" customHeight="1">
      <c r="A404" s="1"/>
      <c r="B404" s="1"/>
      <c r="C404" s="1"/>
      <c r="D404" s="1"/>
      <c r="E404" s="1"/>
      <c r="F404" s="1"/>
      <c r="G404" s="1"/>
      <c r="H404" s="1"/>
    </row>
    <row r="405" ht="15.75" customHeight="1">
      <c r="A405" s="1"/>
      <c r="B405" s="1"/>
      <c r="C405" s="1"/>
      <c r="D405" s="1"/>
      <c r="E405" s="1"/>
      <c r="F405" s="1"/>
      <c r="G405" s="1"/>
      <c r="H405" s="1"/>
    </row>
    <row r="406" ht="15.75" customHeight="1">
      <c r="A406" s="1"/>
      <c r="B406" s="1"/>
      <c r="C406" s="1"/>
      <c r="D406" s="1"/>
      <c r="E406" s="1"/>
      <c r="F406" s="1"/>
      <c r="G406" s="1"/>
      <c r="H406" s="1"/>
    </row>
    <row r="407" ht="15.75" customHeight="1">
      <c r="A407" s="1"/>
      <c r="B407" s="1"/>
      <c r="C407" s="1"/>
      <c r="D407" s="1"/>
      <c r="E407" s="1"/>
      <c r="F407" s="1"/>
      <c r="G407" s="1"/>
      <c r="H407" s="1"/>
    </row>
    <row r="408" ht="15.75" customHeight="1">
      <c r="A408" s="1"/>
      <c r="B408" s="1"/>
      <c r="C408" s="1"/>
      <c r="D408" s="1"/>
      <c r="E408" s="1"/>
      <c r="F408" s="1"/>
      <c r="G408" s="1"/>
      <c r="H408" s="1"/>
    </row>
    <row r="409" ht="15.75" customHeight="1">
      <c r="A409" s="1"/>
      <c r="B409" s="1"/>
      <c r="C409" s="1"/>
      <c r="D409" s="1"/>
      <c r="E409" s="1"/>
      <c r="F409" s="1"/>
      <c r="G409" s="1"/>
      <c r="H409" s="1"/>
    </row>
    <row r="410" ht="15.75" customHeight="1">
      <c r="A410" s="1"/>
      <c r="B410" s="1"/>
      <c r="C410" s="1"/>
      <c r="D410" s="1"/>
      <c r="E410" s="1"/>
      <c r="F410" s="1"/>
      <c r="G410" s="1"/>
      <c r="H410" s="1"/>
    </row>
    <row r="411" ht="15.75" customHeight="1">
      <c r="A411" s="1"/>
      <c r="B411" s="1"/>
      <c r="C411" s="1"/>
      <c r="D411" s="1"/>
      <c r="E411" s="1"/>
      <c r="F411" s="1"/>
      <c r="G411" s="1"/>
      <c r="H411" s="1"/>
    </row>
    <row r="412" ht="15.75" customHeight="1">
      <c r="A412" s="1"/>
      <c r="B412" s="1"/>
      <c r="C412" s="1"/>
      <c r="D412" s="1"/>
      <c r="E412" s="1"/>
      <c r="F412" s="1"/>
      <c r="G412" s="1"/>
      <c r="H412" s="1"/>
    </row>
    <row r="413" ht="15.75" customHeight="1">
      <c r="A413" s="1"/>
      <c r="B413" s="1"/>
      <c r="C413" s="1"/>
      <c r="D413" s="1"/>
      <c r="E413" s="1"/>
      <c r="F413" s="1"/>
      <c r="G413" s="1"/>
      <c r="H413" s="1"/>
    </row>
    <row r="414" ht="15.75" customHeight="1">
      <c r="A414" s="1"/>
      <c r="B414" s="1"/>
      <c r="C414" s="1"/>
      <c r="D414" s="1"/>
      <c r="E414" s="1"/>
      <c r="F414" s="1"/>
      <c r="G414" s="1"/>
      <c r="H414" s="1"/>
    </row>
    <row r="415" ht="15.75" customHeight="1">
      <c r="A415" s="1"/>
      <c r="B415" s="1"/>
      <c r="C415" s="1"/>
      <c r="D415" s="1"/>
      <c r="E415" s="1"/>
      <c r="F415" s="1"/>
      <c r="G415" s="1"/>
      <c r="H415" s="1"/>
    </row>
    <row r="416" ht="15.75" customHeight="1">
      <c r="A416" s="1"/>
      <c r="B416" s="1"/>
      <c r="C416" s="1"/>
      <c r="D416" s="1"/>
      <c r="E416" s="1"/>
      <c r="F416" s="1"/>
      <c r="G416" s="1"/>
      <c r="H416" s="1"/>
    </row>
    <row r="417" ht="15.75" customHeight="1">
      <c r="A417" s="1"/>
      <c r="B417" s="1"/>
      <c r="C417" s="1"/>
      <c r="D417" s="1"/>
      <c r="E417" s="1"/>
      <c r="F417" s="1"/>
      <c r="G417" s="1"/>
      <c r="H417" s="1"/>
    </row>
    <row r="418" ht="15.75" customHeight="1">
      <c r="A418" s="1"/>
      <c r="B418" s="1"/>
      <c r="C418" s="1"/>
      <c r="D418" s="1"/>
      <c r="E418" s="1"/>
      <c r="F418" s="1"/>
      <c r="G418" s="1"/>
      <c r="H418" s="1"/>
    </row>
    <row r="419" ht="15.75" customHeight="1">
      <c r="A419" s="1"/>
      <c r="B419" s="1"/>
      <c r="C419" s="1"/>
      <c r="D419" s="1"/>
      <c r="E419" s="1"/>
      <c r="F419" s="1"/>
      <c r="G419" s="1"/>
      <c r="H419" s="1"/>
    </row>
    <row r="420" ht="15.75" customHeight="1">
      <c r="A420" s="1"/>
      <c r="B420" s="1"/>
      <c r="C420" s="1"/>
      <c r="D420" s="1"/>
      <c r="E420" s="1"/>
      <c r="F420" s="1"/>
      <c r="G420" s="1"/>
      <c r="H420" s="1"/>
    </row>
    <row r="421" ht="15.75" customHeight="1">
      <c r="A421" s="1"/>
      <c r="B421" s="1"/>
      <c r="C421" s="1"/>
      <c r="D421" s="1"/>
      <c r="E421" s="1"/>
      <c r="F421" s="1"/>
      <c r="G421" s="1"/>
      <c r="H421" s="1"/>
    </row>
    <row r="422" ht="15.75" customHeight="1">
      <c r="A422" s="1"/>
      <c r="B422" s="1"/>
      <c r="C422" s="1"/>
      <c r="D422" s="1"/>
      <c r="E422" s="1"/>
      <c r="F422" s="1"/>
      <c r="G422" s="1"/>
      <c r="H422" s="1"/>
    </row>
    <row r="423" ht="15.75" customHeight="1">
      <c r="A423" s="1"/>
      <c r="B423" s="1"/>
      <c r="C423" s="1"/>
      <c r="D423" s="1"/>
      <c r="E423" s="1"/>
      <c r="F423" s="1"/>
      <c r="G423" s="1"/>
      <c r="H423" s="1"/>
    </row>
    <row r="424" ht="15.75" customHeight="1">
      <c r="A424" s="1"/>
      <c r="B424" s="1"/>
      <c r="C424" s="1"/>
      <c r="D424" s="1"/>
      <c r="E424" s="1"/>
      <c r="F424" s="1"/>
      <c r="G424" s="1"/>
      <c r="H424" s="1"/>
    </row>
    <row r="425" ht="15.75" customHeight="1">
      <c r="A425" s="1"/>
      <c r="B425" s="1"/>
      <c r="C425" s="1"/>
      <c r="D425" s="1"/>
      <c r="E425" s="1"/>
      <c r="F425" s="1"/>
      <c r="G425" s="1"/>
      <c r="H425" s="1"/>
    </row>
    <row r="426" ht="15.75" customHeight="1">
      <c r="A426" s="1"/>
      <c r="B426" s="1"/>
      <c r="C426" s="1"/>
      <c r="D426" s="1"/>
      <c r="E426" s="1"/>
      <c r="F426" s="1"/>
      <c r="G426" s="1"/>
      <c r="H426" s="1"/>
    </row>
    <row r="427" ht="15.75" customHeight="1">
      <c r="A427" s="1"/>
      <c r="B427" s="1"/>
      <c r="C427" s="1"/>
      <c r="D427" s="1"/>
      <c r="E427" s="1"/>
      <c r="F427" s="1"/>
      <c r="G427" s="1"/>
      <c r="H427" s="1"/>
    </row>
    <row r="428" ht="15.75" customHeight="1">
      <c r="A428" s="1"/>
      <c r="B428" s="1"/>
      <c r="C428" s="1"/>
      <c r="D428" s="1"/>
      <c r="E428" s="1"/>
      <c r="F428" s="1"/>
      <c r="G428" s="1"/>
      <c r="H428" s="1"/>
    </row>
    <row r="429" ht="15.75" customHeight="1">
      <c r="A429" s="1"/>
      <c r="B429" s="1"/>
      <c r="C429" s="1"/>
      <c r="D429" s="1"/>
      <c r="E429" s="1"/>
      <c r="F429" s="1"/>
      <c r="G429" s="1"/>
      <c r="H429" s="1"/>
    </row>
    <row r="430" ht="15.75" customHeight="1">
      <c r="A430" s="1"/>
      <c r="B430" s="1"/>
      <c r="C430" s="1"/>
      <c r="D430" s="1"/>
      <c r="E430" s="1"/>
      <c r="F430" s="1"/>
      <c r="G430" s="1"/>
      <c r="H430" s="1"/>
    </row>
    <row r="431" ht="15.75" customHeight="1">
      <c r="A431" s="1"/>
      <c r="B431" s="1"/>
      <c r="C431" s="1"/>
      <c r="D431" s="1"/>
      <c r="E431" s="1"/>
      <c r="F431" s="1"/>
      <c r="G431" s="1"/>
      <c r="H431" s="1"/>
    </row>
    <row r="432" ht="15.75" customHeight="1">
      <c r="A432" s="1"/>
      <c r="B432" s="1"/>
      <c r="C432" s="1"/>
      <c r="D432" s="1"/>
      <c r="E432" s="1"/>
      <c r="F432" s="1"/>
      <c r="G432" s="1"/>
      <c r="H432" s="1"/>
    </row>
    <row r="433" ht="15.75" customHeight="1">
      <c r="A433" s="1"/>
      <c r="B433" s="1"/>
      <c r="C433" s="1"/>
      <c r="D433" s="1"/>
      <c r="E433" s="1"/>
      <c r="F433" s="1"/>
      <c r="G433" s="1"/>
      <c r="H433" s="1"/>
    </row>
    <row r="434" ht="15.75" customHeight="1">
      <c r="A434" s="1"/>
      <c r="B434" s="1"/>
      <c r="C434" s="1"/>
      <c r="D434" s="1"/>
      <c r="E434" s="1"/>
      <c r="F434" s="1"/>
      <c r="G434" s="1"/>
      <c r="H434" s="1"/>
    </row>
    <row r="435" ht="15.75" customHeight="1">
      <c r="A435" s="1"/>
      <c r="B435" s="1"/>
      <c r="C435" s="1"/>
      <c r="D435" s="1"/>
      <c r="E435" s="1"/>
      <c r="F435" s="1"/>
      <c r="G435" s="1"/>
      <c r="H435" s="1"/>
    </row>
    <row r="436" ht="15.75" customHeight="1">
      <c r="A436" s="1"/>
      <c r="B436" s="1"/>
      <c r="C436" s="1"/>
      <c r="D436" s="1"/>
      <c r="E436" s="1"/>
      <c r="F436" s="1"/>
      <c r="G436" s="1"/>
      <c r="H436" s="1"/>
    </row>
    <row r="437" ht="15.75" customHeight="1">
      <c r="A437" s="1"/>
      <c r="B437" s="1"/>
      <c r="C437" s="1"/>
      <c r="D437" s="1"/>
      <c r="E437" s="1"/>
      <c r="F437" s="1"/>
      <c r="G437" s="1"/>
      <c r="H437" s="1"/>
    </row>
    <row r="438" ht="15.75" customHeight="1">
      <c r="A438" s="1"/>
      <c r="B438" s="1"/>
      <c r="C438" s="1"/>
      <c r="D438" s="1"/>
      <c r="E438" s="1"/>
      <c r="F438" s="1"/>
      <c r="G438" s="1"/>
      <c r="H438" s="1"/>
    </row>
    <row r="439" ht="15.75" customHeight="1">
      <c r="A439" s="1"/>
      <c r="B439" s="1"/>
      <c r="C439" s="1"/>
      <c r="D439" s="1"/>
      <c r="E439" s="1"/>
      <c r="F439" s="1"/>
      <c r="G439" s="1"/>
      <c r="H439" s="1"/>
    </row>
    <row r="440" ht="15.75" customHeight="1">
      <c r="A440" s="1"/>
      <c r="B440" s="1"/>
      <c r="C440" s="1"/>
      <c r="D440" s="1"/>
      <c r="E440" s="1"/>
      <c r="F440" s="1"/>
      <c r="G440" s="1"/>
      <c r="H440" s="1"/>
    </row>
    <row r="441" ht="15.75" customHeight="1">
      <c r="A441" s="1"/>
      <c r="B441" s="1"/>
      <c r="C441" s="1"/>
      <c r="D441" s="1"/>
      <c r="E441" s="1"/>
      <c r="F441" s="1"/>
      <c r="G441" s="1"/>
      <c r="H441" s="1"/>
    </row>
    <row r="442" ht="15.75" customHeight="1">
      <c r="A442" s="1"/>
      <c r="B442" s="1"/>
      <c r="C442" s="1"/>
      <c r="D442" s="1"/>
      <c r="E442" s="1"/>
      <c r="F442" s="1"/>
      <c r="G442" s="1"/>
      <c r="H442" s="1"/>
    </row>
    <row r="443" ht="15.75" customHeight="1">
      <c r="A443" s="1"/>
      <c r="B443" s="1"/>
      <c r="C443" s="1"/>
      <c r="D443" s="1"/>
      <c r="E443" s="1"/>
      <c r="F443" s="1"/>
      <c r="G443" s="1"/>
      <c r="H443" s="1"/>
    </row>
    <row r="444" ht="15.75" customHeight="1">
      <c r="A444" s="1"/>
      <c r="B444" s="1"/>
      <c r="C444" s="1"/>
      <c r="D444" s="1"/>
      <c r="E444" s="1"/>
      <c r="F444" s="1"/>
      <c r="G444" s="1"/>
      <c r="H444" s="1"/>
    </row>
    <row r="445" ht="15.75" customHeight="1">
      <c r="A445" s="1"/>
      <c r="B445" s="1"/>
      <c r="C445" s="1"/>
      <c r="D445" s="1"/>
      <c r="E445" s="1"/>
      <c r="F445" s="1"/>
      <c r="G445" s="1"/>
      <c r="H445" s="1"/>
    </row>
    <row r="446" ht="15.75" customHeight="1">
      <c r="A446" s="1"/>
      <c r="B446" s="1"/>
      <c r="C446" s="1"/>
      <c r="D446" s="1"/>
      <c r="E446" s="1"/>
      <c r="F446" s="1"/>
      <c r="G446" s="1"/>
      <c r="H446" s="1"/>
    </row>
    <row r="447" ht="15.75" customHeight="1">
      <c r="A447" s="1"/>
      <c r="B447" s="1"/>
      <c r="C447" s="1"/>
      <c r="D447" s="1"/>
      <c r="E447" s="1"/>
      <c r="F447" s="1"/>
      <c r="G447" s="1"/>
      <c r="H447" s="1"/>
    </row>
    <row r="448" ht="15.75" customHeight="1">
      <c r="A448" s="1"/>
      <c r="B448" s="1"/>
      <c r="C448" s="1"/>
      <c r="D448" s="1"/>
      <c r="E448" s="1"/>
      <c r="F448" s="1"/>
      <c r="G448" s="1"/>
      <c r="H448" s="1"/>
    </row>
    <row r="449" ht="15.75" customHeight="1">
      <c r="A449" s="1"/>
      <c r="B449" s="1"/>
      <c r="C449" s="1"/>
      <c r="D449" s="1"/>
      <c r="E449" s="1"/>
      <c r="F449" s="1"/>
      <c r="G449" s="1"/>
      <c r="H449" s="1"/>
    </row>
    <row r="450" ht="15.75" customHeight="1">
      <c r="A450" s="1"/>
      <c r="B450" s="1"/>
      <c r="C450" s="1"/>
      <c r="D450" s="1"/>
      <c r="E450" s="1"/>
      <c r="F450" s="1"/>
      <c r="G450" s="1"/>
      <c r="H450" s="1"/>
    </row>
    <row r="451" ht="15.75" customHeight="1">
      <c r="A451" s="1"/>
      <c r="B451" s="1"/>
      <c r="C451" s="1"/>
      <c r="D451" s="1"/>
      <c r="E451" s="1"/>
      <c r="F451" s="1"/>
      <c r="G451" s="1"/>
      <c r="H451" s="1"/>
    </row>
    <row r="452" ht="15.75" customHeight="1">
      <c r="A452" s="1"/>
      <c r="B452" s="1"/>
      <c r="C452" s="1"/>
      <c r="D452" s="1"/>
      <c r="E452" s="1"/>
      <c r="F452" s="1"/>
      <c r="G452" s="1"/>
      <c r="H452" s="1"/>
    </row>
    <row r="453" ht="15.75" customHeight="1">
      <c r="A453" s="1"/>
      <c r="B453" s="1"/>
      <c r="C453" s="1"/>
      <c r="D453" s="1"/>
      <c r="E453" s="1"/>
      <c r="F453" s="1"/>
      <c r="G453" s="1"/>
      <c r="H453" s="1"/>
    </row>
    <row r="454" ht="15.75" customHeight="1">
      <c r="A454" s="1"/>
      <c r="B454" s="1"/>
      <c r="C454" s="1"/>
      <c r="D454" s="1"/>
      <c r="E454" s="1"/>
      <c r="F454" s="1"/>
      <c r="G454" s="1"/>
      <c r="H454" s="1"/>
    </row>
    <row r="455" ht="15.75" customHeight="1">
      <c r="A455" s="1"/>
      <c r="B455" s="1"/>
      <c r="C455" s="1"/>
      <c r="D455" s="1"/>
      <c r="E455" s="1"/>
      <c r="F455" s="1"/>
      <c r="G455" s="1"/>
      <c r="H455" s="1"/>
    </row>
    <row r="456" ht="15.75" customHeight="1">
      <c r="A456" s="1"/>
      <c r="B456" s="1"/>
      <c r="C456" s="1"/>
      <c r="D456" s="1"/>
      <c r="E456" s="1"/>
      <c r="F456" s="1"/>
      <c r="G456" s="1"/>
      <c r="H456" s="1"/>
    </row>
    <row r="457" ht="15.75" customHeight="1">
      <c r="A457" s="1"/>
      <c r="B457" s="1"/>
      <c r="C457" s="1"/>
      <c r="D457" s="1"/>
      <c r="E457" s="1"/>
      <c r="F457" s="1"/>
      <c r="G457" s="1"/>
      <c r="H457" s="1"/>
    </row>
    <row r="458" ht="15.75" customHeight="1">
      <c r="A458" s="1"/>
      <c r="B458" s="1"/>
      <c r="C458" s="1"/>
      <c r="D458" s="1"/>
      <c r="E458" s="1"/>
      <c r="F458" s="1"/>
      <c r="G458" s="1"/>
      <c r="H458" s="1"/>
    </row>
    <row r="459" ht="15.75" customHeight="1">
      <c r="A459" s="1"/>
      <c r="B459" s="1"/>
      <c r="C459" s="1"/>
      <c r="D459" s="1"/>
      <c r="E459" s="1"/>
      <c r="F459" s="1"/>
      <c r="G459" s="1"/>
      <c r="H459" s="1"/>
    </row>
    <row r="460" ht="15.75" customHeight="1">
      <c r="A460" s="1"/>
      <c r="B460" s="1"/>
      <c r="C460" s="1"/>
      <c r="D460" s="1"/>
      <c r="E460" s="1"/>
      <c r="F460" s="1"/>
      <c r="G460" s="1"/>
      <c r="H460" s="1"/>
    </row>
    <row r="461" ht="15.75" customHeight="1">
      <c r="A461" s="1"/>
      <c r="B461" s="1"/>
      <c r="C461" s="1"/>
      <c r="D461" s="1"/>
      <c r="E461" s="1"/>
      <c r="F461" s="1"/>
      <c r="G461" s="1"/>
      <c r="H461" s="1"/>
    </row>
    <row r="462" ht="15.75" customHeight="1">
      <c r="A462" s="1"/>
      <c r="B462" s="1"/>
      <c r="C462" s="1"/>
      <c r="D462" s="1"/>
      <c r="E462" s="1"/>
      <c r="F462" s="1"/>
      <c r="G462" s="1"/>
      <c r="H462" s="1"/>
    </row>
    <row r="463" ht="15.75" customHeight="1">
      <c r="A463" s="1"/>
      <c r="B463" s="1"/>
      <c r="C463" s="1"/>
      <c r="D463" s="1"/>
      <c r="E463" s="1"/>
      <c r="F463" s="1"/>
      <c r="G463" s="1"/>
      <c r="H463" s="1"/>
    </row>
    <row r="464" ht="15.75" customHeight="1">
      <c r="A464" s="1"/>
      <c r="B464" s="1"/>
      <c r="C464" s="1"/>
      <c r="D464" s="1"/>
      <c r="E464" s="1"/>
      <c r="F464" s="1"/>
      <c r="G464" s="1"/>
      <c r="H464" s="1"/>
    </row>
    <row r="465" ht="15.75" customHeight="1">
      <c r="A465" s="1"/>
      <c r="B465" s="1"/>
      <c r="C465" s="1"/>
      <c r="D465" s="1"/>
      <c r="E465" s="1"/>
      <c r="F465" s="1"/>
      <c r="G465" s="1"/>
      <c r="H465" s="1"/>
    </row>
    <row r="466" ht="15.75" customHeight="1">
      <c r="A466" s="1"/>
      <c r="B466" s="1"/>
      <c r="C466" s="1"/>
      <c r="D466" s="1"/>
      <c r="E466" s="1"/>
      <c r="F466" s="1"/>
      <c r="G466" s="1"/>
      <c r="H466" s="1"/>
    </row>
    <row r="467" ht="15.75" customHeight="1">
      <c r="A467" s="1"/>
      <c r="B467" s="1"/>
      <c r="C467" s="1"/>
      <c r="D467" s="1"/>
      <c r="E467" s="1"/>
      <c r="F467" s="1"/>
      <c r="G467" s="1"/>
      <c r="H467" s="1"/>
    </row>
    <row r="468" ht="15.75" customHeight="1">
      <c r="A468" s="1"/>
      <c r="B468" s="1"/>
      <c r="C468" s="1"/>
      <c r="D468" s="1"/>
      <c r="E468" s="1"/>
      <c r="F468" s="1"/>
      <c r="G468" s="1"/>
      <c r="H468" s="1"/>
    </row>
    <row r="469" ht="15.75" customHeight="1">
      <c r="A469" s="1"/>
      <c r="B469" s="1"/>
      <c r="C469" s="1"/>
      <c r="D469" s="1"/>
      <c r="E469" s="1"/>
      <c r="F469" s="1"/>
      <c r="G469" s="1"/>
      <c r="H469" s="1"/>
    </row>
    <row r="470" ht="15.75" customHeight="1">
      <c r="A470" s="1"/>
      <c r="B470" s="1"/>
      <c r="C470" s="1"/>
      <c r="D470" s="1"/>
      <c r="E470" s="1"/>
      <c r="F470" s="1"/>
      <c r="G470" s="1"/>
      <c r="H470" s="1"/>
    </row>
    <row r="471" ht="15.75" customHeight="1">
      <c r="A471" s="1"/>
      <c r="B471" s="1"/>
      <c r="C471" s="1"/>
      <c r="D471" s="1"/>
      <c r="E471" s="1"/>
      <c r="F471" s="1"/>
      <c r="G471" s="1"/>
      <c r="H471" s="1"/>
    </row>
    <row r="472" ht="15.75" customHeight="1">
      <c r="A472" s="1"/>
      <c r="B472" s="1"/>
      <c r="C472" s="1"/>
      <c r="D472" s="1"/>
      <c r="E472" s="1"/>
      <c r="F472" s="1"/>
      <c r="G472" s="1"/>
      <c r="H472" s="1"/>
    </row>
    <row r="473" ht="15.75" customHeight="1">
      <c r="A473" s="1"/>
      <c r="B473" s="1"/>
      <c r="C473" s="1"/>
      <c r="D473" s="1"/>
      <c r="E473" s="1"/>
      <c r="F473" s="1"/>
      <c r="G473" s="1"/>
      <c r="H473" s="1"/>
    </row>
    <row r="474" ht="15.75" customHeight="1">
      <c r="A474" s="1"/>
      <c r="B474" s="1"/>
      <c r="C474" s="1"/>
      <c r="D474" s="1"/>
      <c r="E474" s="1"/>
      <c r="F474" s="1"/>
      <c r="G474" s="1"/>
      <c r="H474" s="1"/>
    </row>
    <row r="475" ht="15.75" customHeight="1">
      <c r="A475" s="1"/>
      <c r="B475" s="1"/>
      <c r="C475" s="1"/>
      <c r="D475" s="1"/>
      <c r="E475" s="1"/>
      <c r="F475" s="1"/>
      <c r="G475" s="1"/>
      <c r="H475" s="1"/>
    </row>
    <row r="476" ht="15.75" customHeight="1">
      <c r="A476" s="1"/>
      <c r="B476" s="1"/>
      <c r="C476" s="1"/>
      <c r="D476" s="1"/>
      <c r="E476" s="1"/>
      <c r="F476" s="1"/>
      <c r="G476" s="1"/>
      <c r="H476" s="1"/>
    </row>
    <row r="477" ht="15.75" customHeight="1">
      <c r="A477" s="1"/>
      <c r="B477" s="1"/>
      <c r="C477" s="1"/>
      <c r="D477" s="1"/>
      <c r="E477" s="1"/>
      <c r="F477" s="1"/>
      <c r="G477" s="1"/>
      <c r="H477" s="1"/>
    </row>
    <row r="478" ht="15.75" customHeight="1">
      <c r="A478" s="1"/>
      <c r="B478" s="1"/>
      <c r="C478" s="1"/>
      <c r="D478" s="1"/>
      <c r="E478" s="1"/>
      <c r="F478" s="1"/>
      <c r="G478" s="1"/>
      <c r="H478" s="1"/>
    </row>
    <row r="479" ht="15.75" customHeight="1">
      <c r="A479" s="1"/>
      <c r="B479" s="1"/>
      <c r="C479" s="1"/>
      <c r="D479" s="1"/>
      <c r="E479" s="1"/>
      <c r="F479" s="1"/>
      <c r="G479" s="1"/>
      <c r="H479" s="1"/>
    </row>
    <row r="480" ht="15.75" customHeight="1">
      <c r="A480" s="1"/>
      <c r="B480" s="1"/>
      <c r="C480" s="1"/>
      <c r="D480" s="1"/>
      <c r="E480" s="1"/>
      <c r="F480" s="1"/>
      <c r="G480" s="1"/>
      <c r="H480" s="1"/>
    </row>
    <row r="481" ht="15.75" customHeight="1">
      <c r="A481" s="1"/>
      <c r="B481" s="1"/>
      <c r="C481" s="1"/>
      <c r="D481" s="1"/>
      <c r="E481" s="1"/>
      <c r="F481" s="1"/>
      <c r="G481" s="1"/>
      <c r="H481" s="1"/>
    </row>
    <row r="482" ht="15.75" customHeight="1">
      <c r="A482" s="1"/>
      <c r="B482" s="1"/>
      <c r="C482" s="1"/>
      <c r="D482" s="1"/>
      <c r="E482" s="1"/>
      <c r="F482" s="1"/>
      <c r="G482" s="1"/>
      <c r="H482" s="1"/>
    </row>
    <row r="483" ht="15.75" customHeight="1">
      <c r="A483" s="1"/>
      <c r="B483" s="1"/>
      <c r="C483" s="1"/>
      <c r="D483" s="1"/>
      <c r="E483" s="1"/>
      <c r="F483" s="1"/>
      <c r="G483" s="1"/>
      <c r="H483" s="1"/>
    </row>
    <row r="484" ht="15.75" customHeight="1">
      <c r="A484" s="1"/>
      <c r="B484" s="1"/>
      <c r="C484" s="1"/>
      <c r="D484" s="1"/>
      <c r="E484" s="1"/>
      <c r="F484" s="1"/>
      <c r="G484" s="1"/>
      <c r="H484" s="1"/>
    </row>
    <row r="485" ht="15.75" customHeight="1">
      <c r="A485" s="1"/>
      <c r="B485" s="1"/>
      <c r="C485" s="1"/>
      <c r="D485" s="1"/>
      <c r="E485" s="1"/>
      <c r="F485" s="1"/>
      <c r="G485" s="1"/>
      <c r="H485" s="1"/>
    </row>
    <row r="486" ht="15.75" customHeight="1">
      <c r="A486" s="1"/>
      <c r="B486" s="1"/>
      <c r="C486" s="1"/>
      <c r="D486" s="1"/>
      <c r="E486" s="1"/>
      <c r="F486" s="1"/>
      <c r="G486" s="1"/>
      <c r="H486" s="1"/>
    </row>
    <row r="487" ht="15.75" customHeight="1">
      <c r="A487" s="1"/>
      <c r="B487" s="1"/>
      <c r="C487" s="1"/>
      <c r="D487" s="1"/>
      <c r="E487" s="1"/>
      <c r="F487" s="1"/>
      <c r="G487" s="1"/>
      <c r="H487" s="1"/>
    </row>
    <row r="488" ht="15.75" customHeight="1">
      <c r="A488" s="1"/>
      <c r="B488" s="1"/>
      <c r="C488" s="1"/>
      <c r="D488" s="1"/>
      <c r="E488" s="1"/>
      <c r="F488" s="1"/>
      <c r="G488" s="1"/>
      <c r="H488" s="1"/>
    </row>
    <row r="489" ht="15.75" customHeight="1">
      <c r="A489" s="1"/>
      <c r="B489" s="1"/>
      <c r="C489" s="1"/>
      <c r="D489" s="1"/>
      <c r="E489" s="1"/>
      <c r="F489" s="1"/>
      <c r="G489" s="1"/>
      <c r="H489" s="1"/>
    </row>
    <row r="490" ht="15.75" customHeight="1">
      <c r="A490" s="1"/>
      <c r="B490" s="1"/>
      <c r="C490" s="1"/>
      <c r="D490" s="1"/>
      <c r="E490" s="1"/>
      <c r="F490" s="1"/>
      <c r="G490" s="1"/>
      <c r="H490" s="1"/>
    </row>
    <row r="491" ht="15.75" customHeight="1">
      <c r="A491" s="1"/>
      <c r="B491" s="1"/>
      <c r="C491" s="1"/>
      <c r="D491" s="1"/>
      <c r="E491" s="1"/>
      <c r="F491" s="1"/>
      <c r="G491" s="1"/>
      <c r="H491" s="1"/>
    </row>
    <row r="492" ht="15.75" customHeight="1">
      <c r="A492" s="1"/>
      <c r="B492" s="1"/>
      <c r="C492" s="1"/>
      <c r="D492" s="1"/>
      <c r="E492" s="1"/>
      <c r="F492" s="1"/>
      <c r="G492" s="1"/>
      <c r="H492" s="1"/>
    </row>
    <row r="493" ht="15.75" customHeight="1">
      <c r="A493" s="1"/>
      <c r="B493" s="1"/>
      <c r="C493" s="1"/>
      <c r="D493" s="1"/>
      <c r="E493" s="1"/>
      <c r="F493" s="1"/>
      <c r="G493" s="1"/>
      <c r="H493" s="1"/>
    </row>
    <row r="494" ht="15.75" customHeight="1">
      <c r="A494" s="1"/>
      <c r="B494" s="1"/>
      <c r="C494" s="1"/>
      <c r="D494" s="1"/>
      <c r="E494" s="1"/>
      <c r="F494" s="1"/>
      <c r="G494" s="1"/>
      <c r="H494" s="1"/>
    </row>
    <row r="495" ht="15.75" customHeight="1">
      <c r="A495" s="1"/>
      <c r="B495" s="1"/>
      <c r="C495" s="1"/>
      <c r="D495" s="1"/>
      <c r="E495" s="1"/>
      <c r="F495" s="1"/>
      <c r="G495" s="1"/>
      <c r="H495" s="1"/>
    </row>
    <row r="496" ht="15.75" customHeight="1">
      <c r="A496" s="1"/>
      <c r="B496" s="1"/>
      <c r="C496" s="1"/>
      <c r="D496" s="1"/>
      <c r="E496" s="1"/>
      <c r="F496" s="1"/>
      <c r="G496" s="1"/>
      <c r="H496" s="1"/>
    </row>
    <row r="497" ht="15.75" customHeight="1">
      <c r="A497" s="1"/>
      <c r="B497" s="1"/>
      <c r="C497" s="1"/>
      <c r="D497" s="1"/>
      <c r="E497" s="1"/>
      <c r="F497" s="1"/>
      <c r="G497" s="1"/>
      <c r="H497" s="1"/>
    </row>
    <row r="498" ht="15.75" customHeight="1">
      <c r="A498" s="1"/>
      <c r="B498" s="1"/>
      <c r="C498" s="1"/>
      <c r="D498" s="1"/>
      <c r="E498" s="1"/>
      <c r="F498" s="1"/>
      <c r="G498" s="1"/>
      <c r="H498" s="1"/>
    </row>
    <row r="499" ht="15.75" customHeight="1">
      <c r="A499" s="1"/>
      <c r="B499" s="1"/>
      <c r="C499" s="1"/>
      <c r="D499" s="1"/>
      <c r="E499" s="1"/>
      <c r="F499" s="1"/>
      <c r="G499" s="1"/>
      <c r="H499" s="1"/>
    </row>
    <row r="500" ht="15.75" customHeight="1">
      <c r="A500" s="1"/>
      <c r="B500" s="1"/>
      <c r="C500" s="1"/>
      <c r="D500" s="1"/>
      <c r="E500" s="1"/>
      <c r="F500" s="1"/>
      <c r="G500" s="1"/>
      <c r="H500" s="1"/>
    </row>
    <row r="501" ht="15.75" customHeight="1">
      <c r="A501" s="1"/>
      <c r="B501" s="1"/>
      <c r="C501" s="1"/>
      <c r="D501" s="1"/>
      <c r="E501" s="1"/>
      <c r="F501" s="1"/>
      <c r="G501" s="1"/>
      <c r="H501" s="1"/>
    </row>
    <row r="502" ht="15.75" customHeight="1">
      <c r="A502" s="1"/>
      <c r="B502" s="1"/>
      <c r="C502" s="1"/>
      <c r="D502" s="1"/>
      <c r="E502" s="1"/>
      <c r="F502" s="1"/>
      <c r="G502" s="1"/>
      <c r="H502" s="1"/>
    </row>
    <row r="503" ht="15.75" customHeight="1">
      <c r="A503" s="1"/>
      <c r="B503" s="1"/>
      <c r="C503" s="1"/>
      <c r="D503" s="1"/>
      <c r="E503" s="1"/>
      <c r="F503" s="1"/>
      <c r="G503" s="1"/>
      <c r="H503" s="1"/>
    </row>
    <row r="504" ht="15.75" customHeight="1">
      <c r="A504" s="1"/>
      <c r="B504" s="1"/>
      <c r="C504" s="1"/>
      <c r="D504" s="1"/>
      <c r="E504" s="1"/>
      <c r="F504" s="1"/>
      <c r="G504" s="1"/>
      <c r="H504" s="1"/>
    </row>
    <row r="505" ht="15.75" customHeight="1">
      <c r="A505" s="1"/>
      <c r="B505" s="1"/>
      <c r="C505" s="1"/>
      <c r="D505" s="1"/>
      <c r="E505" s="1"/>
      <c r="F505" s="1"/>
      <c r="G505" s="1"/>
      <c r="H505" s="1"/>
    </row>
    <row r="506" ht="15.75" customHeight="1">
      <c r="A506" s="1"/>
      <c r="B506" s="1"/>
      <c r="C506" s="1"/>
      <c r="D506" s="1"/>
      <c r="E506" s="1"/>
      <c r="F506" s="1"/>
      <c r="G506" s="1"/>
      <c r="H506" s="1"/>
    </row>
    <row r="507" ht="15.75" customHeight="1">
      <c r="A507" s="1"/>
      <c r="B507" s="1"/>
      <c r="C507" s="1"/>
      <c r="D507" s="1"/>
      <c r="E507" s="1"/>
      <c r="F507" s="1"/>
      <c r="G507" s="1"/>
      <c r="H507" s="1"/>
    </row>
    <row r="508" ht="15.75" customHeight="1">
      <c r="A508" s="1"/>
      <c r="B508" s="1"/>
      <c r="C508" s="1"/>
      <c r="D508" s="1"/>
      <c r="E508" s="1"/>
      <c r="F508" s="1"/>
      <c r="G508" s="1"/>
      <c r="H508" s="1"/>
    </row>
    <row r="509" ht="15.75" customHeight="1">
      <c r="A509" s="1"/>
      <c r="B509" s="1"/>
      <c r="C509" s="1"/>
      <c r="D509" s="1"/>
      <c r="E509" s="1"/>
      <c r="F509" s="1"/>
      <c r="G509" s="1"/>
      <c r="H509" s="1"/>
    </row>
    <row r="510" ht="15.75" customHeight="1">
      <c r="A510" s="1"/>
      <c r="B510" s="1"/>
      <c r="C510" s="1"/>
      <c r="D510" s="1"/>
      <c r="E510" s="1"/>
      <c r="F510" s="1"/>
      <c r="G510" s="1"/>
      <c r="H510" s="1"/>
    </row>
    <row r="511" ht="15.75" customHeight="1">
      <c r="A511" s="1"/>
      <c r="B511" s="1"/>
      <c r="C511" s="1"/>
      <c r="D511" s="1"/>
      <c r="E511" s="1"/>
      <c r="F511" s="1"/>
      <c r="G511" s="1"/>
      <c r="H511" s="1"/>
    </row>
    <row r="512" ht="15.75" customHeight="1">
      <c r="A512" s="1"/>
      <c r="B512" s="1"/>
      <c r="C512" s="1"/>
      <c r="D512" s="1"/>
      <c r="E512" s="1"/>
      <c r="F512" s="1"/>
      <c r="G512" s="1"/>
      <c r="H512" s="1"/>
    </row>
    <row r="513" ht="15.75" customHeight="1">
      <c r="A513" s="1"/>
      <c r="B513" s="1"/>
      <c r="C513" s="1"/>
      <c r="D513" s="1"/>
      <c r="E513" s="1"/>
      <c r="F513" s="1"/>
      <c r="G513" s="1"/>
      <c r="H513" s="1"/>
    </row>
    <row r="514" ht="15.75" customHeight="1">
      <c r="A514" s="1"/>
      <c r="B514" s="1"/>
      <c r="C514" s="1"/>
      <c r="D514" s="1"/>
      <c r="E514" s="1"/>
      <c r="F514" s="1"/>
      <c r="G514" s="1"/>
      <c r="H514" s="1"/>
    </row>
    <row r="515" ht="15.75" customHeight="1">
      <c r="A515" s="1"/>
      <c r="B515" s="1"/>
      <c r="C515" s="1"/>
      <c r="D515" s="1"/>
      <c r="E515" s="1"/>
      <c r="F515" s="1"/>
      <c r="G515" s="1"/>
      <c r="H515" s="1"/>
    </row>
    <row r="516" ht="15.75" customHeight="1">
      <c r="A516" s="1"/>
      <c r="B516" s="1"/>
      <c r="C516" s="1"/>
      <c r="D516" s="1"/>
      <c r="E516" s="1"/>
      <c r="F516" s="1"/>
      <c r="G516" s="1"/>
      <c r="H516" s="1"/>
    </row>
    <row r="517" ht="15.75" customHeight="1">
      <c r="A517" s="1"/>
      <c r="B517" s="1"/>
      <c r="C517" s="1"/>
      <c r="D517" s="1"/>
      <c r="E517" s="1"/>
      <c r="F517" s="1"/>
      <c r="G517" s="1"/>
      <c r="H517" s="1"/>
    </row>
    <row r="518" ht="15.75" customHeight="1">
      <c r="A518" s="1"/>
      <c r="B518" s="1"/>
      <c r="C518" s="1"/>
      <c r="D518" s="1"/>
      <c r="E518" s="1"/>
      <c r="F518" s="1"/>
      <c r="G518" s="1"/>
      <c r="H518" s="1"/>
    </row>
    <row r="519" ht="15.75" customHeight="1">
      <c r="A519" s="1"/>
      <c r="B519" s="1"/>
      <c r="C519" s="1"/>
      <c r="D519" s="1"/>
      <c r="E519" s="1"/>
      <c r="F519" s="1"/>
      <c r="G519" s="1"/>
      <c r="H519" s="1"/>
    </row>
    <row r="520" ht="15.75" customHeight="1">
      <c r="A520" s="1"/>
      <c r="B520" s="1"/>
      <c r="C520" s="1"/>
      <c r="D520" s="1"/>
      <c r="E520" s="1"/>
      <c r="F520" s="1"/>
      <c r="G520" s="1"/>
      <c r="H520" s="1"/>
    </row>
    <row r="521" ht="15.75" customHeight="1">
      <c r="A521" s="1"/>
      <c r="B521" s="1"/>
      <c r="C521" s="1"/>
      <c r="D521" s="1"/>
      <c r="E521" s="1"/>
      <c r="F521" s="1"/>
      <c r="G521" s="1"/>
      <c r="H521" s="1"/>
    </row>
    <row r="522" ht="15.75" customHeight="1">
      <c r="A522" s="1"/>
      <c r="B522" s="1"/>
      <c r="C522" s="1"/>
      <c r="D522" s="1"/>
      <c r="E522" s="1"/>
      <c r="F522" s="1"/>
      <c r="G522" s="1"/>
      <c r="H522" s="1"/>
    </row>
    <row r="523" ht="15.75" customHeight="1">
      <c r="A523" s="1"/>
      <c r="B523" s="1"/>
      <c r="C523" s="1"/>
      <c r="D523" s="1"/>
      <c r="E523" s="1"/>
      <c r="F523" s="1"/>
      <c r="G523" s="1"/>
      <c r="H523" s="1"/>
    </row>
    <row r="524" ht="15.75" customHeight="1">
      <c r="A524" s="1"/>
      <c r="B524" s="1"/>
      <c r="C524" s="1"/>
      <c r="D524" s="1"/>
      <c r="E524" s="1"/>
      <c r="F524" s="1"/>
      <c r="G524" s="1"/>
      <c r="H524" s="1"/>
    </row>
    <row r="525" ht="15.75" customHeight="1">
      <c r="A525" s="1"/>
      <c r="B525" s="1"/>
      <c r="C525" s="1"/>
      <c r="D525" s="1"/>
      <c r="E525" s="1"/>
      <c r="F525" s="1"/>
      <c r="G525" s="1"/>
      <c r="H525" s="1"/>
    </row>
    <row r="526" ht="15.75" customHeight="1">
      <c r="A526" s="1"/>
      <c r="B526" s="1"/>
      <c r="C526" s="1"/>
      <c r="D526" s="1"/>
      <c r="E526" s="1"/>
      <c r="F526" s="1"/>
      <c r="G526" s="1"/>
      <c r="H526" s="1"/>
    </row>
    <row r="527" ht="15.75" customHeight="1">
      <c r="A527" s="1"/>
      <c r="B527" s="1"/>
      <c r="C527" s="1"/>
      <c r="D527" s="1"/>
      <c r="E527" s="1"/>
      <c r="F527" s="1"/>
      <c r="G527" s="1"/>
      <c r="H527" s="1"/>
    </row>
    <row r="528" ht="15.75" customHeight="1">
      <c r="A528" s="1"/>
      <c r="B528" s="1"/>
      <c r="C528" s="1"/>
      <c r="D528" s="1"/>
      <c r="E528" s="1"/>
      <c r="F528" s="1"/>
      <c r="G528" s="1"/>
      <c r="H528" s="1"/>
    </row>
    <row r="529" ht="15.75" customHeight="1">
      <c r="A529" s="1"/>
      <c r="B529" s="1"/>
      <c r="C529" s="1"/>
      <c r="D529" s="1"/>
      <c r="E529" s="1"/>
      <c r="F529" s="1"/>
      <c r="G529" s="1"/>
      <c r="H529" s="1"/>
    </row>
    <row r="530" ht="15.75" customHeight="1">
      <c r="A530" s="1"/>
      <c r="B530" s="1"/>
      <c r="C530" s="1"/>
      <c r="D530" s="1"/>
      <c r="E530" s="1"/>
      <c r="F530" s="1"/>
      <c r="G530" s="1"/>
      <c r="H530" s="1"/>
    </row>
    <row r="531" ht="15.75" customHeight="1">
      <c r="A531" s="1"/>
      <c r="B531" s="1"/>
      <c r="C531" s="1"/>
      <c r="D531" s="1"/>
      <c r="E531" s="1"/>
      <c r="F531" s="1"/>
      <c r="G531" s="1"/>
      <c r="H531" s="1"/>
    </row>
    <row r="532" ht="15.75" customHeight="1">
      <c r="A532" s="1"/>
      <c r="B532" s="1"/>
      <c r="C532" s="1"/>
      <c r="D532" s="1"/>
      <c r="E532" s="1"/>
      <c r="F532" s="1"/>
      <c r="G532" s="1"/>
      <c r="H532" s="1"/>
    </row>
    <row r="533" ht="15.75" customHeight="1">
      <c r="A533" s="1"/>
      <c r="B533" s="1"/>
      <c r="C533" s="1"/>
      <c r="D533" s="1"/>
      <c r="E533" s="1"/>
      <c r="F533" s="1"/>
      <c r="G533" s="1"/>
      <c r="H533" s="1"/>
    </row>
    <row r="534" ht="15.75" customHeight="1">
      <c r="A534" s="1"/>
      <c r="B534" s="1"/>
      <c r="C534" s="1"/>
      <c r="D534" s="1"/>
      <c r="E534" s="1"/>
      <c r="F534" s="1"/>
      <c r="G534" s="1"/>
      <c r="H534" s="1"/>
    </row>
    <row r="535" ht="15.75" customHeight="1">
      <c r="A535" s="1"/>
      <c r="B535" s="1"/>
      <c r="C535" s="1"/>
      <c r="D535" s="1"/>
      <c r="E535" s="1"/>
      <c r="F535" s="1"/>
      <c r="G535" s="1"/>
      <c r="H535" s="1"/>
    </row>
    <row r="536" ht="15.75" customHeight="1">
      <c r="A536" s="1"/>
      <c r="B536" s="1"/>
      <c r="C536" s="1"/>
      <c r="D536" s="1"/>
      <c r="E536" s="1"/>
      <c r="F536" s="1"/>
      <c r="G536" s="1"/>
      <c r="H536" s="1"/>
    </row>
    <row r="537" ht="15.75" customHeight="1">
      <c r="A537" s="1"/>
      <c r="B537" s="1"/>
      <c r="C537" s="1"/>
      <c r="D537" s="1"/>
      <c r="E537" s="1"/>
      <c r="F537" s="1"/>
      <c r="G537" s="1"/>
      <c r="H537" s="1"/>
    </row>
    <row r="538" ht="15.75" customHeight="1">
      <c r="A538" s="1"/>
      <c r="B538" s="1"/>
      <c r="C538" s="1"/>
      <c r="D538" s="1"/>
      <c r="E538" s="1"/>
      <c r="F538" s="1"/>
      <c r="G538" s="1"/>
      <c r="H538" s="1"/>
    </row>
    <row r="539" ht="15.75" customHeight="1">
      <c r="A539" s="1"/>
      <c r="B539" s="1"/>
      <c r="C539" s="1"/>
      <c r="D539" s="1"/>
      <c r="E539" s="1"/>
      <c r="F539" s="1"/>
      <c r="G539" s="1"/>
      <c r="H539" s="1"/>
    </row>
    <row r="540" ht="15.75" customHeight="1">
      <c r="A540" s="1"/>
      <c r="B540" s="1"/>
      <c r="C540" s="1"/>
      <c r="D540" s="1"/>
      <c r="E540" s="1"/>
      <c r="F540" s="1"/>
      <c r="G540" s="1"/>
      <c r="H540" s="1"/>
    </row>
    <row r="541" ht="15.75" customHeight="1">
      <c r="A541" s="1"/>
      <c r="B541" s="1"/>
      <c r="C541" s="1"/>
      <c r="D541" s="1"/>
      <c r="E541" s="1"/>
      <c r="F541" s="1"/>
      <c r="G541" s="1"/>
      <c r="H541" s="1"/>
    </row>
    <row r="542" ht="15.75" customHeight="1">
      <c r="A542" s="1"/>
      <c r="B542" s="1"/>
      <c r="C542" s="1"/>
      <c r="D542" s="1"/>
      <c r="E542" s="1"/>
      <c r="F542" s="1"/>
      <c r="G542" s="1"/>
      <c r="H542" s="1"/>
    </row>
    <row r="543" ht="15.75" customHeight="1">
      <c r="A543" s="1"/>
      <c r="B543" s="1"/>
      <c r="C543" s="1"/>
      <c r="D543" s="1"/>
      <c r="E543" s="1"/>
      <c r="F543" s="1"/>
      <c r="G543" s="1"/>
      <c r="H543" s="1"/>
    </row>
    <row r="544" ht="15.75" customHeight="1">
      <c r="A544" s="1"/>
      <c r="B544" s="1"/>
      <c r="C544" s="1"/>
      <c r="D544" s="1"/>
      <c r="E544" s="1"/>
      <c r="F544" s="1"/>
      <c r="G544" s="1"/>
      <c r="H544" s="1"/>
    </row>
    <row r="545" ht="15.75" customHeight="1">
      <c r="A545" s="1"/>
      <c r="B545" s="1"/>
      <c r="C545" s="1"/>
      <c r="D545" s="1"/>
      <c r="E545" s="1"/>
      <c r="F545" s="1"/>
      <c r="G545" s="1"/>
      <c r="H545" s="1"/>
    </row>
    <row r="546" ht="15.75" customHeight="1">
      <c r="A546" s="1"/>
      <c r="B546" s="1"/>
      <c r="C546" s="1"/>
      <c r="D546" s="1"/>
      <c r="E546" s="1"/>
      <c r="F546" s="1"/>
      <c r="G546" s="1"/>
      <c r="H546" s="1"/>
    </row>
    <row r="547" ht="15.75" customHeight="1">
      <c r="A547" s="1"/>
      <c r="B547" s="1"/>
      <c r="C547" s="1"/>
      <c r="D547" s="1"/>
      <c r="E547" s="1"/>
      <c r="F547" s="1"/>
      <c r="G547" s="1"/>
      <c r="H547" s="1"/>
    </row>
    <row r="548" ht="15.75" customHeight="1">
      <c r="A548" s="1"/>
      <c r="B548" s="1"/>
      <c r="C548" s="1"/>
      <c r="D548" s="1"/>
      <c r="E548" s="1"/>
      <c r="F548" s="1"/>
      <c r="G548" s="1"/>
      <c r="H548" s="1"/>
    </row>
    <row r="549" ht="15.75" customHeight="1">
      <c r="A549" s="1"/>
      <c r="B549" s="1"/>
      <c r="C549" s="1"/>
      <c r="D549" s="1"/>
      <c r="E549" s="1"/>
      <c r="F549" s="1"/>
      <c r="G549" s="1"/>
      <c r="H549" s="1"/>
    </row>
    <row r="550" ht="15.75" customHeight="1">
      <c r="A550" s="1"/>
      <c r="B550" s="1"/>
      <c r="C550" s="1"/>
      <c r="D550" s="1"/>
      <c r="E550" s="1"/>
      <c r="F550" s="1"/>
      <c r="G550" s="1"/>
      <c r="H550" s="1"/>
    </row>
    <row r="551" ht="15.75" customHeight="1">
      <c r="A551" s="1"/>
      <c r="B551" s="1"/>
      <c r="C551" s="1"/>
      <c r="D551" s="1"/>
      <c r="E551" s="1"/>
      <c r="F551" s="1"/>
      <c r="G551" s="1"/>
      <c r="H551" s="1"/>
    </row>
    <row r="552" ht="15.75" customHeight="1">
      <c r="A552" s="1"/>
      <c r="B552" s="1"/>
      <c r="C552" s="1"/>
      <c r="D552" s="1"/>
      <c r="E552" s="1"/>
      <c r="F552" s="1"/>
      <c r="G552" s="1"/>
      <c r="H552" s="1"/>
    </row>
    <row r="553" ht="15.75" customHeight="1">
      <c r="A553" s="1"/>
      <c r="B553" s="1"/>
      <c r="C553" s="1"/>
      <c r="D553" s="1"/>
      <c r="E553" s="1"/>
      <c r="F553" s="1"/>
      <c r="G553" s="1"/>
      <c r="H553" s="1"/>
    </row>
    <row r="554" ht="15.75" customHeight="1">
      <c r="A554" s="1"/>
      <c r="B554" s="1"/>
      <c r="C554" s="1"/>
      <c r="D554" s="1"/>
      <c r="E554" s="1"/>
      <c r="F554" s="1"/>
      <c r="G554" s="1"/>
      <c r="H554" s="1"/>
    </row>
    <row r="555" ht="15.75" customHeight="1">
      <c r="A555" s="1"/>
      <c r="B555" s="1"/>
      <c r="C555" s="1"/>
      <c r="D555" s="1"/>
      <c r="E555" s="1"/>
      <c r="F555" s="1"/>
      <c r="G555" s="1"/>
      <c r="H555" s="1"/>
    </row>
    <row r="556" ht="15.75" customHeight="1">
      <c r="A556" s="1"/>
      <c r="B556" s="1"/>
      <c r="C556" s="1"/>
      <c r="D556" s="1"/>
      <c r="E556" s="1"/>
      <c r="F556" s="1"/>
      <c r="G556" s="1"/>
      <c r="H556" s="1"/>
    </row>
    <row r="557" ht="15.75" customHeight="1">
      <c r="A557" s="1"/>
      <c r="B557" s="1"/>
      <c r="C557" s="1"/>
      <c r="D557" s="1"/>
      <c r="E557" s="1"/>
      <c r="F557" s="1"/>
      <c r="G557" s="1"/>
      <c r="H557" s="1"/>
    </row>
    <row r="558" ht="15.75" customHeight="1">
      <c r="A558" s="1"/>
      <c r="B558" s="1"/>
      <c r="C558" s="1"/>
      <c r="D558" s="1"/>
      <c r="E558" s="1"/>
      <c r="F558" s="1"/>
      <c r="G558" s="1"/>
      <c r="H558" s="1"/>
    </row>
    <row r="559" ht="15.75" customHeight="1">
      <c r="A559" s="1"/>
      <c r="B559" s="1"/>
      <c r="C559" s="1"/>
      <c r="D559" s="1"/>
      <c r="E559" s="1"/>
      <c r="F559" s="1"/>
      <c r="G559" s="1"/>
      <c r="H559" s="1"/>
    </row>
    <row r="560" ht="15.75" customHeight="1">
      <c r="A560" s="1"/>
      <c r="B560" s="1"/>
      <c r="C560" s="1"/>
      <c r="D560" s="1"/>
      <c r="E560" s="1"/>
      <c r="F560" s="1"/>
      <c r="G560" s="1"/>
      <c r="H560" s="1"/>
    </row>
    <row r="561" ht="15.75" customHeight="1">
      <c r="A561" s="1"/>
      <c r="B561" s="1"/>
      <c r="C561" s="1"/>
      <c r="D561" s="1"/>
      <c r="E561" s="1"/>
      <c r="F561" s="1"/>
      <c r="G561" s="1"/>
      <c r="H561" s="1"/>
    </row>
    <row r="562" ht="15.75" customHeight="1">
      <c r="A562" s="1"/>
      <c r="B562" s="1"/>
      <c r="C562" s="1"/>
      <c r="D562" s="1"/>
      <c r="E562" s="1"/>
      <c r="F562" s="1"/>
      <c r="G562" s="1"/>
      <c r="H562" s="1"/>
    </row>
    <row r="563" ht="15.75" customHeight="1">
      <c r="A563" s="1"/>
      <c r="B563" s="1"/>
      <c r="C563" s="1"/>
      <c r="D563" s="1"/>
      <c r="E563" s="1"/>
      <c r="F563" s="1"/>
      <c r="G563" s="1"/>
      <c r="H563" s="1"/>
    </row>
    <row r="564" ht="15.75" customHeight="1">
      <c r="A564" s="1"/>
      <c r="B564" s="1"/>
      <c r="C564" s="1"/>
      <c r="D564" s="1"/>
      <c r="E564" s="1"/>
      <c r="F564" s="1"/>
      <c r="G564" s="1"/>
      <c r="H564" s="1"/>
    </row>
    <row r="565" ht="15.75" customHeight="1">
      <c r="A565" s="1"/>
      <c r="B565" s="1"/>
      <c r="C565" s="1"/>
      <c r="D565" s="1"/>
      <c r="E565" s="1"/>
      <c r="F565" s="1"/>
      <c r="G565" s="1"/>
      <c r="H565" s="1"/>
    </row>
    <row r="566" ht="15.75" customHeight="1">
      <c r="A566" s="1"/>
      <c r="B566" s="1"/>
      <c r="C566" s="1"/>
      <c r="D566" s="1"/>
      <c r="E566" s="1"/>
      <c r="F566" s="1"/>
      <c r="G566" s="1"/>
      <c r="H566" s="1"/>
    </row>
    <row r="567" ht="15.75" customHeight="1">
      <c r="A567" s="1"/>
      <c r="B567" s="1"/>
      <c r="C567" s="1"/>
      <c r="D567" s="1"/>
      <c r="E567" s="1"/>
      <c r="F567" s="1"/>
      <c r="G567" s="1"/>
      <c r="H567" s="1"/>
    </row>
    <row r="568" ht="15.75" customHeight="1">
      <c r="A568" s="1"/>
      <c r="B568" s="1"/>
      <c r="C568" s="1"/>
      <c r="D568" s="1"/>
      <c r="E568" s="1"/>
      <c r="F568" s="1"/>
      <c r="G568" s="1"/>
      <c r="H568" s="1"/>
    </row>
    <row r="569" ht="15.75" customHeight="1">
      <c r="A569" s="1"/>
      <c r="B569" s="1"/>
      <c r="C569" s="1"/>
      <c r="D569" s="1"/>
      <c r="E569" s="1"/>
      <c r="F569" s="1"/>
      <c r="G569" s="1"/>
      <c r="H569" s="1"/>
    </row>
    <row r="570" ht="15.75" customHeight="1">
      <c r="A570" s="1"/>
      <c r="B570" s="1"/>
      <c r="C570" s="1"/>
      <c r="D570" s="1"/>
      <c r="E570" s="1"/>
      <c r="F570" s="1"/>
      <c r="G570" s="1"/>
      <c r="H570" s="1"/>
    </row>
    <row r="571" ht="15.75" customHeight="1">
      <c r="A571" s="1"/>
      <c r="B571" s="1"/>
      <c r="C571" s="1"/>
      <c r="D571" s="1"/>
      <c r="E571" s="1"/>
      <c r="F571" s="1"/>
      <c r="G571" s="1"/>
      <c r="H571" s="1"/>
    </row>
    <row r="572" ht="15.75" customHeight="1">
      <c r="A572" s="1"/>
      <c r="B572" s="1"/>
      <c r="C572" s="1"/>
      <c r="D572" s="1"/>
      <c r="E572" s="1"/>
      <c r="F572" s="1"/>
      <c r="G572" s="1"/>
      <c r="H572" s="1"/>
    </row>
    <row r="573" ht="15.75" customHeight="1">
      <c r="A573" s="1"/>
      <c r="B573" s="1"/>
      <c r="C573" s="1"/>
      <c r="D573" s="1"/>
      <c r="E573" s="1"/>
      <c r="F573" s="1"/>
      <c r="G573" s="1"/>
      <c r="H573" s="1"/>
    </row>
    <row r="574" ht="15.75" customHeight="1">
      <c r="A574" s="1"/>
      <c r="B574" s="1"/>
      <c r="C574" s="1"/>
      <c r="D574" s="1"/>
      <c r="E574" s="1"/>
      <c r="F574" s="1"/>
      <c r="G574" s="1"/>
      <c r="H574" s="1"/>
    </row>
    <row r="575" ht="15.75" customHeight="1">
      <c r="A575" s="1"/>
      <c r="B575" s="1"/>
      <c r="C575" s="1"/>
      <c r="D575" s="1"/>
      <c r="E575" s="1"/>
      <c r="F575" s="1"/>
      <c r="G575" s="1"/>
      <c r="H575" s="1"/>
    </row>
    <row r="576" ht="15.75" customHeight="1">
      <c r="A576" s="1"/>
      <c r="B576" s="1"/>
      <c r="C576" s="1"/>
      <c r="D576" s="1"/>
      <c r="E576" s="1"/>
      <c r="F576" s="1"/>
      <c r="G576" s="1"/>
      <c r="H576" s="1"/>
    </row>
    <row r="577" ht="15.75" customHeight="1">
      <c r="A577" s="1"/>
      <c r="B577" s="1"/>
      <c r="C577" s="1"/>
      <c r="D577" s="1"/>
      <c r="E577" s="1"/>
      <c r="F577" s="1"/>
      <c r="G577" s="1"/>
      <c r="H577" s="1"/>
    </row>
    <row r="578" ht="15.75" customHeight="1">
      <c r="A578" s="1"/>
      <c r="B578" s="1"/>
      <c r="C578" s="1"/>
      <c r="D578" s="1"/>
      <c r="E578" s="1"/>
      <c r="F578" s="1"/>
      <c r="G578" s="1"/>
      <c r="H578" s="1"/>
    </row>
    <row r="579" ht="15.75" customHeight="1">
      <c r="A579" s="1"/>
      <c r="B579" s="1"/>
      <c r="C579" s="1"/>
      <c r="D579" s="1"/>
      <c r="E579" s="1"/>
      <c r="F579" s="1"/>
      <c r="G579" s="1"/>
      <c r="H579" s="1"/>
    </row>
    <row r="580" ht="15.75" customHeight="1">
      <c r="A580" s="1"/>
      <c r="B580" s="1"/>
      <c r="C580" s="1"/>
      <c r="D580" s="1"/>
      <c r="E580" s="1"/>
      <c r="F580" s="1"/>
      <c r="G580" s="1"/>
      <c r="H580" s="1"/>
    </row>
    <row r="581" ht="15.75" customHeight="1">
      <c r="A581" s="1"/>
      <c r="B581" s="1"/>
      <c r="C581" s="1"/>
      <c r="D581" s="1"/>
      <c r="E581" s="1"/>
      <c r="F581" s="1"/>
      <c r="G581" s="1"/>
      <c r="H581" s="1"/>
    </row>
    <row r="582" ht="15.75" customHeight="1">
      <c r="A582" s="1"/>
      <c r="B582" s="1"/>
      <c r="C582" s="1"/>
      <c r="D582" s="1"/>
      <c r="E582" s="1"/>
      <c r="F582" s="1"/>
      <c r="G582" s="1"/>
      <c r="H582" s="1"/>
    </row>
    <row r="583" ht="15.75" customHeight="1">
      <c r="A583" s="1"/>
      <c r="B583" s="1"/>
      <c r="C583" s="1"/>
      <c r="D583" s="1"/>
      <c r="E583" s="1"/>
      <c r="F583" s="1"/>
      <c r="G583" s="1"/>
      <c r="H583" s="1"/>
    </row>
    <row r="584" ht="15.75" customHeight="1">
      <c r="A584" s="1"/>
      <c r="B584" s="1"/>
      <c r="C584" s="1"/>
      <c r="D584" s="1"/>
      <c r="E584" s="1"/>
      <c r="F584" s="1"/>
      <c r="G584" s="1"/>
      <c r="H584" s="1"/>
    </row>
    <row r="585" ht="15.75" customHeight="1">
      <c r="A585" s="1"/>
      <c r="B585" s="1"/>
      <c r="C585" s="1"/>
      <c r="D585" s="1"/>
      <c r="E585" s="1"/>
      <c r="F585" s="1"/>
      <c r="G585" s="1"/>
      <c r="H585" s="1"/>
    </row>
    <row r="586" ht="15.75" customHeight="1">
      <c r="A586" s="1"/>
      <c r="B586" s="1"/>
      <c r="C586" s="1"/>
      <c r="D586" s="1"/>
      <c r="E586" s="1"/>
      <c r="F586" s="1"/>
      <c r="G586" s="1"/>
      <c r="H586" s="1"/>
    </row>
    <row r="587" ht="15.75" customHeight="1">
      <c r="A587" s="1"/>
      <c r="B587" s="1"/>
      <c r="C587" s="1"/>
      <c r="D587" s="1"/>
      <c r="E587" s="1"/>
      <c r="F587" s="1"/>
      <c r="G587" s="1"/>
      <c r="H587" s="1"/>
    </row>
    <row r="588" ht="15.75" customHeight="1">
      <c r="A588" s="1"/>
      <c r="B588" s="1"/>
      <c r="C588" s="1"/>
      <c r="D588" s="1"/>
      <c r="E588" s="1"/>
      <c r="F588" s="1"/>
      <c r="G588" s="1"/>
      <c r="H588" s="1"/>
    </row>
    <row r="589" ht="15.75" customHeight="1">
      <c r="A589" s="1"/>
      <c r="B589" s="1"/>
      <c r="C589" s="1"/>
      <c r="D589" s="1"/>
      <c r="E589" s="1"/>
      <c r="F589" s="1"/>
      <c r="G589" s="1"/>
      <c r="H589" s="1"/>
    </row>
    <row r="590" ht="15.75" customHeight="1">
      <c r="A590" s="1"/>
      <c r="B590" s="1"/>
      <c r="C590" s="1"/>
      <c r="D590" s="1"/>
      <c r="E590" s="1"/>
      <c r="F590" s="1"/>
      <c r="G590" s="1"/>
      <c r="H590" s="1"/>
    </row>
    <row r="591" ht="15.75" customHeight="1">
      <c r="A591" s="1"/>
      <c r="B591" s="1"/>
      <c r="C591" s="1"/>
      <c r="D591" s="1"/>
      <c r="E591" s="1"/>
      <c r="F591" s="1"/>
      <c r="G591" s="1"/>
      <c r="H591" s="1"/>
    </row>
    <row r="592" ht="15.75" customHeight="1">
      <c r="A592" s="1"/>
      <c r="B592" s="1"/>
      <c r="C592" s="1"/>
      <c r="D592" s="1"/>
      <c r="E592" s="1"/>
      <c r="F592" s="1"/>
      <c r="G592" s="1"/>
      <c r="H592" s="1"/>
    </row>
    <row r="593" ht="15.75" customHeight="1">
      <c r="A593" s="1"/>
      <c r="B593" s="1"/>
      <c r="C593" s="1"/>
      <c r="D593" s="1"/>
      <c r="E593" s="1"/>
      <c r="F593" s="1"/>
      <c r="G593" s="1"/>
      <c r="H593" s="1"/>
    </row>
    <row r="594" ht="15.75" customHeight="1">
      <c r="A594" s="1"/>
      <c r="B594" s="1"/>
      <c r="C594" s="1"/>
      <c r="D594" s="1"/>
      <c r="E594" s="1"/>
      <c r="F594" s="1"/>
      <c r="G594" s="1"/>
      <c r="H594" s="1"/>
    </row>
    <row r="595" ht="15.75" customHeight="1">
      <c r="A595" s="1"/>
      <c r="B595" s="1"/>
      <c r="C595" s="1"/>
      <c r="D595" s="1"/>
      <c r="E595" s="1"/>
      <c r="F595" s="1"/>
      <c r="G595" s="1"/>
      <c r="H595" s="1"/>
    </row>
    <row r="596" ht="15.75" customHeight="1">
      <c r="A596" s="1"/>
      <c r="B596" s="1"/>
      <c r="C596" s="1"/>
      <c r="D596" s="1"/>
      <c r="E596" s="1"/>
      <c r="F596" s="1"/>
      <c r="G596" s="1"/>
      <c r="H596" s="1"/>
    </row>
    <row r="597" ht="15.75" customHeight="1">
      <c r="A597" s="1"/>
      <c r="B597" s="1"/>
      <c r="C597" s="1"/>
      <c r="D597" s="1"/>
      <c r="E597" s="1"/>
      <c r="F597" s="1"/>
      <c r="G597" s="1"/>
      <c r="H597" s="1"/>
    </row>
    <row r="598" ht="15.75" customHeight="1">
      <c r="A598" s="1"/>
      <c r="B598" s="1"/>
      <c r="C598" s="1"/>
      <c r="D598" s="1"/>
      <c r="E598" s="1"/>
      <c r="F598" s="1"/>
      <c r="G598" s="1"/>
      <c r="H598" s="1"/>
    </row>
    <row r="599" ht="15.75" customHeight="1">
      <c r="A599" s="1"/>
      <c r="B599" s="1"/>
      <c r="C599" s="1"/>
      <c r="D599" s="1"/>
      <c r="E599" s="1"/>
      <c r="F599" s="1"/>
      <c r="G599" s="1"/>
      <c r="H599" s="1"/>
    </row>
    <row r="600" ht="15.75" customHeight="1">
      <c r="A600" s="1"/>
      <c r="B600" s="1"/>
      <c r="C600" s="1"/>
      <c r="D600" s="1"/>
      <c r="E600" s="1"/>
      <c r="F600" s="1"/>
      <c r="G600" s="1"/>
      <c r="H600" s="1"/>
    </row>
    <row r="601" ht="15.75" customHeight="1">
      <c r="A601" s="1"/>
      <c r="B601" s="1"/>
      <c r="C601" s="1"/>
      <c r="D601" s="1"/>
      <c r="E601" s="1"/>
      <c r="F601" s="1"/>
      <c r="G601" s="1"/>
      <c r="H601" s="1"/>
    </row>
    <row r="602" ht="15.75" customHeight="1">
      <c r="A602" s="1"/>
      <c r="B602" s="1"/>
      <c r="C602" s="1"/>
      <c r="D602" s="1"/>
      <c r="E602" s="1"/>
      <c r="F602" s="1"/>
      <c r="G602" s="1"/>
      <c r="H602" s="1"/>
    </row>
    <row r="603" ht="15.75" customHeight="1">
      <c r="A603" s="1"/>
      <c r="B603" s="1"/>
      <c r="C603" s="1"/>
      <c r="D603" s="1"/>
      <c r="E603" s="1"/>
      <c r="F603" s="1"/>
      <c r="G603" s="1"/>
      <c r="H603" s="1"/>
    </row>
    <row r="604" ht="15.75" customHeight="1">
      <c r="A604" s="1"/>
      <c r="B604" s="1"/>
      <c r="C604" s="1"/>
      <c r="D604" s="1"/>
      <c r="E604" s="1"/>
      <c r="F604" s="1"/>
      <c r="G604" s="1"/>
      <c r="H604" s="1"/>
    </row>
    <row r="605" ht="15.75" customHeight="1">
      <c r="A605" s="1"/>
      <c r="B605" s="1"/>
      <c r="C605" s="1"/>
      <c r="D605" s="1"/>
      <c r="E605" s="1"/>
      <c r="F605" s="1"/>
      <c r="G605" s="1"/>
      <c r="H605" s="1"/>
    </row>
    <row r="606" ht="15.75" customHeight="1">
      <c r="A606" s="1"/>
      <c r="B606" s="1"/>
      <c r="C606" s="1"/>
      <c r="D606" s="1"/>
      <c r="E606" s="1"/>
      <c r="F606" s="1"/>
      <c r="G606" s="1"/>
      <c r="H606" s="1"/>
    </row>
    <row r="607" ht="15.75" customHeight="1">
      <c r="A607" s="1"/>
      <c r="B607" s="1"/>
      <c r="C607" s="1"/>
      <c r="D607" s="1"/>
      <c r="E607" s="1"/>
      <c r="F607" s="1"/>
      <c r="G607" s="1"/>
      <c r="H607" s="1"/>
    </row>
    <row r="608" ht="15.75" customHeight="1">
      <c r="A608" s="1"/>
      <c r="B608" s="1"/>
      <c r="C608" s="1"/>
      <c r="D608" s="1"/>
      <c r="E608" s="1"/>
      <c r="F608" s="1"/>
      <c r="G608" s="1"/>
      <c r="H608" s="1"/>
    </row>
    <row r="609" ht="15.75" customHeight="1">
      <c r="A609" s="1"/>
      <c r="B609" s="1"/>
      <c r="C609" s="1"/>
      <c r="D609" s="1"/>
      <c r="E609" s="1"/>
      <c r="F609" s="1"/>
      <c r="G609" s="1"/>
      <c r="H609" s="1"/>
    </row>
    <row r="610" ht="15.75" customHeight="1">
      <c r="A610" s="1"/>
      <c r="B610" s="1"/>
      <c r="C610" s="1"/>
      <c r="D610" s="1"/>
      <c r="E610" s="1"/>
      <c r="F610" s="1"/>
      <c r="G610" s="1"/>
      <c r="H610" s="1"/>
    </row>
    <row r="611" ht="15.75" customHeight="1">
      <c r="A611" s="1"/>
      <c r="B611" s="1"/>
      <c r="C611" s="1"/>
      <c r="D611" s="1"/>
      <c r="E611" s="1"/>
      <c r="F611" s="1"/>
      <c r="G611" s="1"/>
      <c r="H611" s="1"/>
    </row>
    <row r="612" ht="15.75" customHeight="1">
      <c r="A612" s="1"/>
      <c r="B612" s="1"/>
      <c r="C612" s="1"/>
      <c r="D612" s="1"/>
      <c r="E612" s="1"/>
      <c r="F612" s="1"/>
      <c r="G612" s="1"/>
      <c r="H612" s="1"/>
    </row>
    <row r="613" ht="15.75" customHeight="1">
      <c r="A613" s="1"/>
      <c r="B613" s="1"/>
      <c r="C613" s="1"/>
      <c r="D613" s="1"/>
      <c r="E613" s="1"/>
      <c r="F613" s="1"/>
      <c r="G613" s="1"/>
      <c r="H613" s="1"/>
    </row>
    <row r="614" ht="15.75" customHeight="1">
      <c r="A614" s="1"/>
      <c r="B614" s="1"/>
      <c r="C614" s="1"/>
      <c r="D614" s="1"/>
      <c r="E614" s="1"/>
      <c r="F614" s="1"/>
      <c r="G614" s="1"/>
      <c r="H614" s="1"/>
    </row>
    <row r="615" ht="15.75" customHeight="1">
      <c r="A615" s="1"/>
      <c r="B615" s="1"/>
      <c r="C615" s="1"/>
      <c r="D615" s="1"/>
      <c r="E615" s="1"/>
      <c r="F615" s="1"/>
      <c r="G615" s="1"/>
      <c r="H615" s="1"/>
    </row>
    <row r="616" ht="15.75" customHeight="1">
      <c r="A616" s="1"/>
      <c r="B616" s="1"/>
      <c r="C616" s="1"/>
      <c r="D616" s="1"/>
      <c r="E616" s="1"/>
      <c r="F616" s="1"/>
      <c r="G616" s="1"/>
      <c r="H616" s="1"/>
    </row>
    <row r="617" ht="15.75" customHeight="1">
      <c r="A617" s="1"/>
      <c r="B617" s="1"/>
      <c r="C617" s="1"/>
      <c r="D617" s="1"/>
      <c r="E617" s="1"/>
      <c r="F617" s="1"/>
      <c r="G617" s="1"/>
      <c r="H617" s="1"/>
    </row>
    <row r="618" ht="15.75" customHeight="1">
      <c r="A618" s="1"/>
      <c r="B618" s="1"/>
      <c r="C618" s="1"/>
      <c r="D618" s="1"/>
      <c r="E618" s="1"/>
      <c r="F618" s="1"/>
      <c r="G618" s="1"/>
      <c r="H618" s="1"/>
    </row>
    <row r="619" ht="15.75" customHeight="1">
      <c r="A619" s="1"/>
      <c r="B619" s="1"/>
      <c r="C619" s="1"/>
      <c r="D619" s="1"/>
      <c r="E619" s="1"/>
      <c r="F619" s="1"/>
      <c r="G619" s="1"/>
      <c r="H619" s="1"/>
    </row>
    <row r="620" ht="15.75" customHeight="1">
      <c r="A620" s="1"/>
      <c r="B620" s="1"/>
      <c r="C620" s="1"/>
      <c r="D620" s="1"/>
      <c r="E620" s="1"/>
      <c r="F620" s="1"/>
      <c r="G620" s="1"/>
      <c r="H620" s="1"/>
    </row>
    <row r="621" ht="15.75" customHeight="1">
      <c r="A621" s="1"/>
      <c r="B621" s="1"/>
      <c r="C621" s="1"/>
      <c r="D621" s="1"/>
      <c r="E621" s="1"/>
      <c r="F621" s="1"/>
      <c r="G621" s="1"/>
      <c r="H621" s="1"/>
    </row>
    <row r="622" ht="15.75" customHeight="1">
      <c r="A622" s="1"/>
      <c r="B622" s="1"/>
      <c r="C622" s="1"/>
      <c r="D622" s="1"/>
      <c r="E622" s="1"/>
      <c r="F622" s="1"/>
      <c r="G622" s="1"/>
      <c r="H622" s="1"/>
    </row>
    <row r="623" ht="15.75" customHeight="1">
      <c r="A623" s="1"/>
      <c r="B623" s="1"/>
      <c r="C623" s="1"/>
      <c r="D623" s="1"/>
      <c r="E623" s="1"/>
      <c r="F623" s="1"/>
      <c r="G623" s="1"/>
      <c r="H623" s="1"/>
    </row>
    <row r="624" ht="15.75" customHeight="1">
      <c r="A624" s="1"/>
      <c r="B624" s="1"/>
      <c r="C624" s="1"/>
      <c r="D624" s="1"/>
      <c r="E624" s="1"/>
      <c r="F624" s="1"/>
      <c r="G624" s="1"/>
      <c r="H624" s="1"/>
    </row>
    <row r="625" ht="15.75" customHeight="1">
      <c r="A625" s="1"/>
      <c r="B625" s="1"/>
      <c r="C625" s="1"/>
      <c r="D625" s="1"/>
      <c r="E625" s="1"/>
      <c r="F625" s="1"/>
      <c r="G625" s="1"/>
      <c r="H625" s="1"/>
    </row>
    <row r="626" ht="15.75" customHeight="1">
      <c r="A626" s="1"/>
      <c r="B626" s="1"/>
      <c r="C626" s="1"/>
      <c r="D626" s="1"/>
      <c r="E626" s="1"/>
      <c r="F626" s="1"/>
      <c r="G626" s="1"/>
      <c r="H626" s="1"/>
    </row>
    <row r="627" ht="15.75" customHeight="1">
      <c r="A627" s="1"/>
      <c r="B627" s="1"/>
      <c r="C627" s="1"/>
      <c r="D627" s="1"/>
      <c r="E627" s="1"/>
      <c r="F627" s="1"/>
      <c r="G627" s="1"/>
      <c r="H627" s="1"/>
    </row>
    <row r="628" ht="15.75" customHeight="1">
      <c r="A628" s="1"/>
      <c r="B628" s="1"/>
      <c r="C628" s="1"/>
      <c r="D628" s="1"/>
      <c r="E628" s="1"/>
      <c r="F628" s="1"/>
      <c r="G628" s="1"/>
      <c r="H628" s="1"/>
    </row>
    <row r="629" ht="15.75" customHeight="1">
      <c r="A629" s="1"/>
      <c r="B629" s="1"/>
      <c r="C629" s="1"/>
      <c r="D629" s="1"/>
      <c r="E629" s="1"/>
      <c r="F629" s="1"/>
      <c r="G629" s="1"/>
      <c r="H629" s="1"/>
    </row>
    <row r="630" ht="15.75" customHeight="1">
      <c r="A630" s="1"/>
      <c r="B630" s="1"/>
      <c r="C630" s="1"/>
      <c r="D630" s="1"/>
      <c r="E630" s="1"/>
      <c r="F630" s="1"/>
      <c r="G630" s="1"/>
      <c r="H630" s="1"/>
    </row>
    <row r="631" ht="15.75" customHeight="1">
      <c r="A631" s="1"/>
      <c r="B631" s="1"/>
      <c r="C631" s="1"/>
      <c r="D631" s="1"/>
      <c r="E631" s="1"/>
      <c r="F631" s="1"/>
      <c r="G631" s="1"/>
      <c r="H631" s="1"/>
    </row>
    <row r="632" ht="15.75" customHeight="1">
      <c r="A632" s="1"/>
      <c r="B632" s="1"/>
      <c r="C632" s="1"/>
      <c r="D632" s="1"/>
      <c r="E632" s="1"/>
      <c r="F632" s="1"/>
      <c r="G632" s="1"/>
      <c r="H632" s="1"/>
    </row>
    <row r="633" ht="15.75" customHeight="1">
      <c r="A633" s="1"/>
      <c r="B633" s="1"/>
      <c r="C633" s="1"/>
      <c r="D633" s="1"/>
      <c r="E633" s="1"/>
      <c r="F633" s="1"/>
      <c r="G633" s="1"/>
      <c r="H633" s="1"/>
    </row>
    <row r="634" ht="15.75" customHeight="1">
      <c r="A634" s="1"/>
      <c r="B634" s="1"/>
      <c r="C634" s="1"/>
      <c r="D634" s="1"/>
      <c r="E634" s="1"/>
      <c r="F634" s="1"/>
      <c r="G634" s="1"/>
      <c r="H634" s="1"/>
    </row>
    <row r="635" ht="15.75" customHeight="1">
      <c r="A635" s="1"/>
      <c r="B635" s="1"/>
      <c r="C635" s="1"/>
      <c r="D635" s="1"/>
      <c r="E635" s="1"/>
      <c r="F635" s="1"/>
      <c r="G635" s="1"/>
      <c r="H635" s="1"/>
    </row>
    <row r="636" ht="15.75" customHeight="1">
      <c r="A636" s="1"/>
      <c r="B636" s="1"/>
      <c r="C636" s="1"/>
      <c r="D636" s="1"/>
      <c r="E636" s="1"/>
      <c r="F636" s="1"/>
      <c r="G636" s="1"/>
      <c r="H636" s="1"/>
    </row>
    <row r="637" ht="15.75" customHeight="1">
      <c r="A637" s="1"/>
      <c r="B637" s="1"/>
      <c r="C637" s="1"/>
      <c r="D637" s="1"/>
      <c r="E637" s="1"/>
      <c r="F637" s="1"/>
      <c r="G637" s="1"/>
      <c r="H637" s="1"/>
    </row>
    <row r="638" ht="15.75" customHeight="1">
      <c r="A638" s="1"/>
      <c r="B638" s="1"/>
      <c r="C638" s="1"/>
      <c r="D638" s="1"/>
      <c r="E638" s="1"/>
      <c r="F638" s="1"/>
      <c r="G638" s="1"/>
      <c r="H638" s="1"/>
    </row>
    <row r="639" ht="15.75" customHeight="1">
      <c r="A639" s="1"/>
      <c r="B639" s="1"/>
      <c r="C639" s="1"/>
      <c r="D639" s="1"/>
      <c r="E639" s="1"/>
      <c r="F639" s="1"/>
      <c r="G639" s="1"/>
      <c r="H639" s="1"/>
    </row>
    <row r="640" ht="15.75" customHeight="1">
      <c r="A640" s="1"/>
      <c r="B640" s="1"/>
      <c r="C640" s="1"/>
      <c r="D640" s="1"/>
      <c r="E640" s="1"/>
      <c r="F640" s="1"/>
      <c r="G640" s="1"/>
      <c r="H640" s="1"/>
    </row>
    <row r="641" ht="15.75" customHeight="1">
      <c r="A641" s="1"/>
      <c r="B641" s="1"/>
      <c r="C641" s="1"/>
      <c r="D641" s="1"/>
      <c r="E641" s="1"/>
      <c r="F641" s="1"/>
      <c r="G641" s="1"/>
      <c r="H641" s="1"/>
    </row>
    <row r="642" ht="15.75" customHeight="1">
      <c r="A642" s="1"/>
      <c r="B642" s="1"/>
      <c r="C642" s="1"/>
      <c r="D642" s="1"/>
      <c r="E642" s="1"/>
      <c r="F642" s="1"/>
      <c r="G642" s="1"/>
      <c r="H642" s="1"/>
    </row>
    <row r="643" ht="15.75" customHeight="1">
      <c r="A643" s="1"/>
      <c r="B643" s="1"/>
      <c r="C643" s="1"/>
      <c r="D643" s="1"/>
      <c r="E643" s="1"/>
      <c r="F643" s="1"/>
      <c r="G643" s="1"/>
      <c r="H643" s="1"/>
    </row>
    <row r="644" ht="15.75" customHeight="1">
      <c r="A644" s="1"/>
      <c r="B644" s="1"/>
      <c r="C644" s="1"/>
      <c r="D644" s="1"/>
      <c r="E644" s="1"/>
      <c r="F644" s="1"/>
      <c r="G644" s="1"/>
      <c r="H644" s="1"/>
    </row>
    <row r="645" ht="15.75" customHeight="1">
      <c r="A645" s="1"/>
      <c r="B645" s="1"/>
      <c r="C645" s="1"/>
      <c r="D645" s="1"/>
      <c r="E645" s="1"/>
      <c r="F645" s="1"/>
      <c r="G645" s="1"/>
      <c r="H645" s="1"/>
    </row>
    <row r="646" ht="15.75" customHeight="1">
      <c r="A646" s="1"/>
      <c r="B646" s="1"/>
      <c r="C646" s="1"/>
      <c r="D646" s="1"/>
      <c r="E646" s="1"/>
      <c r="F646" s="1"/>
      <c r="G646" s="1"/>
      <c r="H646" s="1"/>
    </row>
    <row r="647" ht="15.75" customHeight="1">
      <c r="A647" s="1"/>
      <c r="B647" s="1"/>
      <c r="C647" s="1"/>
      <c r="D647" s="1"/>
      <c r="E647" s="1"/>
      <c r="F647" s="1"/>
      <c r="G647" s="1"/>
      <c r="H647" s="1"/>
    </row>
    <row r="648" ht="15.75" customHeight="1">
      <c r="A648" s="1"/>
      <c r="B648" s="1"/>
      <c r="C648" s="1"/>
      <c r="D648" s="1"/>
      <c r="E648" s="1"/>
      <c r="F648" s="1"/>
      <c r="G648" s="1"/>
      <c r="H648" s="1"/>
    </row>
    <row r="649" ht="15.75" customHeight="1">
      <c r="A649" s="1"/>
      <c r="B649" s="1"/>
      <c r="C649" s="1"/>
      <c r="D649" s="1"/>
      <c r="E649" s="1"/>
      <c r="F649" s="1"/>
      <c r="G649" s="1"/>
      <c r="H649" s="1"/>
    </row>
    <row r="650" ht="15.75" customHeight="1">
      <c r="A650" s="1"/>
      <c r="B650" s="1"/>
      <c r="C650" s="1"/>
      <c r="D650" s="1"/>
      <c r="E650" s="1"/>
      <c r="F650" s="1"/>
      <c r="G650" s="1"/>
      <c r="H650" s="1"/>
    </row>
    <row r="651" ht="15.75" customHeight="1">
      <c r="A651" s="1"/>
      <c r="B651" s="1"/>
      <c r="C651" s="1"/>
      <c r="D651" s="1"/>
      <c r="E651" s="1"/>
      <c r="F651" s="1"/>
      <c r="G651" s="1"/>
      <c r="H651" s="1"/>
    </row>
    <row r="652" ht="15.75" customHeight="1">
      <c r="A652" s="1"/>
      <c r="B652" s="1"/>
      <c r="C652" s="1"/>
      <c r="D652" s="1"/>
      <c r="E652" s="1"/>
      <c r="F652" s="1"/>
      <c r="G652" s="1"/>
      <c r="H652" s="1"/>
    </row>
    <row r="653" ht="15.75" customHeight="1">
      <c r="A653" s="1"/>
      <c r="B653" s="1"/>
      <c r="C653" s="1"/>
      <c r="D653" s="1"/>
      <c r="E653" s="1"/>
      <c r="F653" s="1"/>
      <c r="G653" s="1"/>
      <c r="H653" s="1"/>
    </row>
    <row r="654" ht="15.75" customHeight="1">
      <c r="A654" s="1"/>
      <c r="B654" s="1"/>
      <c r="C654" s="1"/>
      <c r="D654" s="1"/>
      <c r="E654" s="1"/>
      <c r="F654" s="1"/>
      <c r="G654" s="1"/>
      <c r="H654" s="1"/>
    </row>
    <row r="655" ht="15.75" customHeight="1">
      <c r="A655" s="1"/>
      <c r="B655" s="1"/>
      <c r="C655" s="1"/>
      <c r="D655" s="1"/>
      <c r="E655" s="1"/>
      <c r="F655" s="1"/>
      <c r="G655" s="1"/>
      <c r="H655" s="1"/>
    </row>
    <row r="656" ht="15.75" customHeight="1">
      <c r="A656" s="1"/>
      <c r="B656" s="1"/>
      <c r="C656" s="1"/>
      <c r="D656" s="1"/>
      <c r="E656" s="1"/>
      <c r="F656" s="1"/>
      <c r="G656" s="1"/>
      <c r="H656" s="1"/>
    </row>
    <row r="657" ht="15.75" customHeight="1">
      <c r="A657" s="1"/>
      <c r="B657" s="1"/>
      <c r="C657" s="1"/>
      <c r="D657" s="1"/>
      <c r="E657" s="1"/>
      <c r="F657" s="1"/>
      <c r="G657" s="1"/>
      <c r="H657" s="1"/>
    </row>
    <row r="658" ht="15.75" customHeight="1">
      <c r="A658" s="1"/>
      <c r="B658" s="1"/>
      <c r="C658" s="1"/>
      <c r="D658" s="1"/>
      <c r="E658" s="1"/>
      <c r="F658" s="1"/>
      <c r="G658" s="1"/>
      <c r="H658" s="1"/>
    </row>
    <row r="659" ht="15.75" customHeight="1">
      <c r="A659" s="1"/>
      <c r="B659" s="1"/>
      <c r="C659" s="1"/>
      <c r="D659" s="1"/>
      <c r="E659" s="1"/>
      <c r="F659" s="1"/>
      <c r="G659" s="1"/>
      <c r="H659" s="1"/>
    </row>
    <row r="660" ht="15.75" customHeight="1">
      <c r="A660" s="1"/>
      <c r="B660" s="1"/>
      <c r="C660" s="1"/>
      <c r="D660" s="1"/>
      <c r="E660" s="1"/>
      <c r="F660" s="1"/>
      <c r="G660" s="1"/>
      <c r="H660" s="1"/>
    </row>
    <row r="661" ht="15.75" customHeight="1">
      <c r="A661" s="1"/>
      <c r="B661" s="1"/>
      <c r="C661" s="1"/>
      <c r="D661" s="1"/>
      <c r="E661" s="1"/>
      <c r="F661" s="1"/>
      <c r="G661" s="1"/>
      <c r="H661" s="1"/>
    </row>
    <row r="662" ht="15.75" customHeight="1">
      <c r="A662" s="1"/>
      <c r="B662" s="1"/>
      <c r="C662" s="1"/>
      <c r="D662" s="1"/>
      <c r="E662" s="1"/>
      <c r="F662" s="1"/>
      <c r="G662" s="1"/>
      <c r="H662" s="1"/>
    </row>
    <row r="663" ht="15.75" customHeight="1">
      <c r="A663" s="1"/>
      <c r="B663" s="1"/>
      <c r="C663" s="1"/>
      <c r="D663" s="1"/>
      <c r="E663" s="1"/>
      <c r="F663" s="1"/>
      <c r="G663" s="1"/>
      <c r="H663" s="1"/>
    </row>
    <row r="664" ht="15.75" customHeight="1">
      <c r="A664" s="1"/>
      <c r="B664" s="1"/>
      <c r="C664" s="1"/>
      <c r="D664" s="1"/>
      <c r="E664" s="1"/>
      <c r="F664" s="1"/>
      <c r="G664" s="1"/>
      <c r="H664" s="1"/>
    </row>
    <row r="665" ht="15.75" customHeight="1">
      <c r="A665" s="1"/>
      <c r="B665" s="1"/>
      <c r="C665" s="1"/>
      <c r="D665" s="1"/>
      <c r="E665" s="1"/>
      <c r="F665" s="1"/>
      <c r="G665" s="1"/>
      <c r="H665" s="1"/>
    </row>
    <row r="666" ht="15.75" customHeight="1">
      <c r="A666" s="1"/>
      <c r="B666" s="1"/>
      <c r="C666" s="1"/>
      <c r="D666" s="1"/>
      <c r="E666" s="1"/>
      <c r="F666" s="1"/>
      <c r="G666" s="1"/>
      <c r="H666" s="1"/>
    </row>
    <row r="667" ht="15.75" customHeight="1">
      <c r="A667" s="1"/>
      <c r="B667" s="1"/>
      <c r="C667" s="1"/>
      <c r="D667" s="1"/>
      <c r="E667" s="1"/>
      <c r="F667" s="1"/>
      <c r="G667" s="1"/>
      <c r="H667" s="1"/>
    </row>
    <row r="668" ht="15.75" customHeight="1">
      <c r="A668" s="1"/>
      <c r="B668" s="1"/>
      <c r="C668" s="1"/>
      <c r="D668" s="1"/>
      <c r="E668" s="1"/>
      <c r="F668" s="1"/>
      <c r="G668" s="1"/>
      <c r="H668" s="1"/>
    </row>
    <row r="669" ht="15.75" customHeight="1">
      <c r="A669" s="1"/>
      <c r="B669" s="1"/>
      <c r="C669" s="1"/>
      <c r="D669" s="1"/>
      <c r="E669" s="1"/>
      <c r="F669" s="1"/>
      <c r="G669" s="1"/>
      <c r="H669" s="1"/>
    </row>
    <row r="670" ht="15.75" customHeight="1">
      <c r="A670" s="1"/>
      <c r="B670" s="1"/>
      <c r="C670" s="1"/>
      <c r="D670" s="1"/>
      <c r="E670" s="1"/>
      <c r="F670" s="1"/>
      <c r="G670" s="1"/>
      <c r="H670" s="1"/>
    </row>
    <row r="671" ht="15.75" customHeight="1">
      <c r="A671" s="1"/>
      <c r="B671" s="1"/>
      <c r="C671" s="1"/>
      <c r="D671" s="1"/>
      <c r="E671" s="1"/>
      <c r="F671" s="1"/>
      <c r="G671" s="1"/>
      <c r="H671" s="1"/>
    </row>
    <row r="672" ht="15.75" customHeight="1">
      <c r="A672" s="1"/>
      <c r="B672" s="1"/>
      <c r="C672" s="1"/>
      <c r="D672" s="1"/>
      <c r="E672" s="1"/>
      <c r="F672" s="1"/>
      <c r="G672" s="1"/>
      <c r="H672" s="1"/>
    </row>
    <row r="673" ht="15.75" customHeight="1">
      <c r="A673" s="1"/>
      <c r="B673" s="1"/>
      <c r="C673" s="1"/>
      <c r="D673" s="1"/>
      <c r="E673" s="1"/>
      <c r="F673" s="1"/>
      <c r="G673" s="1"/>
      <c r="H673" s="1"/>
    </row>
    <row r="674" ht="15.75" customHeight="1">
      <c r="A674" s="1"/>
      <c r="B674" s="1"/>
      <c r="C674" s="1"/>
      <c r="D674" s="1"/>
      <c r="E674" s="1"/>
      <c r="F674" s="1"/>
      <c r="G674" s="1"/>
      <c r="H674" s="1"/>
    </row>
    <row r="675" ht="15.75" customHeight="1">
      <c r="A675" s="1"/>
      <c r="B675" s="1"/>
      <c r="C675" s="1"/>
      <c r="D675" s="1"/>
      <c r="E675" s="1"/>
      <c r="F675" s="1"/>
      <c r="G675" s="1"/>
      <c r="H675" s="1"/>
    </row>
    <row r="676" ht="15.75" customHeight="1">
      <c r="A676" s="1"/>
      <c r="B676" s="1"/>
      <c r="C676" s="1"/>
      <c r="D676" s="1"/>
      <c r="E676" s="1"/>
      <c r="F676" s="1"/>
      <c r="G676" s="1"/>
      <c r="H676" s="1"/>
    </row>
    <row r="677" ht="15.75" customHeight="1">
      <c r="A677" s="1"/>
      <c r="B677" s="1"/>
      <c r="C677" s="1"/>
      <c r="D677" s="1"/>
      <c r="E677" s="1"/>
      <c r="F677" s="1"/>
      <c r="G677" s="1"/>
      <c r="H677" s="1"/>
    </row>
    <row r="678" ht="15.75" customHeight="1">
      <c r="A678" s="1"/>
      <c r="B678" s="1"/>
      <c r="C678" s="1"/>
      <c r="D678" s="1"/>
      <c r="E678" s="1"/>
      <c r="F678" s="1"/>
      <c r="G678" s="1"/>
      <c r="H678" s="1"/>
    </row>
    <row r="679" ht="15.75" customHeight="1">
      <c r="A679" s="1"/>
      <c r="B679" s="1"/>
      <c r="C679" s="1"/>
      <c r="D679" s="1"/>
      <c r="E679" s="1"/>
      <c r="F679" s="1"/>
      <c r="G679" s="1"/>
      <c r="H679" s="1"/>
    </row>
    <row r="680" ht="15.75" customHeight="1">
      <c r="A680" s="1"/>
      <c r="B680" s="1"/>
      <c r="C680" s="1"/>
      <c r="D680" s="1"/>
      <c r="E680" s="1"/>
      <c r="F680" s="1"/>
      <c r="G680" s="1"/>
      <c r="H680" s="1"/>
    </row>
    <row r="681" ht="15.75" customHeight="1">
      <c r="A681" s="1"/>
      <c r="B681" s="1"/>
      <c r="C681" s="1"/>
      <c r="D681" s="1"/>
      <c r="E681" s="1"/>
      <c r="F681" s="1"/>
      <c r="G681" s="1"/>
      <c r="H681" s="1"/>
    </row>
    <row r="682" ht="15.75" customHeight="1">
      <c r="A682" s="1"/>
      <c r="B682" s="1"/>
      <c r="C682" s="1"/>
      <c r="D682" s="1"/>
      <c r="E682" s="1"/>
      <c r="F682" s="1"/>
      <c r="G682" s="1"/>
      <c r="H682" s="1"/>
    </row>
    <row r="683" ht="15.75" customHeight="1">
      <c r="A683" s="1"/>
      <c r="B683" s="1"/>
      <c r="C683" s="1"/>
      <c r="D683" s="1"/>
      <c r="E683" s="1"/>
      <c r="F683" s="1"/>
      <c r="G683" s="1"/>
      <c r="H683" s="1"/>
    </row>
    <row r="684" ht="15.75" customHeight="1">
      <c r="A684" s="1"/>
      <c r="B684" s="1"/>
      <c r="C684" s="1"/>
      <c r="D684" s="1"/>
      <c r="E684" s="1"/>
      <c r="F684" s="1"/>
      <c r="G684" s="1"/>
      <c r="H684" s="1"/>
    </row>
    <row r="685" ht="15.75" customHeight="1">
      <c r="A685" s="1"/>
      <c r="B685" s="1"/>
      <c r="C685" s="1"/>
      <c r="D685" s="1"/>
      <c r="E685" s="1"/>
      <c r="F685" s="1"/>
      <c r="G685" s="1"/>
      <c r="H685" s="1"/>
    </row>
    <row r="686" ht="15.75" customHeight="1">
      <c r="A686" s="1"/>
      <c r="B686" s="1"/>
      <c r="C686" s="1"/>
      <c r="D686" s="1"/>
      <c r="E686" s="1"/>
      <c r="F686" s="1"/>
      <c r="G686" s="1"/>
      <c r="H686" s="1"/>
    </row>
    <row r="687" ht="15.75" customHeight="1">
      <c r="A687" s="1"/>
      <c r="B687" s="1"/>
      <c r="C687" s="1"/>
      <c r="D687" s="1"/>
      <c r="E687" s="1"/>
      <c r="F687" s="1"/>
      <c r="G687" s="1"/>
      <c r="H687" s="1"/>
    </row>
    <row r="688" ht="15.75" customHeight="1">
      <c r="A688" s="1"/>
      <c r="B688" s="1"/>
      <c r="C688" s="1"/>
      <c r="D688" s="1"/>
      <c r="E688" s="1"/>
      <c r="F688" s="1"/>
      <c r="G688" s="1"/>
      <c r="H688" s="1"/>
    </row>
    <row r="689" ht="15.75" customHeight="1">
      <c r="A689" s="1"/>
      <c r="B689" s="1"/>
      <c r="C689" s="1"/>
      <c r="D689" s="1"/>
      <c r="E689" s="1"/>
      <c r="F689" s="1"/>
      <c r="G689" s="1"/>
      <c r="H689" s="1"/>
    </row>
    <row r="690" ht="15.75" customHeight="1">
      <c r="A690" s="1"/>
      <c r="B690" s="1"/>
      <c r="C690" s="1"/>
      <c r="D690" s="1"/>
      <c r="E690" s="1"/>
      <c r="F690" s="1"/>
      <c r="G690" s="1"/>
      <c r="H690" s="1"/>
    </row>
    <row r="691" ht="15.75" customHeight="1">
      <c r="A691" s="1"/>
      <c r="B691" s="1"/>
      <c r="C691" s="1"/>
      <c r="D691" s="1"/>
      <c r="E691" s="1"/>
      <c r="F691" s="1"/>
      <c r="G691" s="1"/>
      <c r="H691" s="1"/>
    </row>
    <row r="692" ht="15.75" customHeight="1">
      <c r="A692" s="1"/>
      <c r="B692" s="1"/>
      <c r="C692" s="1"/>
      <c r="D692" s="1"/>
      <c r="E692" s="1"/>
      <c r="F692" s="1"/>
      <c r="G692" s="1"/>
      <c r="H692" s="1"/>
    </row>
    <row r="693" ht="15.75" customHeight="1">
      <c r="A693" s="1"/>
      <c r="B693" s="1"/>
      <c r="C693" s="1"/>
      <c r="D693" s="1"/>
      <c r="E693" s="1"/>
      <c r="F693" s="1"/>
      <c r="G693" s="1"/>
      <c r="H693" s="1"/>
    </row>
    <row r="694" ht="15.75" customHeight="1">
      <c r="A694" s="1"/>
      <c r="B694" s="1"/>
      <c r="C694" s="1"/>
      <c r="D694" s="1"/>
      <c r="E694" s="1"/>
      <c r="F694" s="1"/>
      <c r="G694" s="1"/>
      <c r="H694" s="1"/>
    </row>
    <row r="695" ht="15.75" customHeight="1">
      <c r="A695" s="1"/>
      <c r="B695" s="1"/>
      <c r="C695" s="1"/>
      <c r="D695" s="1"/>
      <c r="E695" s="1"/>
      <c r="F695" s="1"/>
      <c r="G695" s="1"/>
      <c r="H695" s="1"/>
    </row>
    <row r="696" ht="15.75" customHeight="1">
      <c r="A696" s="1"/>
      <c r="B696" s="1"/>
      <c r="C696" s="1"/>
      <c r="D696" s="1"/>
      <c r="E696" s="1"/>
      <c r="F696" s="1"/>
      <c r="G696" s="1"/>
      <c r="H696" s="1"/>
    </row>
    <row r="697" ht="15.75" customHeight="1">
      <c r="A697" s="1"/>
      <c r="B697" s="1"/>
      <c r="C697" s="1"/>
      <c r="D697" s="1"/>
      <c r="E697" s="1"/>
      <c r="F697" s="1"/>
      <c r="G697" s="1"/>
      <c r="H697" s="1"/>
    </row>
    <row r="698" ht="15.75" customHeight="1">
      <c r="A698" s="1"/>
      <c r="B698" s="1"/>
      <c r="C698" s="1"/>
      <c r="D698" s="1"/>
      <c r="E698" s="1"/>
      <c r="F698" s="1"/>
      <c r="G698" s="1"/>
      <c r="H698" s="1"/>
    </row>
    <row r="699" ht="15.75" customHeight="1">
      <c r="A699" s="1"/>
      <c r="B699" s="1"/>
      <c r="C699" s="1"/>
      <c r="D699" s="1"/>
      <c r="E699" s="1"/>
      <c r="F699" s="1"/>
      <c r="G699" s="1"/>
      <c r="H699" s="1"/>
    </row>
    <row r="700" ht="15.75" customHeight="1">
      <c r="A700" s="1"/>
      <c r="B700" s="1"/>
      <c r="C700" s="1"/>
      <c r="D700" s="1"/>
      <c r="E700" s="1"/>
      <c r="F700" s="1"/>
      <c r="G700" s="1"/>
      <c r="H700" s="1"/>
    </row>
    <row r="701" ht="15.75" customHeight="1">
      <c r="A701" s="1"/>
      <c r="B701" s="1"/>
      <c r="C701" s="1"/>
      <c r="D701" s="1"/>
      <c r="E701" s="1"/>
      <c r="F701" s="1"/>
      <c r="G701" s="1"/>
      <c r="H701" s="1"/>
    </row>
    <row r="702" ht="15.75" customHeight="1">
      <c r="A702" s="1"/>
      <c r="B702" s="1"/>
      <c r="C702" s="1"/>
      <c r="D702" s="1"/>
      <c r="E702" s="1"/>
      <c r="F702" s="1"/>
      <c r="G702" s="1"/>
      <c r="H702" s="1"/>
    </row>
    <row r="703" ht="15.75" customHeight="1">
      <c r="A703" s="1"/>
      <c r="B703" s="1"/>
      <c r="C703" s="1"/>
      <c r="D703" s="1"/>
      <c r="E703" s="1"/>
      <c r="F703" s="1"/>
      <c r="G703" s="1"/>
      <c r="H703" s="1"/>
    </row>
    <row r="704" ht="15.75" customHeight="1">
      <c r="A704" s="1"/>
      <c r="B704" s="1"/>
      <c r="C704" s="1"/>
      <c r="D704" s="1"/>
      <c r="E704" s="1"/>
      <c r="F704" s="1"/>
      <c r="G704" s="1"/>
      <c r="H704" s="1"/>
    </row>
    <row r="705" ht="15.75" customHeight="1">
      <c r="A705" s="1"/>
      <c r="B705" s="1"/>
      <c r="C705" s="1"/>
      <c r="D705" s="1"/>
      <c r="E705" s="1"/>
      <c r="F705" s="1"/>
      <c r="G705" s="1"/>
      <c r="H705" s="1"/>
    </row>
    <row r="706" ht="15.75" customHeight="1">
      <c r="A706" s="1"/>
      <c r="B706" s="1"/>
      <c r="C706" s="1"/>
      <c r="D706" s="1"/>
      <c r="E706" s="1"/>
      <c r="F706" s="1"/>
      <c r="G706" s="1"/>
      <c r="H706" s="1"/>
    </row>
    <row r="707" ht="15.75" customHeight="1">
      <c r="A707" s="1"/>
      <c r="B707" s="1"/>
      <c r="C707" s="1"/>
      <c r="D707" s="1"/>
      <c r="E707" s="1"/>
      <c r="F707" s="1"/>
      <c r="G707" s="1"/>
      <c r="H707" s="1"/>
    </row>
    <row r="708" ht="15.75" customHeight="1">
      <c r="A708" s="1"/>
      <c r="B708" s="1"/>
      <c r="C708" s="1"/>
      <c r="D708" s="1"/>
      <c r="E708" s="1"/>
      <c r="F708" s="1"/>
      <c r="G708" s="1"/>
      <c r="H708" s="1"/>
    </row>
    <row r="709" ht="15.75" customHeight="1">
      <c r="A709" s="1"/>
      <c r="B709" s="1"/>
      <c r="C709" s="1"/>
      <c r="D709" s="1"/>
      <c r="E709" s="1"/>
      <c r="F709" s="1"/>
      <c r="G709" s="1"/>
      <c r="H709" s="1"/>
    </row>
    <row r="710" ht="15.75" customHeight="1">
      <c r="A710" s="1"/>
      <c r="B710" s="1"/>
      <c r="C710" s="1"/>
      <c r="D710" s="1"/>
      <c r="E710" s="1"/>
      <c r="F710" s="1"/>
      <c r="G710" s="1"/>
      <c r="H710" s="1"/>
    </row>
    <row r="711" ht="15.75" customHeight="1">
      <c r="A711" s="1"/>
      <c r="B711" s="1"/>
      <c r="C711" s="1"/>
      <c r="D711" s="1"/>
      <c r="E711" s="1"/>
      <c r="F711" s="1"/>
      <c r="G711" s="1"/>
      <c r="H711" s="1"/>
    </row>
    <row r="712" ht="15.75" customHeight="1">
      <c r="A712" s="1"/>
      <c r="B712" s="1"/>
      <c r="C712" s="1"/>
      <c r="D712" s="1"/>
      <c r="E712" s="1"/>
      <c r="F712" s="1"/>
      <c r="G712" s="1"/>
      <c r="H712" s="1"/>
    </row>
    <row r="713" ht="15.75" customHeight="1">
      <c r="A713" s="1"/>
      <c r="B713" s="1"/>
      <c r="C713" s="1"/>
      <c r="D713" s="1"/>
      <c r="E713" s="1"/>
      <c r="F713" s="1"/>
      <c r="G713" s="1"/>
      <c r="H713" s="1"/>
    </row>
    <row r="714" ht="15.75" customHeight="1">
      <c r="A714" s="1"/>
      <c r="B714" s="1"/>
      <c r="C714" s="1"/>
      <c r="D714" s="1"/>
      <c r="E714" s="1"/>
      <c r="F714" s="1"/>
      <c r="G714" s="1"/>
      <c r="H714" s="1"/>
    </row>
    <row r="715" ht="15.75" customHeight="1">
      <c r="A715" s="1"/>
      <c r="B715" s="1"/>
      <c r="C715" s="1"/>
      <c r="D715" s="1"/>
      <c r="E715" s="1"/>
      <c r="F715" s="1"/>
      <c r="G715" s="1"/>
      <c r="H715" s="1"/>
    </row>
    <row r="716" ht="15.75" customHeight="1">
      <c r="A716" s="1"/>
      <c r="B716" s="1"/>
      <c r="C716" s="1"/>
      <c r="D716" s="1"/>
      <c r="E716" s="1"/>
      <c r="F716" s="1"/>
      <c r="G716" s="1"/>
      <c r="H716" s="1"/>
    </row>
    <row r="717" ht="15.75" customHeight="1">
      <c r="A717" s="1"/>
      <c r="B717" s="1"/>
      <c r="C717" s="1"/>
      <c r="D717" s="1"/>
      <c r="E717" s="1"/>
      <c r="F717" s="1"/>
      <c r="G717" s="1"/>
      <c r="H717" s="1"/>
    </row>
    <row r="718" ht="15.75" customHeight="1">
      <c r="A718" s="1"/>
      <c r="B718" s="1"/>
      <c r="C718" s="1"/>
      <c r="D718" s="1"/>
      <c r="E718" s="1"/>
      <c r="F718" s="1"/>
      <c r="G718" s="1"/>
      <c r="H718" s="1"/>
    </row>
    <row r="719" ht="15.75" customHeight="1">
      <c r="A719" s="1"/>
      <c r="B719" s="1"/>
      <c r="C719" s="1"/>
      <c r="D719" s="1"/>
      <c r="E719" s="1"/>
      <c r="F719" s="1"/>
      <c r="G719" s="1"/>
      <c r="H719" s="1"/>
    </row>
    <row r="720" ht="15.75" customHeight="1">
      <c r="A720" s="1"/>
      <c r="B720" s="1"/>
      <c r="C720" s="1"/>
      <c r="D720" s="1"/>
      <c r="E720" s="1"/>
      <c r="F720" s="1"/>
      <c r="G720" s="1"/>
      <c r="H720" s="1"/>
    </row>
    <row r="721" ht="15.75" customHeight="1">
      <c r="A721" s="1"/>
      <c r="B721" s="1"/>
      <c r="C721" s="1"/>
      <c r="D721" s="1"/>
      <c r="E721" s="1"/>
      <c r="F721" s="1"/>
      <c r="G721" s="1"/>
      <c r="H721" s="1"/>
    </row>
    <row r="722" ht="15.75" customHeight="1">
      <c r="A722" s="1"/>
      <c r="B722" s="1"/>
      <c r="C722" s="1"/>
      <c r="D722" s="1"/>
      <c r="E722" s="1"/>
      <c r="F722" s="1"/>
      <c r="G722" s="1"/>
      <c r="H722" s="1"/>
    </row>
    <row r="723" ht="15.75" customHeight="1">
      <c r="A723" s="1"/>
      <c r="B723" s="1"/>
      <c r="C723" s="1"/>
      <c r="D723" s="1"/>
      <c r="E723" s="1"/>
      <c r="F723" s="1"/>
      <c r="G723" s="1"/>
      <c r="H723" s="1"/>
    </row>
    <row r="724" ht="15.75" customHeight="1">
      <c r="A724" s="1"/>
      <c r="B724" s="1"/>
      <c r="C724" s="1"/>
      <c r="D724" s="1"/>
      <c r="E724" s="1"/>
      <c r="F724" s="1"/>
      <c r="G724" s="1"/>
      <c r="H724" s="1"/>
    </row>
    <row r="725" ht="15.75" customHeight="1">
      <c r="A725" s="1"/>
      <c r="B725" s="1"/>
      <c r="C725" s="1"/>
      <c r="D725" s="1"/>
      <c r="E725" s="1"/>
      <c r="F725" s="1"/>
      <c r="G725" s="1"/>
      <c r="H725" s="1"/>
    </row>
    <row r="726" ht="15.75" customHeight="1">
      <c r="A726" s="1"/>
      <c r="B726" s="1"/>
      <c r="C726" s="1"/>
      <c r="D726" s="1"/>
      <c r="E726" s="1"/>
      <c r="F726" s="1"/>
      <c r="G726" s="1"/>
      <c r="H726" s="1"/>
    </row>
    <row r="727" ht="15.75" customHeight="1">
      <c r="A727" s="1"/>
      <c r="B727" s="1"/>
      <c r="C727" s="1"/>
      <c r="D727" s="1"/>
      <c r="E727" s="1"/>
      <c r="F727" s="1"/>
      <c r="G727" s="1"/>
      <c r="H727" s="1"/>
    </row>
    <row r="728" ht="15.75" customHeight="1">
      <c r="A728" s="1"/>
      <c r="B728" s="1"/>
      <c r="C728" s="1"/>
      <c r="D728" s="1"/>
      <c r="E728" s="1"/>
      <c r="F728" s="1"/>
      <c r="G728" s="1"/>
      <c r="H728" s="1"/>
    </row>
    <row r="729" ht="15.75" customHeight="1">
      <c r="A729" s="1"/>
      <c r="B729" s="1"/>
      <c r="C729" s="1"/>
      <c r="D729" s="1"/>
      <c r="E729" s="1"/>
      <c r="F729" s="1"/>
      <c r="G729" s="1"/>
      <c r="H729" s="1"/>
    </row>
    <row r="730" ht="15.75" customHeight="1">
      <c r="A730" s="1"/>
      <c r="B730" s="1"/>
      <c r="C730" s="1"/>
      <c r="D730" s="1"/>
      <c r="E730" s="1"/>
      <c r="F730" s="1"/>
      <c r="G730" s="1"/>
      <c r="H730" s="1"/>
    </row>
    <row r="731" ht="15.75" customHeight="1">
      <c r="A731" s="1"/>
      <c r="B731" s="1"/>
      <c r="C731" s="1"/>
      <c r="D731" s="1"/>
      <c r="E731" s="1"/>
      <c r="F731" s="1"/>
      <c r="G731" s="1"/>
      <c r="H731" s="1"/>
    </row>
    <row r="732" ht="15.75" customHeight="1">
      <c r="A732" s="1"/>
      <c r="B732" s="1"/>
      <c r="C732" s="1"/>
      <c r="D732" s="1"/>
      <c r="E732" s="1"/>
      <c r="F732" s="1"/>
      <c r="G732" s="1"/>
      <c r="H732" s="1"/>
    </row>
    <row r="733" ht="15.75" customHeight="1">
      <c r="A733" s="1"/>
      <c r="B733" s="1"/>
      <c r="C733" s="1"/>
      <c r="D733" s="1"/>
      <c r="E733" s="1"/>
      <c r="F733" s="1"/>
      <c r="G733" s="1"/>
      <c r="H733" s="1"/>
    </row>
    <row r="734" ht="15.75" customHeight="1">
      <c r="A734" s="1"/>
      <c r="B734" s="1"/>
      <c r="C734" s="1"/>
      <c r="D734" s="1"/>
      <c r="E734" s="1"/>
      <c r="F734" s="1"/>
      <c r="G734" s="1"/>
      <c r="H734" s="1"/>
    </row>
    <row r="735" ht="15.75" customHeight="1">
      <c r="A735" s="1"/>
      <c r="B735" s="1"/>
      <c r="C735" s="1"/>
      <c r="D735" s="1"/>
      <c r="E735" s="1"/>
      <c r="F735" s="1"/>
      <c r="G735" s="1"/>
      <c r="H735" s="1"/>
    </row>
    <row r="736" ht="15.75" customHeight="1">
      <c r="A736" s="1"/>
      <c r="B736" s="1"/>
      <c r="C736" s="1"/>
      <c r="D736" s="1"/>
      <c r="E736" s="1"/>
      <c r="F736" s="1"/>
      <c r="G736" s="1"/>
      <c r="H736" s="1"/>
    </row>
    <row r="737" ht="15.75" customHeight="1">
      <c r="A737" s="1"/>
      <c r="B737" s="1"/>
      <c r="C737" s="1"/>
      <c r="D737" s="1"/>
      <c r="E737" s="1"/>
      <c r="F737" s="1"/>
      <c r="G737" s="1"/>
      <c r="H737" s="1"/>
    </row>
    <row r="738" ht="15.75" customHeight="1">
      <c r="A738" s="1"/>
      <c r="B738" s="1"/>
      <c r="C738" s="1"/>
      <c r="D738" s="1"/>
      <c r="E738" s="1"/>
      <c r="F738" s="1"/>
      <c r="G738" s="1"/>
      <c r="H738" s="1"/>
    </row>
    <row r="739" ht="15.75" customHeight="1">
      <c r="A739" s="1"/>
      <c r="B739" s="1"/>
      <c r="C739" s="1"/>
      <c r="D739" s="1"/>
      <c r="E739" s="1"/>
      <c r="F739" s="1"/>
      <c r="G739" s="1"/>
      <c r="H739" s="1"/>
    </row>
    <row r="740" ht="15.75" customHeight="1">
      <c r="A740" s="1"/>
      <c r="B740" s="1"/>
      <c r="C740" s="1"/>
      <c r="D740" s="1"/>
      <c r="E740" s="1"/>
      <c r="F740" s="1"/>
      <c r="G740" s="1"/>
      <c r="H740" s="1"/>
    </row>
    <row r="741" ht="15.75" customHeight="1">
      <c r="A741" s="1"/>
      <c r="B741" s="1"/>
      <c r="C741" s="1"/>
      <c r="D741" s="1"/>
      <c r="E741" s="1"/>
      <c r="F741" s="1"/>
      <c r="G741" s="1"/>
      <c r="H741" s="1"/>
    </row>
    <row r="742" ht="15.75" customHeight="1">
      <c r="A742" s="1"/>
      <c r="B742" s="1"/>
      <c r="C742" s="1"/>
      <c r="D742" s="1"/>
      <c r="E742" s="1"/>
      <c r="F742" s="1"/>
      <c r="G742" s="1"/>
      <c r="H742" s="1"/>
    </row>
    <row r="743" ht="15.75" customHeight="1">
      <c r="A743" s="1"/>
      <c r="B743" s="1"/>
      <c r="C743" s="1"/>
      <c r="D743" s="1"/>
      <c r="E743" s="1"/>
      <c r="F743" s="1"/>
      <c r="G743" s="1"/>
      <c r="H743" s="1"/>
    </row>
    <row r="744" ht="15.75" customHeight="1">
      <c r="A744" s="1"/>
      <c r="B744" s="1"/>
      <c r="C744" s="1"/>
      <c r="D744" s="1"/>
      <c r="E744" s="1"/>
      <c r="F744" s="1"/>
      <c r="G744" s="1"/>
      <c r="H744" s="1"/>
    </row>
    <row r="745" ht="15.75" customHeight="1">
      <c r="A745" s="1"/>
      <c r="B745" s="1"/>
      <c r="C745" s="1"/>
      <c r="D745" s="1"/>
      <c r="E745" s="1"/>
      <c r="F745" s="1"/>
      <c r="G745" s="1"/>
      <c r="H745" s="1"/>
    </row>
    <row r="746" ht="15.75" customHeight="1">
      <c r="A746" s="1"/>
      <c r="B746" s="1"/>
      <c r="C746" s="1"/>
      <c r="D746" s="1"/>
      <c r="E746" s="1"/>
      <c r="F746" s="1"/>
      <c r="G746" s="1"/>
      <c r="H746" s="1"/>
    </row>
    <row r="747" ht="15.75" customHeight="1">
      <c r="A747" s="1"/>
      <c r="B747" s="1"/>
      <c r="C747" s="1"/>
      <c r="D747" s="1"/>
      <c r="E747" s="1"/>
      <c r="F747" s="1"/>
      <c r="G747" s="1"/>
      <c r="H747" s="1"/>
    </row>
    <row r="748" ht="15.75" customHeight="1">
      <c r="A748" s="1"/>
      <c r="B748" s="1"/>
      <c r="C748" s="1"/>
      <c r="D748" s="1"/>
      <c r="E748" s="1"/>
      <c r="F748" s="1"/>
      <c r="G748" s="1"/>
      <c r="H748" s="1"/>
    </row>
    <row r="749" ht="15.75" customHeight="1">
      <c r="A749" s="1"/>
      <c r="B749" s="1"/>
      <c r="C749" s="1"/>
      <c r="D749" s="1"/>
      <c r="E749" s="1"/>
      <c r="F749" s="1"/>
      <c r="G749" s="1"/>
      <c r="H749" s="1"/>
    </row>
    <row r="750" ht="15.75" customHeight="1">
      <c r="A750" s="1"/>
      <c r="B750" s="1"/>
      <c r="C750" s="1"/>
      <c r="D750" s="1"/>
      <c r="E750" s="1"/>
      <c r="F750" s="1"/>
      <c r="G750" s="1"/>
      <c r="H750" s="1"/>
    </row>
    <row r="751" ht="15.75" customHeight="1">
      <c r="A751" s="1"/>
      <c r="B751" s="1"/>
      <c r="C751" s="1"/>
      <c r="D751" s="1"/>
      <c r="E751" s="1"/>
      <c r="F751" s="1"/>
      <c r="G751" s="1"/>
      <c r="H751" s="1"/>
    </row>
    <row r="752" ht="15.75" customHeight="1">
      <c r="A752" s="1"/>
      <c r="B752" s="1"/>
      <c r="C752" s="1"/>
      <c r="D752" s="1"/>
      <c r="E752" s="1"/>
      <c r="F752" s="1"/>
      <c r="G752" s="1"/>
      <c r="H752" s="1"/>
    </row>
    <row r="753" ht="15.75" customHeight="1">
      <c r="A753" s="1"/>
      <c r="B753" s="1"/>
      <c r="C753" s="1"/>
      <c r="D753" s="1"/>
      <c r="E753" s="1"/>
      <c r="F753" s="1"/>
      <c r="G753" s="1"/>
      <c r="H753" s="1"/>
    </row>
    <row r="754" ht="15.75" customHeight="1">
      <c r="A754" s="1"/>
      <c r="B754" s="1"/>
      <c r="C754" s="1"/>
      <c r="D754" s="1"/>
      <c r="E754" s="1"/>
      <c r="F754" s="1"/>
      <c r="G754" s="1"/>
      <c r="H754" s="1"/>
    </row>
    <row r="755" ht="15.75" customHeight="1">
      <c r="A755" s="1"/>
      <c r="B755" s="1"/>
      <c r="C755" s="1"/>
      <c r="D755" s="1"/>
      <c r="E755" s="1"/>
      <c r="F755" s="1"/>
      <c r="G755" s="1"/>
      <c r="H755" s="1"/>
    </row>
    <row r="756" ht="15.75" customHeight="1">
      <c r="A756" s="1"/>
      <c r="B756" s="1"/>
      <c r="C756" s="1"/>
      <c r="D756" s="1"/>
      <c r="E756" s="1"/>
      <c r="F756" s="1"/>
      <c r="G756" s="1"/>
      <c r="H756" s="1"/>
    </row>
    <row r="757" ht="15.75" customHeight="1">
      <c r="A757" s="1"/>
      <c r="B757" s="1"/>
      <c r="C757" s="1"/>
      <c r="D757" s="1"/>
      <c r="E757" s="1"/>
      <c r="F757" s="1"/>
      <c r="G757" s="1"/>
      <c r="H757" s="1"/>
    </row>
    <row r="758" ht="15.75" customHeight="1">
      <c r="A758" s="1"/>
      <c r="B758" s="1"/>
      <c r="C758" s="1"/>
      <c r="D758" s="1"/>
      <c r="E758" s="1"/>
      <c r="F758" s="1"/>
      <c r="G758" s="1"/>
      <c r="H758" s="1"/>
    </row>
    <row r="759" ht="15.75" customHeight="1">
      <c r="A759" s="1"/>
      <c r="B759" s="1"/>
      <c r="C759" s="1"/>
      <c r="D759" s="1"/>
      <c r="E759" s="1"/>
      <c r="F759" s="1"/>
      <c r="G759" s="1"/>
      <c r="H759" s="1"/>
    </row>
    <row r="760" ht="15.75" customHeight="1">
      <c r="A760" s="1"/>
      <c r="B760" s="1"/>
      <c r="C760" s="1"/>
      <c r="D760" s="1"/>
      <c r="E760" s="1"/>
      <c r="F760" s="1"/>
      <c r="G760" s="1"/>
      <c r="H760" s="1"/>
    </row>
    <row r="761" ht="15.75" customHeight="1">
      <c r="A761" s="1"/>
      <c r="B761" s="1"/>
      <c r="C761" s="1"/>
      <c r="D761" s="1"/>
      <c r="E761" s="1"/>
      <c r="F761" s="1"/>
      <c r="G761" s="1"/>
      <c r="H761" s="1"/>
    </row>
    <row r="762" ht="15.75" customHeight="1">
      <c r="A762" s="1"/>
      <c r="B762" s="1"/>
      <c r="C762" s="1"/>
      <c r="D762" s="1"/>
      <c r="E762" s="1"/>
      <c r="F762" s="1"/>
      <c r="G762" s="1"/>
      <c r="H762" s="1"/>
    </row>
    <row r="763" ht="15.75" customHeight="1">
      <c r="A763" s="1"/>
      <c r="B763" s="1"/>
      <c r="C763" s="1"/>
      <c r="D763" s="1"/>
      <c r="E763" s="1"/>
      <c r="F763" s="1"/>
      <c r="G763" s="1"/>
      <c r="H763" s="1"/>
    </row>
    <row r="764" ht="15.75" customHeight="1">
      <c r="A764" s="1"/>
      <c r="B764" s="1"/>
      <c r="C764" s="1"/>
      <c r="D764" s="1"/>
      <c r="E764" s="1"/>
      <c r="F764" s="1"/>
      <c r="G764" s="1"/>
      <c r="H764" s="1"/>
    </row>
    <row r="765" ht="15.75" customHeight="1">
      <c r="A765" s="1"/>
      <c r="B765" s="1"/>
      <c r="C765" s="1"/>
      <c r="D765" s="1"/>
      <c r="E765" s="1"/>
      <c r="F765" s="1"/>
      <c r="G765" s="1"/>
      <c r="H765" s="1"/>
    </row>
    <row r="766" ht="15.75" customHeight="1">
      <c r="A766" s="1"/>
      <c r="B766" s="1"/>
      <c r="C766" s="1"/>
      <c r="D766" s="1"/>
      <c r="E766" s="1"/>
      <c r="F766" s="1"/>
      <c r="G766" s="1"/>
      <c r="H766" s="1"/>
    </row>
    <row r="767" ht="15.75" customHeight="1">
      <c r="A767" s="1"/>
      <c r="B767" s="1"/>
      <c r="C767" s="1"/>
      <c r="D767" s="1"/>
      <c r="E767" s="1"/>
      <c r="F767" s="1"/>
      <c r="G767" s="1"/>
      <c r="H767" s="1"/>
    </row>
    <row r="768" ht="15.75" customHeight="1">
      <c r="A768" s="1"/>
      <c r="B768" s="1"/>
      <c r="C768" s="1"/>
      <c r="D768" s="1"/>
      <c r="E768" s="1"/>
      <c r="F768" s="1"/>
      <c r="G768" s="1"/>
      <c r="H768" s="1"/>
    </row>
    <row r="769" ht="15.75" customHeight="1">
      <c r="A769" s="1"/>
      <c r="B769" s="1"/>
      <c r="C769" s="1"/>
      <c r="D769" s="1"/>
      <c r="E769" s="1"/>
      <c r="F769" s="1"/>
      <c r="G769" s="1"/>
      <c r="H769" s="1"/>
    </row>
    <row r="770" ht="15.75" customHeight="1">
      <c r="A770" s="1"/>
      <c r="B770" s="1"/>
      <c r="C770" s="1"/>
      <c r="D770" s="1"/>
      <c r="E770" s="1"/>
      <c r="F770" s="1"/>
      <c r="G770" s="1"/>
      <c r="H770" s="1"/>
    </row>
    <row r="771" ht="15.75" customHeight="1">
      <c r="A771" s="1"/>
      <c r="B771" s="1"/>
      <c r="C771" s="1"/>
      <c r="D771" s="1"/>
      <c r="E771" s="1"/>
      <c r="F771" s="1"/>
      <c r="G771" s="1"/>
      <c r="H771" s="1"/>
    </row>
    <row r="772" ht="15.75" customHeight="1">
      <c r="A772" s="1"/>
      <c r="B772" s="1"/>
      <c r="C772" s="1"/>
      <c r="D772" s="1"/>
      <c r="E772" s="1"/>
      <c r="F772" s="1"/>
      <c r="G772" s="1"/>
      <c r="H772" s="1"/>
    </row>
    <row r="773" ht="15.75" customHeight="1">
      <c r="A773" s="1"/>
      <c r="B773" s="1"/>
      <c r="C773" s="1"/>
      <c r="D773" s="1"/>
      <c r="E773" s="1"/>
      <c r="F773" s="1"/>
      <c r="G773" s="1"/>
      <c r="H773" s="1"/>
    </row>
    <row r="774" ht="15.75" customHeight="1">
      <c r="A774" s="1"/>
      <c r="B774" s="1"/>
      <c r="C774" s="1"/>
      <c r="D774" s="1"/>
      <c r="E774" s="1"/>
      <c r="F774" s="1"/>
      <c r="G774" s="1"/>
      <c r="H774" s="1"/>
    </row>
    <row r="775" ht="15.75" customHeight="1">
      <c r="A775" s="1"/>
      <c r="B775" s="1"/>
      <c r="C775" s="1"/>
      <c r="D775" s="1"/>
      <c r="E775" s="1"/>
      <c r="F775" s="1"/>
      <c r="G775" s="1"/>
      <c r="H775" s="1"/>
    </row>
    <row r="776" ht="15.75" customHeight="1">
      <c r="A776" s="1"/>
      <c r="B776" s="1"/>
      <c r="C776" s="1"/>
      <c r="D776" s="1"/>
      <c r="E776" s="1"/>
      <c r="F776" s="1"/>
      <c r="G776" s="1"/>
      <c r="H776" s="1"/>
    </row>
    <row r="777" ht="15.75" customHeight="1">
      <c r="A777" s="1"/>
      <c r="B777" s="1"/>
      <c r="C777" s="1"/>
      <c r="D777" s="1"/>
      <c r="E777" s="1"/>
      <c r="F777" s="1"/>
      <c r="G777" s="1"/>
      <c r="H777" s="1"/>
    </row>
    <row r="778" ht="15.75" customHeight="1">
      <c r="A778" s="1"/>
      <c r="B778" s="1"/>
      <c r="C778" s="1"/>
      <c r="D778" s="1"/>
      <c r="E778" s="1"/>
      <c r="F778" s="1"/>
      <c r="G778" s="1"/>
      <c r="H778" s="1"/>
    </row>
    <row r="779" ht="15.75" customHeight="1">
      <c r="A779" s="1"/>
      <c r="B779" s="1"/>
      <c r="C779" s="1"/>
      <c r="D779" s="1"/>
      <c r="E779" s="1"/>
      <c r="F779" s="1"/>
      <c r="G779" s="1"/>
      <c r="H779" s="1"/>
    </row>
    <row r="780" ht="15.75" customHeight="1">
      <c r="A780" s="1"/>
      <c r="B780" s="1"/>
      <c r="C780" s="1"/>
      <c r="D780" s="1"/>
      <c r="E780" s="1"/>
      <c r="F780" s="1"/>
      <c r="G780" s="1"/>
      <c r="H780" s="1"/>
    </row>
    <row r="781" ht="15.75" customHeight="1">
      <c r="A781" s="1"/>
      <c r="B781" s="1"/>
      <c r="C781" s="1"/>
      <c r="D781" s="1"/>
      <c r="E781" s="1"/>
      <c r="F781" s="1"/>
      <c r="G781" s="1"/>
      <c r="H781" s="1"/>
    </row>
    <row r="782" ht="15.75" customHeight="1">
      <c r="A782" s="1"/>
      <c r="B782" s="1"/>
      <c r="C782" s="1"/>
      <c r="D782" s="1"/>
      <c r="E782" s="1"/>
      <c r="F782" s="1"/>
      <c r="G782" s="1"/>
      <c r="H782" s="1"/>
    </row>
    <row r="783" ht="15.75" customHeight="1">
      <c r="A783" s="1"/>
      <c r="B783" s="1"/>
      <c r="C783" s="1"/>
      <c r="D783" s="1"/>
      <c r="E783" s="1"/>
      <c r="F783" s="1"/>
      <c r="G783" s="1"/>
      <c r="H783" s="1"/>
    </row>
    <row r="784" ht="15.75" customHeight="1">
      <c r="A784" s="1"/>
      <c r="B784" s="1"/>
      <c r="C784" s="1"/>
      <c r="D784" s="1"/>
      <c r="E784" s="1"/>
      <c r="F784" s="1"/>
      <c r="G784" s="1"/>
      <c r="H784" s="1"/>
    </row>
    <row r="785" ht="15.75" customHeight="1">
      <c r="A785" s="1"/>
      <c r="B785" s="1"/>
      <c r="C785" s="1"/>
      <c r="D785" s="1"/>
      <c r="E785" s="1"/>
      <c r="F785" s="1"/>
      <c r="G785" s="1"/>
      <c r="H785" s="1"/>
    </row>
    <row r="786" ht="15.75" customHeight="1">
      <c r="A786" s="1"/>
      <c r="B786" s="1"/>
      <c r="C786" s="1"/>
      <c r="D786" s="1"/>
      <c r="E786" s="1"/>
      <c r="F786" s="1"/>
      <c r="G786" s="1"/>
      <c r="H786" s="1"/>
    </row>
    <row r="787" ht="15.75" customHeight="1">
      <c r="A787" s="1"/>
      <c r="B787" s="1"/>
      <c r="C787" s="1"/>
      <c r="D787" s="1"/>
      <c r="E787" s="1"/>
      <c r="F787" s="1"/>
      <c r="G787" s="1"/>
      <c r="H787" s="1"/>
    </row>
    <row r="788" ht="15.75" customHeight="1">
      <c r="A788" s="1"/>
      <c r="B788" s="1"/>
      <c r="C788" s="1"/>
      <c r="D788" s="1"/>
      <c r="E788" s="1"/>
      <c r="F788" s="1"/>
      <c r="G788" s="1"/>
      <c r="H788" s="1"/>
    </row>
    <row r="789" ht="15.75" customHeight="1">
      <c r="A789" s="1"/>
      <c r="B789" s="1"/>
      <c r="C789" s="1"/>
      <c r="D789" s="1"/>
      <c r="E789" s="1"/>
      <c r="F789" s="1"/>
      <c r="G789" s="1"/>
      <c r="H789" s="1"/>
    </row>
    <row r="790" ht="15.75" customHeight="1">
      <c r="A790" s="1"/>
      <c r="B790" s="1"/>
      <c r="C790" s="1"/>
      <c r="D790" s="1"/>
      <c r="E790" s="1"/>
      <c r="F790" s="1"/>
      <c r="G790" s="1"/>
      <c r="H790" s="1"/>
    </row>
    <row r="791" ht="15.75" customHeight="1">
      <c r="A791" s="1"/>
      <c r="B791" s="1"/>
      <c r="C791" s="1"/>
      <c r="D791" s="1"/>
      <c r="E791" s="1"/>
      <c r="F791" s="1"/>
      <c r="G791" s="1"/>
      <c r="H791" s="1"/>
    </row>
    <row r="792" ht="15.75" customHeight="1">
      <c r="A792" s="1"/>
      <c r="B792" s="1"/>
      <c r="C792" s="1"/>
      <c r="D792" s="1"/>
      <c r="E792" s="1"/>
      <c r="F792" s="1"/>
      <c r="G792" s="1"/>
      <c r="H792" s="1"/>
    </row>
    <row r="793" ht="15.75" customHeight="1">
      <c r="A793" s="1"/>
      <c r="B793" s="1"/>
      <c r="C793" s="1"/>
      <c r="D793" s="1"/>
      <c r="E793" s="1"/>
      <c r="F793" s="1"/>
      <c r="G793" s="1"/>
      <c r="H793" s="1"/>
    </row>
    <row r="794" ht="15.75" customHeight="1">
      <c r="A794" s="1"/>
      <c r="B794" s="1"/>
      <c r="C794" s="1"/>
      <c r="D794" s="1"/>
      <c r="E794" s="1"/>
      <c r="F794" s="1"/>
      <c r="G794" s="1"/>
      <c r="H794" s="1"/>
    </row>
    <row r="795" ht="15.75" customHeight="1">
      <c r="A795" s="1"/>
      <c r="B795" s="1"/>
      <c r="C795" s="1"/>
      <c r="D795" s="1"/>
      <c r="E795" s="1"/>
      <c r="F795" s="1"/>
      <c r="G795" s="1"/>
      <c r="H795" s="1"/>
    </row>
    <row r="796" ht="15.75" customHeight="1">
      <c r="A796" s="1"/>
      <c r="B796" s="1"/>
      <c r="C796" s="1"/>
      <c r="D796" s="1"/>
      <c r="E796" s="1"/>
      <c r="F796" s="1"/>
      <c r="G796" s="1"/>
      <c r="H796" s="1"/>
    </row>
    <row r="797" ht="15.75" customHeight="1">
      <c r="A797" s="1"/>
      <c r="B797" s="1"/>
      <c r="C797" s="1"/>
      <c r="D797" s="1"/>
      <c r="E797" s="1"/>
      <c r="F797" s="1"/>
      <c r="G797" s="1"/>
      <c r="H797" s="1"/>
    </row>
    <row r="798" ht="15.75" customHeight="1">
      <c r="A798" s="1"/>
      <c r="B798" s="1"/>
      <c r="C798" s="1"/>
      <c r="D798" s="1"/>
      <c r="E798" s="1"/>
      <c r="F798" s="1"/>
      <c r="G798" s="1"/>
      <c r="H798" s="1"/>
    </row>
    <row r="799" ht="15.75" customHeight="1">
      <c r="A799" s="1"/>
      <c r="B799" s="1"/>
      <c r="C799" s="1"/>
      <c r="D799" s="1"/>
      <c r="E799" s="1"/>
      <c r="F799" s="1"/>
      <c r="G799" s="1"/>
      <c r="H799" s="1"/>
    </row>
    <row r="800" ht="15.75" customHeight="1">
      <c r="A800" s="1"/>
      <c r="B800" s="1"/>
      <c r="C800" s="1"/>
      <c r="D800" s="1"/>
      <c r="E800" s="1"/>
      <c r="F800" s="1"/>
      <c r="G800" s="1"/>
      <c r="H800" s="1"/>
    </row>
    <row r="801" ht="15.75" customHeight="1">
      <c r="A801" s="1"/>
      <c r="B801" s="1"/>
      <c r="C801" s="1"/>
      <c r="D801" s="1"/>
      <c r="E801" s="1"/>
      <c r="F801" s="1"/>
      <c r="G801" s="1"/>
      <c r="H801" s="1"/>
    </row>
    <row r="802" ht="15.75" customHeight="1">
      <c r="A802" s="1"/>
      <c r="B802" s="1"/>
      <c r="C802" s="1"/>
      <c r="D802" s="1"/>
      <c r="E802" s="1"/>
      <c r="F802" s="1"/>
      <c r="G802" s="1"/>
      <c r="H802" s="1"/>
    </row>
    <row r="803" ht="15.75" customHeight="1">
      <c r="A803" s="1"/>
      <c r="B803" s="1"/>
      <c r="C803" s="1"/>
      <c r="D803" s="1"/>
      <c r="E803" s="1"/>
      <c r="F803" s="1"/>
      <c r="G803" s="1"/>
      <c r="H803" s="1"/>
    </row>
    <row r="804" ht="15.75" customHeight="1">
      <c r="A804" s="1"/>
      <c r="B804" s="1"/>
      <c r="C804" s="1"/>
      <c r="D804" s="1"/>
      <c r="E804" s="1"/>
      <c r="F804" s="1"/>
      <c r="G804" s="1"/>
      <c r="H804" s="1"/>
    </row>
    <row r="805" ht="15.75" customHeight="1">
      <c r="A805" s="1"/>
      <c r="B805" s="1"/>
      <c r="C805" s="1"/>
      <c r="D805" s="1"/>
      <c r="E805" s="1"/>
      <c r="F805" s="1"/>
      <c r="G805" s="1"/>
      <c r="H805" s="1"/>
    </row>
    <row r="806" ht="15.75" customHeight="1">
      <c r="A806" s="1"/>
      <c r="B806" s="1"/>
      <c r="C806" s="1"/>
      <c r="D806" s="1"/>
      <c r="E806" s="1"/>
      <c r="F806" s="1"/>
      <c r="G806" s="1"/>
      <c r="H806" s="1"/>
    </row>
    <row r="807" ht="15.75" customHeight="1">
      <c r="A807" s="1"/>
      <c r="B807" s="1"/>
      <c r="C807" s="1"/>
      <c r="D807" s="1"/>
      <c r="E807" s="1"/>
      <c r="F807" s="1"/>
      <c r="G807" s="1"/>
      <c r="H807" s="1"/>
    </row>
    <row r="808" ht="15.75" customHeight="1">
      <c r="A808" s="1"/>
      <c r="B808" s="1"/>
      <c r="C808" s="1"/>
      <c r="D808" s="1"/>
      <c r="E808" s="1"/>
      <c r="F808" s="1"/>
      <c r="G808" s="1"/>
      <c r="H808" s="1"/>
    </row>
    <row r="809" ht="15.75" customHeight="1">
      <c r="A809" s="1"/>
      <c r="B809" s="1"/>
      <c r="C809" s="1"/>
      <c r="D809" s="1"/>
      <c r="E809" s="1"/>
      <c r="F809" s="1"/>
      <c r="G809" s="1"/>
      <c r="H809" s="1"/>
    </row>
    <row r="810" ht="15.75" customHeight="1">
      <c r="A810" s="1"/>
      <c r="B810" s="1"/>
      <c r="C810" s="1"/>
      <c r="D810" s="1"/>
      <c r="E810" s="1"/>
      <c r="F810" s="1"/>
      <c r="G810" s="1"/>
      <c r="H810" s="1"/>
    </row>
    <row r="811" ht="15.75" customHeight="1">
      <c r="A811" s="1"/>
      <c r="B811" s="1"/>
      <c r="C811" s="1"/>
      <c r="D811" s="1"/>
      <c r="E811" s="1"/>
      <c r="F811" s="1"/>
      <c r="G811" s="1"/>
      <c r="H811" s="1"/>
    </row>
    <row r="812" ht="15.75" customHeight="1">
      <c r="A812" s="1"/>
      <c r="B812" s="1"/>
      <c r="C812" s="1"/>
      <c r="D812" s="1"/>
      <c r="E812" s="1"/>
      <c r="F812" s="1"/>
      <c r="G812" s="1"/>
      <c r="H812" s="1"/>
    </row>
    <row r="813" ht="15.75" customHeight="1">
      <c r="A813" s="1"/>
      <c r="B813" s="1"/>
      <c r="C813" s="1"/>
      <c r="D813" s="1"/>
      <c r="E813" s="1"/>
      <c r="F813" s="1"/>
      <c r="G813" s="1"/>
      <c r="H813" s="1"/>
    </row>
    <row r="814" ht="15.75" customHeight="1">
      <c r="A814" s="1"/>
      <c r="B814" s="1"/>
      <c r="C814" s="1"/>
      <c r="D814" s="1"/>
      <c r="E814" s="1"/>
      <c r="F814" s="1"/>
      <c r="G814" s="1"/>
      <c r="H814" s="1"/>
    </row>
    <row r="815" ht="15.75" customHeight="1">
      <c r="A815" s="1"/>
      <c r="B815" s="1"/>
      <c r="C815" s="1"/>
      <c r="D815" s="1"/>
      <c r="E815" s="1"/>
      <c r="F815" s="1"/>
      <c r="G815" s="1"/>
      <c r="H815" s="1"/>
    </row>
    <row r="816" ht="15.75" customHeight="1">
      <c r="A816" s="1"/>
      <c r="B816" s="1"/>
      <c r="C816" s="1"/>
      <c r="D816" s="1"/>
      <c r="E816" s="1"/>
      <c r="F816" s="1"/>
      <c r="G816" s="1"/>
      <c r="H816" s="1"/>
    </row>
    <row r="817" ht="15.75" customHeight="1">
      <c r="A817" s="1"/>
      <c r="B817" s="1"/>
      <c r="C817" s="1"/>
      <c r="D817" s="1"/>
      <c r="E817" s="1"/>
      <c r="F817" s="1"/>
      <c r="G817" s="1"/>
      <c r="H817" s="1"/>
    </row>
    <row r="818" ht="15.75" customHeight="1">
      <c r="A818" s="1"/>
      <c r="B818" s="1"/>
      <c r="C818" s="1"/>
      <c r="D818" s="1"/>
      <c r="E818" s="1"/>
      <c r="F818" s="1"/>
      <c r="G818" s="1"/>
      <c r="H818" s="1"/>
    </row>
    <row r="819" ht="15.75" customHeight="1">
      <c r="A819" s="1"/>
      <c r="B819" s="1"/>
      <c r="C819" s="1"/>
      <c r="D819" s="1"/>
      <c r="E819" s="1"/>
      <c r="F819" s="1"/>
      <c r="G819" s="1"/>
      <c r="H819" s="1"/>
    </row>
    <row r="820" ht="15.75" customHeight="1">
      <c r="A820" s="1"/>
      <c r="B820" s="1"/>
      <c r="C820" s="1"/>
      <c r="D820" s="1"/>
      <c r="E820" s="1"/>
      <c r="F820" s="1"/>
      <c r="G820" s="1"/>
      <c r="H820" s="1"/>
    </row>
    <row r="821" ht="15.75" customHeight="1">
      <c r="A821" s="1"/>
      <c r="B821" s="1"/>
      <c r="C821" s="1"/>
      <c r="D821" s="1"/>
      <c r="E821" s="1"/>
      <c r="F821" s="1"/>
      <c r="G821" s="1"/>
      <c r="H821" s="1"/>
    </row>
    <row r="822" ht="15.75" customHeight="1">
      <c r="A822" s="1"/>
      <c r="B822" s="1"/>
      <c r="C822" s="1"/>
      <c r="D822" s="1"/>
      <c r="E822" s="1"/>
      <c r="F822" s="1"/>
      <c r="G822" s="1"/>
      <c r="H822" s="1"/>
    </row>
    <row r="823" ht="15.75" customHeight="1">
      <c r="A823" s="1"/>
      <c r="B823" s="1"/>
      <c r="C823" s="1"/>
      <c r="D823" s="1"/>
      <c r="E823" s="1"/>
      <c r="F823" s="1"/>
      <c r="G823" s="1"/>
      <c r="H823" s="1"/>
    </row>
    <row r="824" ht="15.75" customHeight="1">
      <c r="A824" s="1"/>
      <c r="B824" s="1"/>
      <c r="C824" s="1"/>
      <c r="D824" s="1"/>
      <c r="E824" s="1"/>
      <c r="F824" s="1"/>
      <c r="G824" s="1"/>
      <c r="H824" s="1"/>
    </row>
    <row r="825" ht="15.75" customHeight="1">
      <c r="A825" s="1"/>
      <c r="B825" s="1"/>
      <c r="C825" s="1"/>
      <c r="D825" s="1"/>
      <c r="E825" s="1"/>
      <c r="F825" s="1"/>
      <c r="G825" s="1"/>
      <c r="H825" s="1"/>
    </row>
    <row r="826" ht="15.75" customHeight="1">
      <c r="A826" s="1"/>
      <c r="B826" s="1"/>
      <c r="C826" s="1"/>
      <c r="D826" s="1"/>
      <c r="E826" s="1"/>
      <c r="F826" s="1"/>
      <c r="G826" s="1"/>
      <c r="H826" s="1"/>
    </row>
    <row r="827" ht="15.75" customHeight="1">
      <c r="A827" s="1"/>
      <c r="B827" s="1"/>
      <c r="C827" s="1"/>
      <c r="D827" s="1"/>
      <c r="E827" s="1"/>
      <c r="F827" s="1"/>
      <c r="G827" s="1"/>
      <c r="H827" s="1"/>
    </row>
    <row r="828" ht="15.75" customHeight="1">
      <c r="A828" s="1"/>
      <c r="B828" s="1"/>
      <c r="C828" s="1"/>
      <c r="D828" s="1"/>
      <c r="E828" s="1"/>
      <c r="F828" s="1"/>
      <c r="G828" s="1"/>
      <c r="H828" s="1"/>
    </row>
    <row r="829" ht="15.75" customHeight="1">
      <c r="A829" s="1"/>
      <c r="B829" s="1"/>
      <c r="C829" s="1"/>
      <c r="D829" s="1"/>
      <c r="E829" s="1"/>
      <c r="F829" s="1"/>
      <c r="G829" s="1"/>
      <c r="H829" s="1"/>
    </row>
    <row r="830" ht="15.75" customHeight="1">
      <c r="A830" s="1"/>
      <c r="B830" s="1"/>
      <c r="C830" s="1"/>
      <c r="D830" s="1"/>
      <c r="E830" s="1"/>
      <c r="F830" s="1"/>
      <c r="G830" s="1"/>
      <c r="H830" s="1"/>
    </row>
    <row r="831" ht="15.75" customHeight="1">
      <c r="A831" s="1"/>
      <c r="B831" s="1"/>
      <c r="C831" s="1"/>
      <c r="D831" s="1"/>
      <c r="E831" s="1"/>
      <c r="F831" s="1"/>
      <c r="G831" s="1"/>
      <c r="H831" s="1"/>
    </row>
    <row r="832" ht="15.75" customHeight="1">
      <c r="A832" s="1"/>
      <c r="B832" s="1"/>
      <c r="C832" s="1"/>
      <c r="D832" s="1"/>
      <c r="E832" s="1"/>
      <c r="F832" s="1"/>
      <c r="G832" s="1"/>
      <c r="H832" s="1"/>
    </row>
    <row r="833" ht="15.75" customHeight="1">
      <c r="A833" s="1"/>
      <c r="B833" s="1"/>
      <c r="C833" s="1"/>
      <c r="D833" s="1"/>
      <c r="E833" s="1"/>
      <c r="F833" s="1"/>
      <c r="G833" s="1"/>
      <c r="H833" s="1"/>
    </row>
    <row r="834" ht="15.75" customHeight="1">
      <c r="A834" s="1"/>
      <c r="B834" s="1"/>
      <c r="C834" s="1"/>
      <c r="D834" s="1"/>
      <c r="E834" s="1"/>
      <c r="F834" s="1"/>
      <c r="G834" s="1"/>
      <c r="H834" s="1"/>
    </row>
    <row r="835" ht="15.75" customHeight="1">
      <c r="A835" s="1"/>
      <c r="B835" s="1"/>
      <c r="C835" s="1"/>
      <c r="D835" s="1"/>
      <c r="E835" s="1"/>
      <c r="F835" s="1"/>
      <c r="G835" s="1"/>
      <c r="H835" s="1"/>
    </row>
    <row r="836" ht="15.75" customHeight="1">
      <c r="A836" s="1"/>
      <c r="B836" s="1"/>
      <c r="C836" s="1"/>
      <c r="D836" s="1"/>
      <c r="E836" s="1"/>
      <c r="F836" s="1"/>
      <c r="G836" s="1"/>
      <c r="H836" s="1"/>
    </row>
    <row r="837" ht="15.75" customHeight="1">
      <c r="A837" s="1"/>
      <c r="B837" s="1"/>
      <c r="C837" s="1"/>
      <c r="D837" s="1"/>
      <c r="E837" s="1"/>
      <c r="F837" s="1"/>
      <c r="G837" s="1"/>
      <c r="H837" s="1"/>
    </row>
    <row r="838" ht="15.75" customHeight="1">
      <c r="A838" s="1"/>
      <c r="B838" s="1"/>
      <c r="C838" s="1"/>
      <c r="D838" s="1"/>
      <c r="E838" s="1"/>
      <c r="F838" s="1"/>
      <c r="G838" s="1"/>
      <c r="H838" s="1"/>
    </row>
    <row r="839" ht="15.75" customHeight="1">
      <c r="A839" s="1"/>
      <c r="B839" s="1"/>
      <c r="C839" s="1"/>
      <c r="D839" s="1"/>
      <c r="E839" s="1"/>
      <c r="F839" s="1"/>
      <c r="G839" s="1"/>
      <c r="H839" s="1"/>
    </row>
    <row r="840" ht="15.75" customHeight="1">
      <c r="A840" s="1"/>
      <c r="B840" s="1"/>
      <c r="C840" s="1"/>
      <c r="D840" s="1"/>
      <c r="E840" s="1"/>
      <c r="F840" s="1"/>
      <c r="G840" s="1"/>
      <c r="H840" s="1"/>
    </row>
    <row r="841" ht="15.75" customHeight="1">
      <c r="A841" s="1"/>
      <c r="B841" s="1"/>
      <c r="C841" s="1"/>
      <c r="D841" s="1"/>
      <c r="E841" s="1"/>
      <c r="F841" s="1"/>
      <c r="G841" s="1"/>
      <c r="H841" s="1"/>
    </row>
    <row r="842" ht="15.75" customHeight="1">
      <c r="A842" s="1"/>
      <c r="B842" s="1"/>
      <c r="C842" s="1"/>
      <c r="D842" s="1"/>
      <c r="E842" s="1"/>
      <c r="F842" s="1"/>
      <c r="G842" s="1"/>
      <c r="H842" s="1"/>
    </row>
    <row r="843" ht="15.75" customHeight="1">
      <c r="A843" s="1"/>
      <c r="B843" s="1"/>
      <c r="C843" s="1"/>
      <c r="D843" s="1"/>
      <c r="E843" s="1"/>
      <c r="F843" s="1"/>
      <c r="G843" s="1"/>
      <c r="H843" s="1"/>
    </row>
    <row r="844" ht="15.75" customHeight="1">
      <c r="A844" s="1"/>
      <c r="B844" s="1"/>
      <c r="C844" s="1"/>
      <c r="D844" s="1"/>
      <c r="E844" s="1"/>
      <c r="F844" s="1"/>
      <c r="G844" s="1"/>
      <c r="H844" s="1"/>
    </row>
    <row r="845" ht="15.75" customHeight="1">
      <c r="A845" s="1"/>
      <c r="B845" s="1"/>
      <c r="C845" s="1"/>
      <c r="D845" s="1"/>
      <c r="E845" s="1"/>
      <c r="F845" s="1"/>
      <c r="G845" s="1"/>
      <c r="H845" s="1"/>
    </row>
    <row r="846" ht="15.75" customHeight="1">
      <c r="A846" s="1"/>
      <c r="B846" s="1"/>
      <c r="C846" s="1"/>
      <c r="D846" s="1"/>
      <c r="E846" s="1"/>
      <c r="F846" s="1"/>
      <c r="G846" s="1"/>
      <c r="H846" s="1"/>
    </row>
    <row r="847" ht="15.75" customHeight="1">
      <c r="A847" s="1"/>
      <c r="B847" s="1"/>
      <c r="C847" s="1"/>
      <c r="D847" s="1"/>
      <c r="E847" s="1"/>
      <c r="F847" s="1"/>
      <c r="G847" s="1"/>
      <c r="H847" s="1"/>
    </row>
    <row r="848" ht="15.75" customHeight="1">
      <c r="A848" s="1"/>
      <c r="B848" s="1"/>
      <c r="C848" s="1"/>
      <c r="D848" s="1"/>
      <c r="E848" s="1"/>
      <c r="F848" s="1"/>
      <c r="G848" s="1"/>
      <c r="H848" s="1"/>
    </row>
    <row r="849" ht="15.75" customHeight="1">
      <c r="A849" s="1"/>
      <c r="B849" s="1"/>
      <c r="C849" s="1"/>
      <c r="D849" s="1"/>
      <c r="E849" s="1"/>
      <c r="F849" s="1"/>
      <c r="G849" s="1"/>
      <c r="H849" s="1"/>
    </row>
    <row r="850" ht="15.75" customHeight="1">
      <c r="A850" s="1"/>
      <c r="B850" s="1"/>
      <c r="C850" s="1"/>
      <c r="D850" s="1"/>
      <c r="E850" s="1"/>
      <c r="F850" s="1"/>
      <c r="G850" s="1"/>
      <c r="H850" s="1"/>
    </row>
    <row r="851" ht="15.75" customHeight="1">
      <c r="A851" s="1"/>
      <c r="B851" s="1"/>
      <c r="C851" s="1"/>
      <c r="D851" s="1"/>
      <c r="E851" s="1"/>
      <c r="F851" s="1"/>
      <c r="G851" s="1"/>
      <c r="H851" s="1"/>
    </row>
    <row r="852" ht="15.75" customHeight="1">
      <c r="A852" s="1"/>
      <c r="B852" s="1"/>
      <c r="C852" s="1"/>
      <c r="D852" s="1"/>
      <c r="E852" s="1"/>
      <c r="F852" s="1"/>
      <c r="G852" s="1"/>
      <c r="H852" s="1"/>
    </row>
    <row r="853" ht="15.75" customHeight="1">
      <c r="A853" s="1"/>
      <c r="B853" s="1"/>
      <c r="C853" s="1"/>
      <c r="D853" s="1"/>
      <c r="E853" s="1"/>
      <c r="F853" s="1"/>
      <c r="G853" s="1"/>
      <c r="H853" s="1"/>
    </row>
    <row r="854" ht="15.75" customHeight="1">
      <c r="A854" s="1"/>
      <c r="B854" s="1"/>
      <c r="C854" s="1"/>
      <c r="D854" s="1"/>
      <c r="E854" s="1"/>
      <c r="F854" s="1"/>
      <c r="G854" s="1"/>
      <c r="H854" s="1"/>
    </row>
    <row r="855" ht="15.75" customHeight="1">
      <c r="A855" s="1"/>
      <c r="B855" s="1"/>
      <c r="C855" s="1"/>
      <c r="D855" s="1"/>
      <c r="E855" s="1"/>
      <c r="F855" s="1"/>
      <c r="G855" s="1"/>
      <c r="H855" s="1"/>
    </row>
    <row r="856" ht="15.75" customHeight="1">
      <c r="A856" s="1"/>
      <c r="B856" s="1"/>
      <c r="C856" s="1"/>
      <c r="D856" s="1"/>
      <c r="E856" s="1"/>
      <c r="F856" s="1"/>
      <c r="G856" s="1"/>
      <c r="H856" s="1"/>
    </row>
    <row r="857" ht="15.75" customHeight="1">
      <c r="A857" s="1"/>
      <c r="B857" s="1"/>
      <c r="C857" s="1"/>
      <c r="D857" s="1"/>
      <c r="E857" s="1"/>
      <c r="F857" s="1"/>
      <c r="G857" s="1"/>
      <c r="H857" s="1"/>
    </row>
    <row r="858" ht="15.75" customHeight="1">
      <c r="A858" s="1"/>
      <c r="B858" s="1"/>
      <c r="C858" s="1"/>
      <c r="D858" s="1"/>
      <c r="E858" s="1"/>
      <c r="F858" s="1"/>
      <c r="G858" s="1"/>
      <c r="H858" s="1"/>
    </row>
    <row r="859" ht="15.75" customHeight="1">
      <c r="A859" s="1"/>
      <c r="B859" s="1"/>
      <c r="C859" s="1"/>
      <c r="D859" s="1"/>
      <c r="E859" s="1"/>
      <c r="F859" s="1"/>
      <c r="G859" s="1"/>
      <c r="H859" s="1"/>
    </row>
    <row r="860" ht="15.75" customHeight="1">
      <c r="A860" s="1"/>
      <c r="B860" s="1"/>
      <c r="C860" s="1"/>
      <c r="D860" s="1"/>
      <c r="E860" s="1"/>
      <c r="F860" s="1"/>
      <c r="G860" s="1"/>
      <c r="H860" s="1"/>
    </row>
    <row r="861" ht="15.75" customHeight="1">
      <c r="A861" s="1"/>
      <c r="B861" s="1"/>
      <c r="C861" s="1"/>
      <c r="D861" s="1"/>
      <c r="E861" s="1"/>
      <c r="F861" s="1"/>
      <c r="G861" s="1"/>
      <c r="H861" s="1"/>
    </row>
    <row r="862" ht="15.75" customHeight="1">
      <c r="A862" s="1"/>
      <c r="B862" s="1"/>
      <c r="C862" s="1"/>
      <c r="D862" s="1"/>
      <c r="E862" s="1"/>
      <c r="F862" s="1"/>
      <c r="G862" s="1"/>
      <c r="H862" s="1"/>
    </row>
    <row r="863" ht="15.75" customHeight="1">
      <c r="A863" s="1"/>
      <c r="B863" s="1"/>
      <c r="C863" s="1"/>
      <c r="D863" s="1"/>
      <c r="E863" s="1"/>
      <c r="F863" s="1"/>
      <c r="G863" s="1"/>
      <c r="H863" s="1"/>
    </row>
    <row r="864" ht="15.75" customHeight="1">
      <c r="A864" s="1"/>
      <c r="B864" s="1"/>
      <c r="C864" s="1"/>
      <c r="D864" s="1"/>
      <c r="E864" s="1"/>
      <c r="F864" s="1"/>
      <c r="G864" s="1"/>
      <c r="H864" s="1"/>
    </row>
    <row r="865" ht="15.75" customHeight="1">
      <c r="A865" s="1"/>
      <c r="B865" s="1"/>
      <c r="C865" s="1"/>
      <c r="D865" s="1"/>
      <c r="E865" s="1"/>
      <c r="F865" s="1"/>
      <c r="G865" s="1"/>
      <c r="H865" s="1"/>
    </row>
    <row r="866" ht="15.75" customHeight="1">
      <c r="A866" s="1"/>
      <c r="B866" s="1"/>
      <c r="C866" s="1"/>
      <c r="D866" s="1"/>
      <c r="E866" s="1"/>
      <c r="F866" s="1"/>
      <c r="G866" s="1"/>
      <c r="H866" s="1"/>
    </row>
    <row r="867" ht="15.75" customHeight="1">
      <c r="A867" s="1"/>
      <c r="B867" s="1"/>
      <c r="C867" s="1"/>
      <c r="D867" s="1"/>
      <c r="E867" s="1"/>
      <c r="F867" s="1"/>
      <c r="G867" s="1"/>
      <c r="H867" s="1"/>
    </row>
    <row r="868" ht="15.75" customHeight="1">
      <c r="A868" s="1"/>
      <c r="B868" s="1"/>
      <c r="C868" s="1"/>
      <c r="D868" s="1"/>
      <c r="E868" s="1"/>
      <c r="F868" s="1"/>
      <c r="G868" s="1"/>
      <c r="H868" s="1"/>
    </row>
    <row r="869" ht="15.75" customHeight="1">
      <c r="A869" s="1"/>
      <c r="B869" s="1"/>
      <c r="C869" s="1"/>
      <c r="D869" s="1"/>
      <c r="E869" s="1"/>
      <c r="F869" s="1"/>
      <c r="G869" s="1"/>
      <c r="H869" s="1"/>
    </row>
    <row r="870" ht="15.75" customHeight="1">
      <c r="A870" s="1"/>
      <c r="B870" s="1"/>
      <c r="C870" s="1"/>
      <c r="D870" s="1"/>
      <c r="E870" s="1"/>
      <c r="F870" s="1"/>
      <c r="G870" s="1"/>
      <c r="H870" s="1"/>
    </row>
    <row r="871" ht="15.75" customHeight="1">
      <c r="A871" s="1"/>
      <c r="B871" s="1"/>
      <c r="C871" s="1"/>
      <c r="D871" s="1"/>
      <c r="E871" s="1"/>
      <c r="F871" s="1"/>
      <c r="G871" s="1"/>
      <c r="H871" s="1"/>
    </row>
    <row r="872" ht="15.75" customHeight="1">
      <c r="A872" s="1"/>
      <c r="B872" s="1"/>
      <c r="C872" s="1"/>
      <c r="D872" s="1"/>
      <c r="E872" s="1"/>
      <c r="F872" s="1"/>
      <c r="G872" s="1"/>
      <c r="H872" s="1"/>
    </row>
    <row r="873" ht="15.75" customHeight="1">
      <c r="A873" s="1"/>
      <c r="B873" s="1"/>
      <c r="C873" s="1"/>
      <c r="D873" s="1"/>
      <c r="E873" s="1"/>
      <c r="F873" s="1"/>
      <c r="G873" s="1"/>
      <c r="H873" s="1"/>
    </row>
    <row r="874" ht="15.75" customHeight="1">
      <c r="A874" s="1"/>
      <c r="B874" s="1"/>
      <c r="C874" s="1"/>
      <c r="D874" s="1"/>
      <c r="E874" s="1"/>
      <c r="F874" s="1"/>
      <c r="G874" s="1"/>
      <c r="H874" s="1"/>
    </row>
    <row r="875" ht="15.75" customHeight="1">
      <c r="A875" s="1"/>
      <c r="B875" s="1"/>
      <c r="C875" s="1"/>
      <c r="D875" s="1"/>
      <c r="E875" s="1"/>
      <c r="F875" s="1"/>
      <c r="G875" s="1"/>
      <c r="H875" s="1"/>
    </row>
    <row r="876" ht="15.75" customHeight="1">
      <c r="A876" s="1"/>
      <c r="B876" s="1"/>
      <c r="C876" s="1"/>
      <c r="D876" s="1"/>
      <c r="E876" s="1"/>
      <c r="F876" s="1"/>
      <c r="G876" s="1"/>
      <c r="H876" s="1"/>
    </row>
    <row r="877" ht="15.75" customHeight="1">
      <c r="A877" s="1"/>
      <c r="B877" s="1"/>
      <c r="C877" s="1"/>
      <c r="D877" s="1"/>
      <c r="E877" s="1"/>
      <c r="F877" s="1"/>
      <c r="G877" s="1"/>
      <c r="H877" s="1"/>
    </row>
    <row r="878" ht="15.75" customHeight="1">
      <c r="A878" s="1"/>
      <c r="B878" s="1"/>
      <c r="C878" s="1"/>
      <c r="D878" s="1"/>
      <c r="E878" s="1"/>
      <c r="F878" s="1"/>
      <c r="G878" s="1"/>
      <c r="H878" s="1"/>
    </row>
    <row r="879" ht="15.75" customHeight="1">
      <c r="A879" s="1"/>
      <c r="B879" s="1"/>
      <c r="C879" s="1"/>
      <c r="D879" s="1"/>
      <c r="E879" s="1"/>
      <c r="F879" s="1"/>
      <c r="G879" s="1"/>
      <c r="H879" s="1"/>
    </row>
    <row r="880" ht="15.75" customHeight="1">
      <c r="A880" s="1"/>
      <c r="B880" s="1"/>
      <c r="C880" s="1"/>
      <c r="D880" s="1"/>
      <c r="E880" s="1"/>
      <c r="F880" s="1"/>
      <c r="G880" s="1"/>
      <c r="H880" s="1"/>
    </row>
    <row r="881" ht="15.75" customHeight="1">
      <c r="A881" s="1"/>
      <c r="B881" s="1"/>
      <c r="C881" s="1"/>
      <c r="D881" s="1"/>
      <c r="E881" s="1"/>
      <c r="F881" s="1"/>
      <c r="G881" s="1"/>
      <c r="H881" s="1"/>
    </row>
    <row r="882" ht="15.75" customHeight="1">
      <c r="A882" s="1"/>
      <c r="B882" s="1"/>
      <c r="C882" s="1"/>
      <c r="D882" s="1"/>
      <c r="E882" s="1"/>
      <c r="F882" s="1"/>
      <c r="G882" s="1"/>
      <c r="H882" s="1"/>
    </row>
    <row r="883" ht="15.75" customHeight="1">
      <c r="A883" s="1"/>
      <c r="B883" s="1"/>
      <c r="C883" s="1"/>
      <c r="D883" s="1"/>
      <c r="E883" s="1"/>
      <c r="F883" s="1"/>
      <c r="G883" s="1"/>
      <c r="H883" s="1"/>
    </row>
    <row r="884" ht="15.75" customHeight="1">
      <c r="A884" s="1"/>
      <c r="B884" s="1"/>
      <c r="C884" s="1"/>
      <c r="D884" s="1"/>
      <c r="E884" s="1"/>
      <c r="F884" s="1"/>
      <c r="G884" s="1"/>
      <c r="H884" s="1"/>
    </row>
    <row r="885" ht="15.75" customHeight="1">
      <c r="A885" s="1"/>
      <c r="B885" s="1"/>
      <c r="C885" s="1"/>
      <c r="D885" s="1"/>
      <c r="E885" s="1"/>
      <c r="F885" s="1"/>
      <c r="G885" s="1"/>
      <c r="H885" s="1"/>
    </row>
    <row r="886" ht="15.75" customHeight="1">
      <c r="A886" s="1"/>
      <c r="B886" s="1"/>
      <c r="C886" s="1"/>
      <c r="D886" s="1"/>
      <c r="E886" s="1"/>
      <c r="F886" s="1"/>
      <c r="G886" s="1"/>
      <c r="H886" s="1"/>
    </row>
    <row r="887" ht="15.75" customHeight="1">
      <c r="A887" s="1"/>
      <c r="B887" s="1"/>
      <c r="C887" s="1"/>
      <c r="D887" s="1"/>
      <c r="E887" s="1"/>
      <c r="F887" s="1"/>
      <c r="G887" s="1"/>
      <c r="H887" s="1"/>
    </row>
    <row r="888" ht="15.75" customHeight="1">
      <c r="A888" s="1"/>
      <c r="B888" s="1"/>
      <c r="C888" s="1"/>
      <c r="D888" s="1"/>
      <c r="E888" s="1"/>
      <c r="F888" s="1"/>
      <c r="G888" s="1"/>
      <c r="H888" s="1"/>
    </row>
    <row r="889" ht="15.75" customHeight="1">
      <c r="A889" s="1"/>
      <c r="B889" s="1"/>
      <c r="C889" s="1"/>
      <c r="D889" s="1"/>
      <c r="E889" s="1"/>
      <c r="F889" s="1"/>
      <c r="G889" s="1"/>
      <c r="H889" s="1"/>
    </row>
    <row r="890" ht="15.75" customHeight="1">
      <c r="A890" s="1"/>
      <c r="B890" s="1"/>
      <c r="C890" s="1"/>
      <c r="D890" s="1"/>
      <c r="E890" s="1"/>
      <c r="F890" s="1"/>
      <c r="G890" s="1"/>
      <c r="H890" s="1"/>
    </row>
    <row r="891" ht="15.75" customHeight="1">
      <c r="A891" s="1"/>
      <c r="B891" s="1"/>
      <c r="C891" s="1"/>
      <c r="D891" s="1"/>
      <c r="E891" s="1"/>
      <c r="F891" s="1"/>
      <c r="G891" s="1"/>
      <c r="H891" s="1"/>
    </row>
    <row r="892" ht="15.75" customHeight="1">
      <c r="A892" s="1"/>
      <c r="B892" s="1"/>
      <c r="C892" s="1"/>
      <c r="D892" s="1"/>
      <c r="E892" s="1"/>
      <c r="F892" s="1"/>
      <c r="G892" s="1"/>
      <c r="H892" s="1"/>
    </row>
    <row r="893" ht="15.75" customHeight="1">
      <c r="A893" s="1"/>
      <c r="B893" s="1"/>
      <c r="C893" s="1"/>
      <c r="D893" s="1"/>
      <c r="E893" s="1"/>
      <c r="F893" s="1"/>
      <c r="G893" s="1"/>
      <c r="H893" s="1"/>
    </row>
    <row r="894" ht="15.75" customHeight="1">
      <c r="A894" s="1"/>
      <c r="B894" s="1"/>
      <c r="C894" s="1"/>
      <c r="D894" s="1"/>
      <c r="E894" s="1"/>
      <c r="F894" s="1"/>
      <c r="G894" s="1"/>
      <c r="H894" s="1"/>
    </row>
    <row r="895" ht="15.75" customHeight="1">
      <c r="A895" s="1"/>
      <c r="B895" s="1"/>
      <c r="C895" s="1"/>
      <c r="D895" s="1"/>
      <c r="E895" s="1"/>
      <c r="F895" s="1"/>
      <c r="G895" s="1"/>
      <c r="H895" s="1"/>
    </row>
    <row r="896" ht="15.75" customHeight="1">
      <c r="A896" s="1"/>
      <c r="B896" s="1"/>
      <c r="C896" s="1"/>
      <c r="D896" s="1"/>
      <c r="E896" s="1"/>
      <c r="F896" s="1"/>
      <c r="G896" s="1"/>
      <c r="H896" s="1"/>
    </row>
    <row r="897" ht="15.75" customHeight="1">
      <c r="A897" s="1"/>
      <c r="B897" s="1"/>
      <c r="C897" s="1"/>
      <c r="D897" s="1"/>
      <c r="E897" s="1"/>
      <c r="F897" s="1"/>
      <c r="G897" s="1"/>
      <c r="H897" s="1"/>
    </row>
    <row r="898" ht="15.75" customHeight="1">
      <c r="A898" s="1"/>
      <c r="B898" s="1"/>
      <c r="C898" s="1"/>
      <c r="D898" s="1"/>
      <c r="E898" s="1"/>
      <c r="F898" s="1"/>
      <c r="G898" s="1"/>
      <c r="H898" s="1"/>
    </row>
    <row r="899" ht="15.75" customHeight="1">
      <c r="A899" s="1"/>
      <c r="B899" s="1"/>
      <c r="C899" s="1"/>
      <c r="D899" s="1"/>
      <c r="E899" s="1"/>
      <c r="F899" s="1"/>
      <c r="G899" s="1"/>
      <c r="H899" s="1"/>
    </row>
    <row r="900" ht="15.75" customHeight="1">
      <c r="A900" s="1"/>
      <c r="B900" s="1"/>
      <c r="C900" s="1"/>
      <c r="D900" s="1"/>
      <c r="E900" s="1"/>
      <c r="F900" s="1"/>
      <c r="G900" s="1"/>
      <c r="H900" s="1"/>
    </row>
    <row r="901" ht="15.75" customHeight="1">
      <c r="A901" s="1"/>
      <c r="B901" s="1"/>
      <c r="C901" s="1"/>
      <c r="D901" s="1"/>
      <c r="E901" s="1"/>
      <c r="F901" s="1"/>
      <c r="G901" s="1"/>
      <c r="H901" s="1"/>
    </row>
    <row r="902" ht="15.75" customHeight="1">
      <c r="A902" s="1"/>
      <c r="B902" s="1"/>
      <c r="C902" s="1"/>
      <c r="D902" s="1"/>
      <c r="E902" s="1"/>
      <c r="F902" s="1"/>
      <c r="G902" s="1"/>
      <c r="H902" s="1"/>
    </row>
    <row r="903" ht="15.75" customHeight="1">
      <c r="A903" s="1"/>
      <c r="B903" s="1"/>
      <c r="C903" s="1"/>
      <c r="D903" s="1"/>
      <c r="E903" s="1"/>
      <c r="F903" s="1"/>
      <c r="G903" s="1"/>
      <c r="H903" s="1"/>
    </row>
    <row r="904" ht="15.75" customHeight="1">
      <c r="A904" s="1"/>
      <c r="B904" s="1"/>
      <c r="C904" s="1"/>
      <c r="D904" s="1"/>
      <c r="E904" s="1"/>
      <c r="F904" s="1"/>
      <c r="G904" s="1"/>
      <c r="H904" s="1"/>
    </row>
    <row r="905" ht="15.75" customHeight="1">
      <c r="A905" s="1"/>
      <c r="B905" s="1"/>
      <c r="C905" s="1"/>
      <c r="D905" s="1"/>
      <c r="E905" s="1"/>
      <c r="F905" s="1"/>
      <c r="G905" s="1"/>
      <c r="H905" s="1"/>
    </row>
    <row r="906" ht="15.75" customHeight="1">
      <c r="A906" s="1"/>
      <c r="B906" s="1"/>
      <c r="C906" s="1"/>
      <c r="D906" s="1"/>
      <c r="E906" s="1"/>
      <c r="F906" s="1"/>
      <c r="G906" s="1"/>
      <c r="H906" s="1"/>
    </row>
    <row r="907" ht="15.75" customHeight="1">
      <c r="A907" s="1"/>
      <c r="B907" s="1"/>
      <c r="C907" s="1"/>
      <c r="D907" s="1"/>
      <c r="E907" s="1"/>
      <c r="F907" s="1"/>
      <c r="G907" s="1"/>
      <c r="H907" s="1"/>
    </row>
    <row r="908" ht="15.75" customHeight="1">
      <c r="A908" s="1"/>
      <c r="B908" s="1"/>
      <c r="C908" s="1"/>
      <c r="D908" s="1"/>
      <c r="E908" s="1"/>
      <c r="F908" s="1"/>
      <c r="G908" s="1"/>
      <c r="H908" s="1"/>
    </row>
    <row r="909" ht="15.75" customHeight="1">
      <c r="A909" s="1"/>
      <c r="B909" s="1"/>
      <c r="C909" s="1"/>
      <c r="D909" s="1"/>
      <c r="E909" s="1"/>
      <c r="F909" s="1"/>
      <c r="G909" s="1"/>
      <c r="H909" s="1"/>
    </row>
    <row r="910" ht="15.75" customHeight="1">
      <c r="A910" s="1"/>
      <c r="B910" s="1"/>
      <c r="C910" s="1"/>
      <c r="D910" s="1"/>
      <c r="E910" s="1"/>
      <c r="F910" s="1"/>
      <c r="G910" s="1"/>
      <c r="H910" s="1"/>
    </row>
    <row r="911" ht="15.75" customHeight="1">
      <c r="A911" s="1"/>
      <c r="B911" s="1"/>
      <c r="C911" s="1"/>
      <c r="D911" s="1"/>
      <c r="E911" s="1"/>
      <c r="F911" s="1"/>
      <c r="G911" s="1"/>
      <c r="H911" s="1"/>
    </row>
    <row r="912" ht="15.75" customHeight="1">
      <c r="A912" s="1"/>
      <c r="B912" s="1"/>
      <c r="C912" s="1"/>
      <c r="D912" s="1"/>
      <c r="E912" s="1"/>
      <c r="F912" s="1"/>
      <c r="G912" s="1"/>
      <c r="H912" s="1"/>
    </row>
    <row r="913" ht="15.75" customHeight="1">
      <c r="A913" s="1"/>
      <c r="B913" s="1"/>
      <c r="C913" s="1"/>
      <c r="D913" s="1"/>
      <c r="E913" s="1"/>
      <c r="F913" s="1"/>
      <c r="G913" s="1"/>
      <c r="H913" s="1"/>
    </row>
    <row r="914" ht="15.75" customHeight="1">
      <c r="A914" s="1"/>
      <c r="B914" s="1"/>
      <c r="C914" s="1"/>
      <c r="D914" s="1"/>
      <c r="E914" s="1"/>
      <c r="F914" s="1"/>
      <c r="G914" s="1"/>
      <c r="H914" s="1"/>
    </row>
    <row r="915" ht="15.75" customHeight="1">
      <c r="A915" s="1"/>
      <c r="B915" s="1"/>
      <c r="C915" s="1"/>
      <c r="D915" s="1"/>
      <c r="E915" s="1"/>
      <c r="F915" s="1"/>
      <c r="G915" s="1"/>
      <c r="H915" s="1"/>
    </row>
    <row r="916" ht="15.75" customHeight="1">
      <c r="A916" s="1"/>
      <c r="B916" s="1"/>
      <c r="C916" s="1"/>
      <c r="D916" s="1"/>
      <c r="E916" s="1"/>
      <c r="F916" s="1"/>
      <c r="G916" s="1"/>
      <c r="H916" s="1"/>
    </row>
    <row r="917" ht="15.75" customHeight="1">
      <c r="A917" s="1"/>
      <c r="B917" s="1"/>
      <c r="C917" s="1"/>
      <c r="D917" s="1"/>
      <c r="E917" s="1"/>
      <c r="F917" s="1"/>
      <c r="G917" s="1"/>
      <c r="H917" s="1"/>
    </row>
    <row r="918" ht="15.75" customHeight="1">
      <c r="A918" s="1"/>
      <c r="B918" s="1"/>
      <c r="C918" s="1"/>
      <c r="D918" s="1"/>
      <c r="E918" s="1"/>
      <c r="F918" s="1"/>
      <c r="G918" s="1"/>
      <c r="H918" s="1"/>
    </row>
    <row r="919" ht="15.75" customHeight="1">
      <c r="A919" s="1"/>
      <c r="B919" s="1"/>
      <c r="C919" s="1"/>
      <c r="D919" s="1"/>
      <c r="E919" s="1"/>
      <c r="F919" s="1"/>
      <c r="G919" s="1"/>
      <c r="H919" s="1"/>
    </row>
    <row r="920" ht="15.75" customHeight="1">
      <c r="A920" s="1"/>
      <c r="B920" s="1"/>
      <c r="C920" s="1"/>
      <c r="D920" s="1"/>
      <c r="E920" s="1"/>
      <c r="F920" s="1"/>
      <c r="G920" s="1"/>
      <c r="H920" s="1"/>
    </row>
    <row r="921" ht="15.75" customHeight="1">
      <c r="A921" s="1"/>
      <c r="B921" s="1"/>
      <c r="C921" s="1"/>
      <c r="D921" s="1"/>
      <c r="E921" s="1"/>
      <c r="F921" s="1"/>
      <c r="G921" s="1"/>
      <c r="H921" s="1"/>
    </row>
    <row r="922" ht="15.75" customHeight="1">
      <c r="A922" s="1"/>
      <c r="B922" s="1"/>
      <c r="C922" s="1"/>
      <c r="D922" s="1"/>
      <c r="E922" s="1"/>
      <c r="F922" s="1"/>
      <c r="G922" s="1"/>
      <c r="H922" s="1"/>
    </row>
    <row r="923" ht="15.75" customHeight="1">
      <c r="A923" s="1"/>
      <c r="B923" s="1"/>
      <c r="C923" s="1"/>
      <c r="D923" s="1"/>
      <c r="E923" s="1"/>
      <c r="F923" s="1"/>
      <c r="G923" s="1"/>
      <c r="H923" s="1"/>
    </row>
    <row r="924" ht="15.75" customHeight="1">
      <c r="A924" s="1"/>
      <c r="B924" s="1"/>
      <c r="C924" s="1"/>
      <c r="D924" s="1"/>
      <c r="E924" s="1"/>
      <c r="F924" s="1"/>
      <c r="G924" s="1"/>
      <c r="H924" s="1"/>
    </row>
    <row r="925" ht="15.75" customHeight="1">
      <c r="A925" s="1"/>
      <c r="B925" s="1"/>
      <c r="C925" s="1"/>
      <c r="D925" s="1"/>
      <c r="E925" s="1"/>
      <c r="F925" s="1"/>
      <c r="G925" s="1"/>
      <c r="H925" s="1"/>
    </row>
    <row r="926" ht="15.75" customHeight="1">
      <c r="A926" s="1"/>
      <c r="B926" s="1"/>
      <c r="C926" s="1"/>
      <c r="D926" s="1"/>
      <c r="E926" s="1"/>
      <c r="F926" s="1"/>
      <c r="G926" s="1"/>
      <c r="H926" s="1"/>
    </row>
    <row r="927" ht="15.75" customHeight="1">
      <c r="A927" s="1"/>
      <c r="B927" s="1"/>
      <c r="C927" s="1"/>
      <c r="D927" s="1"/>
      <c r="E927" s="1"/>
      <c r="F927" s="1"/>
      <c r="G927" s="1"/>
      <c r="H927" s="1"/>
    </row>
    <row r="928" ht="15.75" customHeight="1">
      <c r="A928" s="1"/>
      <c r="B928" s="1"/>
      <c r="C928" s="1"/>
      <c r="D928" s="1"/>
      <c r="E928" s="1"/>
      <c r="F928" s="1"/>
      <c r="G928" s="1"/>
      <c r="H928" s="1"/>
    </row>
    <row r="929" ht="15.75" customHeight="1">
      <c r="A929" s="1"/>
      <c r="B929" s="1"/>
      <c r="C929" s="1"/>
      <c r="D929" s="1"/>
      <c r="E929" s="1"/>
      <c r="F929" s="1"/>
      <c r="G929" s="1"/>
      <c r="H929" s="1"/>
    </row>
    <row r="930" ht="15.75" customHeight="1">
      <c r="A930" s="1"/>
      <c r="B930" s="1"/>
      <c r="C930" s="1"/>
      <c r="D930" s="1"/>
      <c r="E930" s="1"/>
      <c r="F930" s="1"/>
      <c r="G930" s="1"/>
      <c r="H930" s="1"/>
    </row>
    <row r="931" ht="15.75" customHeight="1">
      <c r="A931" s="1"/>
      <c r="B931" s="1"/>
      <c r="C931" s="1"/>
      <c r="D931" s="1"/>
      <c r="E931" s="1"/>
      <c r="F931" s="1"/>
      <c r="G931" s="1"/>
      <c r="H931" s="1"/>
    </row>
    <row r="932" ht="15.75" customHeight="1">
      <c r="A932" s="1"/>
      <c r="B932" s="1"/>
      <c r="C932" s="1"/>
      <c r="D932" s="1"/>
      <c r="E932" s="1"/>
      <c r="F932" s="1"/>
      <c r="G932" s="1"/>
      <c r="H932" s="1"/>
    </row>
    <row r="933" ht="15.75" customHeight="1">
      <c r="A933" s="1"/>
      <c r="B933" s="1"/>
      <c r="C933" s="1"/>
      <c r="D933" s="1"/>
      <c r="E933" s="1"/>
      <c r="F933" s="1"/>
      <c r="G933" s="1"/>
      <c r="H933" s="1"/>
    </row>
    <row r="934" ht="15.75" customHeight="1">
      <c r="A934" s="1"/>
      <c r="B934" s="1"/>
      <c r="C934" s="1"/>
      <c r="D934" s="1"/>
      <c r="E934" s="1"/>
      <c r="F934" s="1"/>
      <c r="G934" s="1"/>
      <c r="H934" s="1"/>
    </row>
    <row r="935" ht="15.75" customHeight="1">
      <c r="A935" s="1"/>
      <c r="B935" s="1"/>
      <c r="C935" s="1"/>
      <c r="D935" s="1"/>
      <c r="E935" s="1"/>
      <c r="F935" s="1"/>
      <c r="G935" s="1"/>
      <c r="H935" s="1"/>
    </row>
    <row r="936" ht="15.75" customHeight="1">
      <c r="A936" s="1"/>
      <c r="B936" s="1"/>
      <c r="C936" s="1"/>
      <c r="D936" s="1"/>
      <c r="E936" s="1"/>
      <c r="F936" s="1"/>
      <c r="G936" s="1"/>
      <c r="H936" s="1"/>
    </row>
    <row r="937" ht="15.75" customHeight="1">
      <c r="A937" s="1"/>
      <c r="B937" s="1"/>
      <c r="C937" s="1"/>
      <c r="D937" s="1"/>
      <c r="E937" s="1"/>
      <c r="F937" s="1"/>
      <c r="G937" s="1"/>
      <c r="H937" s="1"/>
    </row>
    <row r="938" ht="15.75" customHeight="1">
      <c r="A938" s="1"/>
      <c r="B938" s="1"/>
      <c r="C938" s="1"/>
      <c r="D938" s="1"/>
      <c r="E938" s="1"/>
      <c r="F938" s="1"/>
      <c r="G938" s="1"/>
      <c r="H938" s="1"/>
    </row>
    <row r="939" ht="15.75" customHeight="1">
      <c r="A939" s="1"/>
      <c r="B939" s="1"/>
      <c r="C939" s="1"/>
      <c r="D939" s="1"/>
      <c r="E939" s="1"/>
      <c r="F939" s="1"/>
      <c r="G939" s="1"/>
      <c r="H939" s="1"/>
    </row>
    <row r="940" ht="15.75" customHeight="1">
      <c r="A940" s="1"/>
      <c r="B940" s="1"/>
      <c r="C940" s="1"/>
      <c r="D940" s="1"/>
      <c r="E940" s="1"/>
      <c r="F940" s="1"/>
      <c r="G940" s="1"/>
      <c r="H940" s="1"/>
    </row>
    <row r="941" ht="15.75" customHeight="1">
      <c r="A941" s="1"/>
      <c r="B941" s="1"/>
      <c r="C941" s="1"/>
      <c r="D941" s="1"/>
      <c r="E941" s="1"/>
      <c r="F941" s="1"/>
      <c r="G941" s="1"/>
      <c r="H941" s="1"/>
    </row>
    <row r="942" ht="15.75" customHeight="1">
      <c r="A942" s="1"/>
      <c r="B942" s="1"/>
      <c r="C942" s="1"/>
      <c r="D942" s="1"/>
      <c r="E942" s="1"/>
      <c r="F942" s="1"/>
      <c r="G942" s="1"/>
      <c r="H942" s="1"/>
    </row>
    <row r="943" ht="15.75" customHeight="1">
      <c r="A943" s="1"/>
      <c r="B943" s="1"/>
      <c r="C943" s="1"/>
      <c r="D943" s="1"/>
      <c r="E943" s="1"/>
      <c r="F943" s="1"/>
      <c r="G943" s="1"/>
      <c r="H943" s="1"/>
    </row>
    <row r="944" ht="15.75" customHeight="1">
      <c r="A944" s="1"/>
      <c r="B944" s="1"/>
      <c r="C944" s="1"/>
      <c r="D944" s="1"/>
      <c r="E944" s="1"/>
      <c r="F944" s="1"/>
      <c r="G944" s="1"/>
      <c r="H944" s="1"/>
    </row>
    <row r="945" ht="15.75" customHeight="1">
      <c r="A945" s="1"/>
      <c r="B945" s="1"/>
      <c r="C945" s="1"/>
      <c r="D945" s="1"/>
      <c r="E945" s="1"/>
      <c r="F945" s="1"/>
      <c r="G945" s="1"/>
      <c r="H945" s="1"/>
    </row>
    <row r="946" ht="15.75" customHeight="1">
      <c r="A946" s="1"/>
      <c r="B946" s="1"/>
      <c r="C946" s="1"/>
      <c r="D946" s="1"/>
      <c r="E946" s="1"/>
      <c r="F946" s="1"/>
      <c r="G946" s="1"/>
      <c r="H946" s="1"/>
    </row>
    <row r="947" ht="15.75" customHeight="1">
      <c r="A947" s="1"/>
      <c r="B947" s="1"/>
      <c r="C947" s="1"/>
      <c r="D947" s="1"/>
      <c r="E947" s="1"/>
      <c r="F947" s="1"/>
      <c r="G947" s="1"/>
      <c r="H947" s="1"/>
    </row>
    <row r="948" ht="15.75" customHeight="1">
      <c r="A948" s="1"/>
      <c r="B948" s="1"/>
      <c r="C948" s="1"/>
      <c r="D948" s="1"/>
      <c r="E948" s="1"/>
      <c r="F948" s="1"/>
      <c r="G948" s="1"/>
      <c r="H948" s="1"/>
    </row>
    <row r="949" ht="15.75" customHeight="1">
      <c r="A949" s="1"/>
      <c r="B949" s="1"/>
      <c r="C949" s="1"/>
      <c r="D949" s="1"/>
      <c r="E949" s="1"/>
      <c r="F949" s="1"/>
      <c r="G949" s="1"/>
      <c r="H949" s="1"/>
    </row>
    <row r="950" ht="15.75" customHeight="1">
      <c r="A950" s="1"/>
      <c r="B950" s="1"/>
      <c r="C950" s="1"/>
      <c r="D950" s="1"/>
      <c r="E950" s="1"/>
      <c r="F950" s="1"/>
      <c r="G950" s="1"/>
      <c r="H950" s="1"/>
    </row>
    <row r="951" ht="15.75" customHeight="1">
      <c r="A951" s="1"/>
      <c r="B951" s="1"/>
      <c r="C951" s="1"/>
      <c r="D951" s="1"/>
      <c r="E951" s="1"/>
      <c r="F951" s="1"/>
      <c r="G951" s="1"/>
      <c r="H951" s="1"/>
    </row>
    <row r="952" ht="15.75" customHeight="1">
      <c r="A952" s="1"/>
      <c r="B952" s="1"/>
      <c r="C952" s="1"/>
      <c r="D952" s="1"/>
      <c r="E952" s="1"/>
      <c r="F952" s="1"/>
      <c r="G952" s="1"/>
      <c r="H952" s="1"/>
    </row>
    <row r="953" ht="15.75" customHeight="1">
      <c r="A953" s="1"/>
      <c r="B953" s="1"/>
      <c r="C953" s="1"/>
      <c r="D953" s="1"/>
      <c r="E953" s="1"/>
      <c r="F953" s="1"/>
      <c r="G953" s="1"/>
      <c r="H953" s="1"/>
    </row>
    <row r="954" ht="15.75" customHeight="1">
      <c r="A954" s="1"/>
      <c r="B954" s="1"/>
      <c r="C954" s="1"/>
      <c r="D954" s="1"/>
      <c r="E954" s="1"/>
      <c r="F954" s="1"/>
      <c r="G954" s="1"/>
      <c r="H954" s="1"/>
    </row>
    <row r="955" ht="15.75" customHeight="1">
      <c r="A955" s="1"/>
      <c r="B955" s="1"/>
      <c r="C955" s="1"/>
      <c r="D955" s="1"/>
      <c r="E955" s="1"/>
      <c r="F955" s="1"/>
      <c r="G955" s="1"/>
      <c r="H955" s="1"/>
    </row>
    <row r="956" ht="15.75" customHeight="1">
      <c r="A956" s="1"/>
      <c r="B956" s="1"/>
      <c r="C956" s="1"/>
      <c r="D956" s="1"/>
      <c r="E956" s="1"/>
      <c r="F956" s="1"/>
      <c r="G956" s="1"/>
      <c r="H956" s="1"/>
    </row>
    <row r="957" ht="15.75" customHeight="1">
      <c r="A957" s="1"/>
      <c r="B957" s="1"/>
      <c r="C957" s="1"/>
      <c r="D957" s="1"/>
      <c r="E957" s="1"/>
      <c r="F957" s="1"/>
      <c r="G957" s="1"/>
      <c r="H957" s="1"/>
    </row>
    <row r="958" ht="15.75" customHeight="1">
      <c r="A958" s="1"/>
      <c r="B958" s="1"/>
      <c r="C958" s="1"/>
      <c r="D958" s="1"/>
      <c r="E958" s="1"/>
      <c r="F958" s="1"/>
      <c r="G958" s="1"/>
      <c r="H958" s="1"/>
    </row>
    <row r="959" ht="15.75" customHeight="1">
      <c r="A959" s="1"/>
      <c r="B959" s="1"/>
      <c r="C959" s="1"/>
      <c r="D959" s="1"/>
      <c r="E959" s="1"/>
      <c r="F959" s="1"/>
      <c r="G959" s="1"/>
      <c r="H959" s="1"/>
    </row>
    <row r="960" ht="15.75" customHeight="1">
      <c r="A960" s="1"/>
      <c r="B960" s="1"/>
      <c r="C960" s="1"/>
      <c r="D960" s="1"/>
      <c r="E960" s="1"/>
      <c r="F960" s="1"/>
      <c r="G960" s="1"/>
      <c r="H960" s="1"/>
    </row>
    <row r="961" ht="15.75" customHeight="1">
      <c r="A961" s="1"/>
      <c r="B961" s="1"/>
      <c r="C961" s="1"/>
      <c r="D961" s="1"/>
      <c r="E961" s="1"/>
      <c r="F961" s="1"/>
      <c r="G961" s="1"/>
      <c r="H961" s="1"/>
    </row>
    <row r="962" ht="15.75" customHeight="1">
      <c r="A962" s="1"/>
      <c r="B962" s="1"/>
      <c r="C962" s="1"/>
      <c r="D962" s="1"/>
      <c r="E962" s="1"/>
      <c r="F962" s="1"/>
      <c r="G962" s="1"/>
      <c r="H962" s="1"/>
    </row>
    <row r="963" ht="15.75" customHeight="1">
      <c r="A963" s="1"/>
      <c r="B963" s="1"/>
      <c r="C963" s="1"/>
      <c r="D963" s="1"/>
      <c r="E963" s="1"/>
      <c r="F963" s="1"/>
      <c r="G963" s="1"/>
      <c r="H963" s="1"/>
    </row>
    <row r="964" ht="15.75" customHeight="1">
      <c r="A964" s="1"/>
      <c r="B964" s="1"/>
      <c r="C964" s="1"/>
      <c r="D964" s="1"/>
      <c r="E964" s="1"/>
      <c r="F964" s="1"/>
      <c r="G964" s="1"/>
      <c r="H964" s="1"/>
    </row>
    <row r="965" ht="15.75" customHeight="1">
      <c r="A965" s="1"/>
      <c r="B965" s="1"/>
      <c r="C965" s="1"/>
      <c r="D965" s="1"/>
      <c r="E965" s="1"/>
      <c r="F965" s="1"/>
      <c r="G965" s="1"/>
      <c r="H965" s="1"/>
    </row>
    <row r="966" ht="15.75" customHeight="1">
      <c r="A966" s="1"/>
      <c r="B966" s="1"/>
      <c r="C966" s="1"/>
      <c r="D966" s="1"/>
      <c r="E966" s="1"/>
      <c r="F966" s="1"/>
      <c r="G966" s="1"/>
      <c r="H966" s="1"/>
    </row>
    <row r="967" ht="15.75" customHeight="1">
      <c r="A967" s="1"/>
      <c r="B967" s="1"/>
      <c r="C967" s="1"/>
      <c r="D967" s="1"/>
      <c r="E967" s="1"/>
      <c r="F967" s="1"/>
      <c r="G967" s="1"/>
      <c r="H967" s="1"/>
    </row>
    <row r="968" ht="15.75" customHeight="1">
      <c r="A968" s="1"/>
      <c r="B968" s="1"/>
      <c r="C968" s="1"/>
      <c r="D968" s="1"/>
      <c r="E968" s="1"/>
      <c r="F968" s="1"/>
      <c r="G968" s="1"/>
      <c r="H968" s="1"/>
    </row>
    <row r="969" ht="15.75" customHeight="1">
      <c r="A969" s="1"/>
      <c r="B969" s="1"/>
      <c r="C969" s="1"/>
      <c r="D969" s="1"/>
      <c r="E969" s="1"/>
      <c r="F969" s="1"/>
      <c r="G969" s="1"/>
      <c r="H969" s="1"/>
    </row>
    <row r="970" ht="15.75" customHeight="1">
      <c r="A970" s="1"/>
      <c r="B970" s="1"/>
      <c r="C970" s="1"/>
      <c r="D970" s="1"/>
      <c r="E970" s="1"/>
      <c r="F970" s="1"/>
      <c r="G970" s="1"/>
      <c r="H970" s="1"/>
    </row>
    <row r="971" ht="15.75" customHeight="1">
      <c r="A971" s="1"/>
      <c r="B971" s="1"/>
      <c r="C971" s="1"/>
      <c r="D971" s="1"/>
      <c r="E971" s="1"/>
      <c r="F971" s="1"/>
      <c r="G971" s="1"/>
      <c r="H971" s="1"/>
    </row>
    <row r="972" ht="15.75" customHeight="1">
      <c r="A972" s="1"/>
      <c r="B972" s="1"/>
      <c r="C972" s="1"/>
      <c r="D972" s="1"/>
      <c r="E972" s="1"/>
      <c r="F972" s="1"/>
      <c r="G972" s="1"/>
      <c r="H972" s="1"/>
    </row>
    <row r="973" ht="15.75" customHeight="1">
      <c r="A973" s="1"/>
      <c r="B973" s="1"/>
      <c r="C973" s="1"/>
      <c r="D973" s="1"/>
      <c r="E973" s="1"/>
      <c r="F973" s="1"/>
      <c r="G973" s="1"/>
      <c r="H973" s="1"/>
    </row>
    <row r="974" ht="15.75" customHeight="1">
      <c r="A974" s="1"/>
      <c r="B974" s="1"/>
      <c r="C974" s="1"/>
      <c r="D974" s="1"/>
      <c r="E974" s="1"/>
      <c r="F974" s="1"/>
      <c r="G974" s="1"/>
      <c r="H974" s="1"/>
    </row>
    <row r="975" ht="15.75" customHeight="1">
      <c r="A975" s="1"/>
      <c r="B975" s="1"/>
      <c r="C975" s="1"/>
      <c r="D975" s="1"/>
      <c r="E975" s="1"/>
      <c r="F975" s="1"/>
      <c r="G975" s="1"/>
      <c r="H975" s="1"/>
    </row>
    <row r="976" ht="15.75" customHeight="1">
      <c r="A976" s="1"/>
      <c r="B976" s="1"/>
      <c r="C976" s="1"/>
      <c r="D976" s="1"/>
      <c r="E976" s="1"/>
      <c r="F976" s="1"/>
      <c r="G976" s="1"/>
      <c r="H976" s="1"/>
    </row>
    <row r="977" ht="15.75" customHeight="1">
      <c r="A977" s="1"/>
      <c r="B977" s="1"/>
      <c r="C977" s="1"/>
      <c r="D977" s="1"/>
      <c r="E977" s="1"/>
      <c r="F977" s="1"/>
      <c r="G977" s="1"/>
      <c r="H977" s="1"/>
    </row>
    <row r="978" ht="15.75" customHeight="1">
      <c r="A978" s="1"/>
      <c r="B978" s="1"/>
      <c r="C978" s="1"/>
      <c r="D978" s="1"/>
      <c r="E978" s="1"/>
      <c r="F978" s="1"/>
      <c r="G978" s="1"/>
      <c r="H978" s="1"/>
    </row>
    <row r="979" ht="15.75" customHeight="1">
      <c r="A979" s="1"/>
      <c r="B979" s="1"/>
      <c r="C979" s="1"/>
      <c r="D979" s="1"/>
      <c r="E979" s="1"/>
      <c r="F979" s="1"/>
      <c r="G979" s="1"/>
      <c r="H979" s="1"/>
    </row>
    <row r="980" ht="15.75" customHeight="1">
      <c r="A980" s="1"/>
      <c r="B980" s="1"/>
      <c r="C980" s="1"/>
      <c r="D980" s="1"/>
      <c r="E980" s="1"/>
      <c r="F980" s="1"/>
      <c r="G980" s="1"/>
      <c r="H980" s="1"/>
    </row>
    <row r="981" ht="15.75" customHeight="1">
      <c r="A981" s="1"/>
      <c r="B981" s="1"/>
      <c r="C981" s="1"/>
      <c r="D981" s="1"/>
      <c r="E981" s="1"/>
      <c r="F981" s="1"/>
      <c r="G981" s="1"/>
      <c r="H981" s="1"/>
    </row>
    <row r="982" ht="15.75" customHeight="1">
      <c r="A982" s="1"/>
      <c r="B982" s="1"/>
      <c r="C982" s="1"/>
      <c r="D982" s="1"/>
      <c r="E982" s="1"/>
      <c r="F982" s="1"/>
      <c r="G982" s="1"/>
      <c r="H982" s="1"/>
    </row>
    <row r="983" ht="15.75" customHeight="1">
      <c r="A983" s="1"/>
      <c r="B983" s="1"/>
      <c r="C983" s="1"/>
      <c r="D983" s="1"/>
      <c r="E983" s="1"/>
      <c r="F983" s="1"/>
      <c r="G983" s="1"/>
      <c r="H983" s="1"/>
    </row>
    <row r="984" ht="15.75" customHeight="1">
      <c r="A984" s="1"/>
      <c r="B984" s="1"/>
      <c r="C984" s="1"/>
      <c r="D984" s="1"/>
      <c r="E984" s="1"/>
      <c r="F984" s="1"/>
      <c r="G984" s="1"/>
      <c r="H984" s="1"/>
    </row>
    <row r="985" ht="15.75" customHeight="1">
      <c r="A985" s="1"/>
      <c r="B985" s="1"/>
      <c r="C985" s="1"/>
      <c r="D985" s="1"/>
      <c r="E985" s="1"/>
      <c r="F985" s="1"/>
      <c r="G985" s="1"/>
      <c r="H985" s="1"/>
    </row>
    <row r="986" ht="15.75" customHeight="1">
      <c r="A986" s="1"/>
      <c r="B986" s="1"/>
      <c r="C986" s="1"/>
      <c r="D986" s="1"/>
      <c r="E986" s="1"/>
      <c r="F986" s="1"/>
      <c r="G986" s="1"/>
      <c r="H986" s="1"/>
    </row>
    <row r="987" ht="15.75" customHeight="1">
      <c r="A987" s="1"/>
      <c r="B987" s="1"/>
      <c r="C987" s="1"/>
      <c r="D987" s="1"/>
      <c r="E987" s="1"/>
      <c r="F987" s="1"/>
      <c r="G987" s="1"/>
      <c r="H987" s="1"/>
    </row>
    <row r="988" ht="15.75" customHeight="1">
      <c r="A988" s="1"/>
      <c r="B988" s="1"/>
      <c r="C988" s="1"/>
      <c r="D988" s="1"/>
      <c r="E988" s="1"/>
      <c r="F988" s="1"/>
      <c r="G988" s="1"/>
      <c r="H988" s="1"/>
    </row>
    <row r="989" ht="15.75" customHeight="1">
      <c r="A989" s="1"/>
      <c r="B989" s="1"/>
      <c r="C989" s="1"/>
      <c r="D989" s="1"/>
      <c r="E989" s="1"/>
      <c r="F989" s="1"/>
      <c r="G989" s="1"/>
      <c r="H989" s="1"/>
    </row>
    <row r="990" ht="15.75" customHeight="1">
      <c r="A990" s="1"/>
      <c r="B990" s="1"/>
      <c r="C990" s="1"/>
      <c r="D990" s="1"/>
      <c r="E990" s="1"/>
      <c r="F990" s="1"/>
      <c r="G990" s="1"/>
      <c r="H990" s="1"/>
    </row>
    <row r="991" ht="15.75" customHeight="1">
      <c r="A991" s="1"/>
      <c r="B991" s="1"/>
      <c r="C991" s="1"/>
      <c r="D991" s="1"/>
      <c r="E991" s="1"/>
      <c r="F991" s="1"/>
      <c r="G991" s="1"/>
      <c r="H991" s="1"/>
    </row>
    <row r="992" ht="15.75" customHeight="1">
      <c r="A992" s="1"/>
      <c r="B992" s="1"/>
      <c r="C992" s="1"/>
      <c r="D992" s="1"/>
      <c r="E992" s="1"/>
      <c r="F992" s="1"/>
      <c r="G992" s="1"/>
      <c r="H992" s="1"/>
    </row>
    <row r="993" ht="15.75" customHeight="1">
      <c r="A993" s="1"/>
      <c r="B993" s="1"/>
      <c r="C993" s="1"/>
      <c r="D993" s="1"/>
      <c r="E993" s="1"/>
      <c r="F993" s="1"/>
      <c r="G993" s="1"/>
      <c r="H993" s="1"/>
    </row>
    <row r="994" ht="15.75" customHeight="1">
      <c r="A994" s="1"/>
      <c r="B994" s="1"/>
      <c r="C994" s="1"/>
      <c r="D994" s="1"/>
      <c r="E994" s="1"/>
      <c r="F994" s="1"/>
      <c r="G994" s="1"/>
      <c r="H994" s="1"/>
    </row>
    <row r="995" ht="15.75" customHeight="1">
      <c r="A995" s="1"/>
      <c r="B995" s="1"/>
      <c r="C995" s="1"/>
      <c r="D995" s="1"/>
      <c r="E995" s="1"/>
      <c r="F995" s="1"/>
      <c r="G995" s="1"/>
      <c r="H995" s="1"/>
    </row>
    <row r="996" ht="15.75" customHeight="1">
      <c r="A996" s="1"/>
      <c r="B996" s="1"/>
      <c r="C996" s="1"/>
      <c r="D996" s="1"/>
      <c r="E996" s="1"/>
      <c r="F996" s="1"/>
      <c r="G996" s="1"/>
      <c r="H996" s="1"/>
    </row>
    <row r="997" ht="15.75" customHeight="1">
      <c r="A997" s="1"/>
      <c r="B997" s="1"/>
      <c r="C997" s="1"/>
      <c r="D997" s="1"/>
      <c r="E997" s="1"/>
      <c r="F997" s="1"/>
      <c r="G997" s="1"/>
      <c r="H997" s="1"/>
    </row>
    <row r="998" ht="15.75" customHeight="1">
      <c r="A998" s="1"/>
      <c r="B998" s="1"/>
      <c r="C998" s="1"/>
      <c r="D998" s="1"/>
      <c r="E998" s="1"/>
      <c r="F998" s="1"/>
      <c r="G998" s="1"/>
      <c r="H998" s="1"/>
    </row>
    <row r="999" ht="15.75" customHeight="1">
      <c r="A999" s="1"/>
      <c r="B999" s="1"/>
      <c r="C999" s="1"/>
      <c r="D999" s="1"/>
      <c r="E999" s="1"/>
      <c r="F999" s="1"/>
      <c r="G999" s="1"/>
      <c r="H999" s="1"/>
    </row>
    <row r="1000" ht="15.75" customHeight="1">
      <c r="A1000" s="1"/>
      <c r="B1000" s="1"/>
      <c r="C1000" s="1"/>
      <c r="D1000" s="1"/>
      <c r="E1000" s="1"/>
      <c r="F1000" s="1"/>
      <c r="G1000" s="1"/>
      <c r="H1000" s="1"/>
    </row>
  </sheetData>
  <autoFilter ref="$B$5:$H$61"/>
  <printOptions/>
  <pageMargins bottom="1.0" footer="0.0" header="0.0" left="0.75" right="0.75" top="1.0"/>
  <pageSetup fitToHeight="0" orientation="landscape"/>
  <drawing r:id="rId1"/>
</worksheet>
</file>